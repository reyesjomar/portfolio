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6.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24226"/>
  <mc:AlternateContent xmlns:mc="http://schemas.openxmlformats.org/markup-compatibility/2006">
    <mc:Choice Requires="x15">
      <x15ac:absPath xmlns:x15ac="http://schemas.microsoft.com/office/spreadsheetml/2010/11/ac" url="C:\Users\joreyes\Desktop\"/>
    </mc:Choice>
  </mc:AlternateContent>
  <xr:revisionPtr revIDLastSave="0" documentId="13_ncr:1_{9BFFAEB6-A718-4AEA-8B15-74B88BD86F68}" xr6:coauthVersionLast="47" xr6:coauthVersionMax="47" xr10:uidLastSave="{00000000-0000-0000-0000-000000000000}"/>
  <bookViews>
    <workbookView xWindow="-120" yWindow="-120" windowWidth="29040" windowHeight="15840" tabRatio="910" activeTab="1" xr2:uid="{00000000-000D-0000-FFFF-FFFF00000000}"/>
  </bookViews>
  <sheets>
    <sheet name="2024 Dashboard" sheetId="49" r:id="rId1"/>
    <sheet name="2025 Projected Dashboard" sheetId="54" r:id="rId2"/>
    <sheet name="Sheet1" sheetId="57" state="hidden" r:id="rId3"/>
    <sheet name="PivotTable" sheetId="56" r:id="rId4"/>
    <sheet name="Dashboard Drafts" sheetId="35" state="hidden" r:id="rId5"/>
    <sheet name="2025 Projected" sheetId="51" state="hidden" r:id="rId6"/>
    <sheet name="Added Hours 2024 - SE" sheetId="50" state="hidden" r:id="rId7"/>
    <sheet name="Dashboard - Monthly" sheetId="36" state="hidden" r:id="rId8"/>
    <sheet name="notes" sheetId="16" state="hidden" r:id="rId9"/>
    <sheet name="Pivot Table" sheetId="34" state="hidden" r:id="rId10"/>
    <sheet name="Projected Hours" sheetId="53" r:id="rId11"/>
    <sheet name="Total Hours 2024 - SE" sheetId="29" r:id="rId12"/>
    <sheet name="Total Hours 2024" sheetId="28" state="hidden" r:id="rId13"/>
    <sheet name="Special Events" sheetId="15" r:id="rId14"/>
    <sheet name="January" sheetId="1" state="hidden" r:id="rId15"/>
    <sheet name="February" sheetId="2" state="hidden" r:id="rId16"/>
    <sheet name="March" sheetId="3" state="hidden" r:id="rId17"/>
    <sheet name="April" sheetId="4" state="hidden" r:id="rId18"/>
    <sheet name="May" sheetId="5" state="hidden" r:id="rId19"/>
    <sheet name="June" sheetId="22" state="hidden" r:id="rId20"/>
    <sheet name="July" sheetId="7" state="hidden" r:id="rId21"/>
    <sheet name="August" sheetId="8" state="hidden" r:id="rId22"/>
    <sheet name="September" sheetId="9" state="hidden" r:id="rId23"/>
    <sheet name="October" sheetId="10" state="hidden" r:id="rId24"/>
    <sheet name="November" sheetId="11" state="hidden" r:id="rId25"/>
    <sheet name="December" sheetId="12" state="hidden" r:id="rId26"/>
    <sheet name="January Special Events" sheetId="17" state="hidden" r:id="rId27"/>
    <sheet name="February Special Events" sheetId="18" state="hidden" r:id="rId28"/>
    <sheet name="March Special Events" sheetId="19" state="hidden" r:id="rId29"/>
    <sheet name="April Special Events" sheetId="20" state="hidden" r:id="rId30"/>
    <sheet name="May Special Events" sheetId="21" state="hidden" r:id="rId31"/>
    <sheet name="June Special Events" sheetId="6" state="hidden" r:id="rId32"/>
    <sheet name="July Special Events" sheetId="23" state="hidden" r:id="rId33"/>
    <sheet name="August Special Events" sheetId="24" state="hidden" r:id="rId34"/>
    <sheet name="October Special Events" sheetId="25" state="hidden" r:id="rId35"/>
    <sheet name="November Special Events" sheetId="26" state="hidden" r:id="rId36"/>
    <sheet name="December Special Events" sheetId="27" state="hidden" r:id="rId37"/>
    <sheet name="Dashboard - ShiftTypeBreakdown" sheetId="47" state="hidden" r:id="rId38"/>
    <sheet name="Sheet9" sheetId="45" state="hidden" r:id="rId39"/>
    <sheet name="Sheet10" sheetId="46" state="hidden" r:id="rId40"/>
    <sheet name="Sheet3" sheetId="39" state="hidden" r:id="rId41"/>
  </sheets>
  <definedNames>
    <definedName name="_xlnm._FilterDatabase" localSheetId="0" hidden="1">'2024 Dashboard'!$H$47:$H$81</definedName>
    <definedName name="_xlnm._FilterDatabase" localSheetId="5" hidden="1">'2025 Projected'!$H$32:$H$66</definedName>
    <definedName name="_xlnm._FilterDatabase" localSheetId="1" hidden="1">'2025 Projected Dashboard'!$H$65:$H$101</definedName>
    <definedName name="_xlnm._FilterDatabase" localSheetId="6" hidden="1">'Added Hours 2024 - SE'!$A$1:$G$997</definedName>
    <definedName name="_xlnm._FilterDatabase" localSheetId="7" hidden="1">'Dashboard - Monthly'!$A$15:$F$17</definedName>
    <definedName name="_xlnm._FilterDatabase" localSheetId="37" hidden="1">'Dashboard - ShiftTypeBreakdown'!#REF!</definedName>
    <definedName name="_xlnm._FilterDatabase" localSheetId="4" hidden="1">'Dashboard Drafts'!$A$96:$B$157</definedName>
    <definedName name="_xlnm._FilterDatabase" localSheetId="10" hidden="1">'Projected Hours'!$I$1:$I$997</definedName>
    <definedName name="_xlnm._FilterDatabase" localSheetId="13" hidden="1">'Special Events'!$A$1:$G$212</definedName>
    <definedName name="_xlnm._FilterDatabase" localSheetId="12" hidden="1">'Total Hours 2024'!$A$1:$I$786</definedName>
    <definedName name="_xlnm._FilterDatabase" localSheetId="11" hidden="1">'Total Hours 2024 - SE'!$A$1:$G$997</definedName>
  </definedNames>
  <calcPr calcId="191028"/>
  <pivotCaches>
    <pivotCache cacheId="0" r:id="rId42"/>
    <pivotCache cacheId="1" r:id="rId43"/>
    <pivotCache cacheId="2" r:id="rId44"/>
    <pivotCache cacheId="3" r:id="rId45"/>
    <pivotCache cacheId="4" r:id="rId46"/>
    <pivotCache cacheId="6" r:id="rId4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96" i="54" l="1"/>
  <c r="I96" i="54" s="1"/>
  <c r="G96" i="54"/>
  <c r="B3" i="54"/>
  <c r="E3" i="54"/>
  <c r="G64" i="54"/>
  <c r="D64" i="54"/>
  <c r="I64" i="54" s="1"/>
  <c r="E52" i="54"/>
  <c r="I54" i="54"/>
  <c r="I56" i="54"/>
  <c r="E57" i="54"/>
  <c r="E58" i="54"/>
  <c r="I62" i="54"/>
  <c r="I17" i="53"/>
  <c r="H68" i="54"/>
  <c r="I88" i="54"/>
  <c r="G2" i="57"/>
  <c r="C2" i="57"/>
  <c r="I80" i="54"/>
  <c r="H96" i="54"/>
  <c r="H85" i="54"/>
  <c r="H86" i="54"/>
  <c r="H87" i="54"/>
  <c r="H88" i="54"/>
  <c r="H89" i="54"/>
  <c r="H90" i="54"/>
  <c r="H91" i="54"/>
  <c r="H92" i="54"/>
  <c r="H93" i="54"/>
  <c r="H94" i="54"/>
  <c r="H95" i="54"/>
  <c r="H84" i="54"/>
  <c r="H53" i="54"/>
  <c r="H54" i="54"/>
  <c r="H55" i="54"/>
  <c r="H56" i="54"/>
  <c r="H57" i="54"/>
  <c r="H58" i="54"/>
  <c r="H59" i="54"/>
  <c r="H60" i="54"/>
  <c r="H61" i="54"/>
  <c r="H62" i="54"/>
  <c r="H63" i="54"/>
  <c r="H64" i="54"/>
  <c r="H52" i="54"/>
  <c r="E53" i="54"/>
  <c r="I53" i="54"/>
  <c r="E54" i="54"/>
  <c r="E55" i="54"/>
  <c r="I55" i="54"/>
  <c r="E56" i="54"/>
  <c r="E59" i="54"/>
  <c r="I59" i="54"/>
  <c r="E60" i="54"/>
  <c r="I60" i="54"/>
  <c r="E61" i="54"/>
  <c r="I61" i="54"/>
  <c r="E62" i="54"/>
  <c r="E63" i="54"/>
  <c r="I63" i="54"/>
  <c r="G130" i="53"/>
  <c r="I130" i="53" s="1"/>
  <c r="D244" i="35"/>
  <c r="P223" i="35"/>
  <c r="P224" i="35"/>
  <c r="P225" i="35"/>
  <c r="P226" i="35"/>
  <c r="P227" i="35"/>
  <c r="P228" i="35"/>
  <c r="P229" i="35"/>
  <c r="P230" i="35"/>
  <c r="P231" i="35"/>
  <c r="P232" i="35"/>
  <c r="P233" i="35"/>
  <c r="P234" i="35"/>
  <c r="P222" i="35"/>
  <c r="I95" i="54"/>
  <c r="E95" i="54"/>
  <c r="I94" i="54"/>
  <c r="E94" i="54"/>
  <c r="I93" i="54"/>
  <c r="E93" i="54"/>
  <c r="I92" i="54"/>
  <c r="E92" i="54"/>
  <c r="I91" i="54"/>
  <c r="E91" i="54"/>
  <c r="I90" i="54"/>
  <c r="E90" i="54"/>
  <c r="I89" i="54"/>
  <c r="E89" i="54"/>
  <c r="E88" i="54"/>
  <c r="I87" i="54"/>
  <c r="E87" i="54"/>
  <c r="I86" i="54"/>
  <c r="E86" i="54"/>
  <c r="I85" i="54"/>
  <c r="E85" i="54"/>
  <c r="I84" i="54"/>
  <c r="E84" i="54"/>
  <c r="E80" i="54"/>
  <c r="I79" i="54"/>
  <c r="E79" i="54"/>
  <c r="I78" i="54"/>
  <c r="E78" i="54"/>
  <c r="I77" i="54"/>
  <c r="E77" i="54"/>
  <c r="I76" i="54"/>
  <c r="E76" i="54"/>
  <c r="I75" i="54"/>
  <c r="E75" i="54"/>
  <c r="I74" i="54"/>
  <c r="E74" i="54"/>
  <c r="I73" i="54"/>
  <c r="E73" i="54"/>
  <c r="I72" i="54"/>
  <c r="E72" i="54"/>
  <c r="I71" i="54"/>
  <c r="E71" i="54"/>
  <c r="I70" i="54"/>
  <c r="E70" i="54"/>
  <c r="I69" i="54"/>
  <c r="E69" i="54"/>
  <c r="I68" i="54"/>
  <c r="E68" i="54"/>
  <c r="G3" i="54"/>
  <c r="E997" i="53"/>
  <c r="E996" i="53"/>
  <c r="G996" i="53" s="1"/>
  <c r="E995" i="53"/>
  <c r="G995" i="53" s="1"/>
  <c r="E994" i="53"/>
  <c r="G994" i="53" s="1"/>
  <c r="E993" i="53"/>
  <c r="E992" i="53"/>
  <c r="E991" i="53"/>
  <c r="E990" i="53"/>
  <c r="E989" i="53"/>
  <c r="G989" i="53" s="1"/>
  <c r="E988" i="53"/>
  <c r="G988" i="53" s="1"/>
  <c r="E987" i="53"/>
  <c r="G987" i="53" s="1"/>
  <c r="E986" i="53"/>
  <c r="G986" i="53" s="1"/>
  <c r="E985" i="53"/>
  <c r="G985" i="53" s="1"/>
  <c r="E984" i="53"/>
  <c r="G984" i="53" s="1"/>
  <c r="E983" i="53"/>
  <c r="G983" i="53" s="1"/>
  <c r="E982" i="53"/>
  <c r="G982" i="53" s="1"/>
  <c r="E981" i="53"/>
  <c r="E980" i="53"/>
  <c r="G980" i="53" s="1"/>
  <c r="E979" i="53"/>
  <c r="G979" i="53" s="1"/>
  <c r="E978" i="53"/>
  <c r="G978" i="53" s="1"/>
  <c r="E977" i="53"/>
  <c r="E976" i="53"/>
  <c r="E975" i="53"/>
  <c r="E974" i="53"/>
  <c r="E973" i="53"/>
  <c r="G973" i="53" s="1"/>
  <c r="E972" i="53"/>
  <c r="G972" i="53" s="1"/>
  <c r="E971" i="53"/>
  <c r="G971" i="53" s="1"/>
  <c r="E970" i="53"/>
  <c r="G970" i="53" s="1"/>
  <c r="E969" i="53"/>
  <c r="G969" i="53" s="1"/>
  <c r="E968" i="53"/>
  <c r="G968" i="53" s="1"/>
  <c r="E967" i="53"/>
  <c r="G967" i="53" s="1"/>
  <c r="E966" i="53"/>
  <c r="G966" i="53" s="1"/>
  <c r="E965" i="53"/>
  <c r="E964" i="53"/>
  <c r="G964" i="53" s="1"/>
  <c r="E963" i="53"/>
  <c r="G963" i="53" s="1"/>
  <c r="E962" i="53"/>
  <c r="G962" i="53" s="1"/>
  <c r="E961" i="53"/>
  <c r="E960" i="53"/>
  <c r="E959" i="53"/>
  <c r="E958" i="53"/>
  <c r="E957" i="53"/>
  <c r="G957" i="53" s="1"/>
  <c r="E956" i="53"/>
  <c r="G956" i="53" s="1"/>
  <c r="E955" i="53"/>
  <c r="G955" i="53" s="1"/>
  <c r="E954" i="53"/>
  <c r="G954" i="53" s="1"/>
  <c r="E953" i="53"/>
  <c r="G953" i="53" s="1"/>
  <c r="E952" i="53"/>
  <c r="E951" i="53"/>
  <c r="G951" i="53" s="1"/>
  <c r="E950" i="53"/>
  <c r="G950" i="53" s="1"/>
  <c r="E949" i="53"/>
  <c r="E948" i="53"/>
  <c r="G948" i="53" s="1"/>
  <c r="E947" i="53"/>
  <c r="G947" i="53" s="1"/>
  <c r="E946" i="53"/>
  <c r="G946" i="53" s="1"/>
  <c r="E945" i="53"/>
  <c r="E944" i="53"/>
  <c r="E943" i="53"/>
  <c r="E942" i="53"/>
  <c r="E941" i="53"/>
  <c r="G941" i="53" s="1"/>
  <c r="E940" i="53"/>
  <c r="G940" i="53" s="1"/>
  <c r="E939" i="53"/>
  <c r="G939" i="53" s="1"/>
  <c r="E938" i="53"/>
  <c r="G938" i="53" s="1"/>
  <c r="E937" i="53"/>
  <c r="G937" i="53" s="1"/>
  <c r="E936" i="53"/>
  <c r="E935" i="53"/>
  <c r="G935" i="53" s="1"/>
  <c r="E934" i="53"/>
  <c r="G934" i="53" s="1"/>
  <c r="E933" i="53"/>
  <c r="E932" i="53"/>
  <c r="G932" i="53" s="1"/>
  <c r="E931" i="53"/>
  <c r="G931" i="53" s="1"/>
  <c r="E930" i="53"/>
  <c r="G930" i="53" s="1"/>
  <c r="E929" i="53"/>
  <c r="E928" i="53"/>
  <c r="E927" i="53"/>
  <c r="E926" i="53"/>
  <c r="E925" i="53"/>
  <c r="G925" i="53" s="1"/>
  <c r="E924" i="53"/>
  <c r="G924" i="53" s="1"/>
  <c r="E923" i="53"/>
  <c r="G923" i="53" s="1"/>
  <c r="E922" i="53"/>
  <c r="G922" i="53" s="1"/>
  <c r="E921" i="53"/>
  <c r="G921" i="53" s="1"/>
  <c r="E920" i="53"/>
  <c r="E919" i="53"/>
  <c r="G919" i="53" s="1"/>
  <c r="E918" i="53"/>
  <c r="G918" i="53" s="1"/>
  <c r="E917" i="53"/>
  <c r="E916" i="53"/>
  <c r="G916" i="53" s="1"/>
  <c r="E915" i="53"/>
  <c r="G915" i="53" s="1"/>
  <c r="E914" i="53"/>
  <c r="G914" i="53" s="1"/>
  <c r="E913" i="53"/>
  <c r="E912" i="53"/>
  <c r="E911" i="53"/>
  <c r="E910" i="53"/>
  <c r="E909" i="53"/>
  <c r="G909" i="53" s="1"/>
  <c r="E908" i="53"/>
  <c r="G908" i="53" s="1"/>
  <c r="E907" i="53"/>
  <c r="G907" i="53" s="1"/>
  <c r="E906" i="53"/>
  <c r="G906" i="53" s="1"/>
  <c r="E905" i="53"/>
  <c r="G905" i="53" s="1"/>
  <c r="E904" i="53"/>
  <c r="E903" i="53"/>
  <c r="G903" i="53" s="1"/>
  <c r="E902" i="53"/>
  <c r="G902" i="53" s="1"/>
  <c r="E901" i="53"/>
  <c r="E900" i="53"/>
  <c r="G900" i="53" s="1"/>
  <c r="E899" i="53"/>
  <c r="G899" i="53" s="1"/>
  <c r="E898" i="53"/>
  <c r="G898" i="53" s="1"/>
  <c r="E897" i="53"/>
  <c r="E896" i="53"/>
  <c r="E895" i="53"/>
  <c r="E894" i="53"/>
  <c r="E893" i="53"/>
  <c r="G893" i="53" s="1"/>
  <c r="E892" i="53"/>
  <c r="G892" i="53" s="1"/>
  <c r="E891" i="53"/>
  <c r="G891" i="53" s="1"/>
  <c r="E890" i="53"/>
  <c r="G890" i="53" s="1"/>
  <c r="E889" i="53"/>
  <c r="G889" i="53" s="1"/>
  <c r="E888" i="53"/>
  <c r="E887" i="53"/>
  <c r="G887" i="53" s="1"/>
  <c r="E886" i="53"/>
  <c r="G886" i="53" s="1"/>
  <c r="E885" i="53"/>
  <c r="E884" i="53"/>
  <c r="G884" i="53" s="1"/>
  <c r="E883" i="53"/>
  <c r="G883" i="53" s="1"/>
  <c r="E882" i="53"/>
  <c r="G882" i="53" s="1"/>
  <c r="E881" i="53"/>
  <c r="E880" i="53"/>
  <c r="E879" i="53"/>
  <c r="E878" i="53"/>
  <c r="E877" i="53"/>
  <c r="G877" i="53" s="1"/>
  <c r="E876" i="53"/>
  <c r="G876" i="53" s="1"/>
  <c r="E875" i="53"/>
  <c r="G875" i="53" s="1"/>
  <c r="E874" i="53"/>
  <c r="G874" i="53" s="1"/>
  <c r="E873" i="53"/>
  <c r="G873" i="53" s="1"/>
  <c r="E872" i="53"/>
  <c r="E871" i="53"/>
  <c r="G871" i="53" s="1"/>
  <c r="E870" i="53"/>
  <c r="G870" i="53" s="1"/>
  <c r="E869" i="53"/>
  <c r="E868" i="53"/>
  <c r="G868" i="53" s="1"/>
  <c r="E867" i="53"/>
  <c r="G867" i="53" s="1"/>
  <c r="E866" i="53"/>
  <c r="G866" i="53" s="1"/>
  <c r="E865" i="53"/>
  <c r="E864" i="53"/>
  <c r="E863" i="53"/>
  <c r="E862" i="53"/>
  <c r="E861" i="53"/>
  <c r="G861" i="53" s="1"/>
  <c r="E860" i="53"/>
  <c r="G860" i="53" s="1"/>
  <c r="E859" i="53"/>
  <c r="G859" i="53" s="1"/>
  <c r="E858" i="53"/>
  <c r="G858" i="53" s="1"/>
  <c r="E857" i="53"/>
  <c r="G857" i="53" s="1"/>
  <c r="E856" i="53"/>
  <c r="E855" i="53"/>
  <c r="G855" i="53" s="1"/>
  <c r="E854" i="53"/>
  <c r="G854" i="53" s="1"/>
  <c r="E853" i="53"/>
  <c r="E852" i="53"/>
  <c r="G852" i="53" s="1"/>
  <c r="E851" i="53"/>
  <c r="G851" i="53" s="1"/>
  <c r="E850" i="53"/>
  <c r="G850" i="53" s="1"/>
  <c r="E849" i="53"/>
  <c r="E848" i="53"/>
  <c r="E847" i="53"/>
  <c r="E846" i="53"/>
  <c r="E845" i="53"/>
  <c r="G845" i="53" s="1"/>
  <c r="E844" i="53"/>
  <c r="G844" i="53" s="1"/>
  <c r="E843" i="53"/>
  <c r="G843" i="53" s="1"/>
  <c r="E842" i="53"/>
  <c r="G842" i="53" s="1"/>
  <c r="E841" i="53"/>
  <c r="G841" i="53" s="1"/>
  <c r="E840" i="53"/>
  <c r="E839" i="53"/>
  <c r="G839" i="53" s="1"/>
  <c r="E838" i="53"/>
  <c r="G838" i="53" s="1"/>
  <c r="E837" i="53"/>
  <c r="E836" i="53"/>
  <c r="G836" i="53" s="1"/>
  <c r="E835" i="53"/>
  <c r="G835" i="53" s="1"/>
  <c r="E834" i="53"/>
  <c r="G834" i="53" s="1"/>
  <c r="E833" i="53"/>
  <c r="E832" i="53"/>
  <c r="E831" i="53"/>
  <c r="E830" i="53"/>
  <c r="E829" i="53"/>
  <c r="G829" i="53" s="1"/>
  <c r="E828" i="53"/>
  <c r="G828" i="53" s="1"/>
  <c r="E827" i="53"/>
  <c r="G827" i="53" s="1"/>
  <c r="E826" i="53"/>
  <c r="G826" i="53" s="1"/>
  <c r="E825" i="53"/>
  <c r="G825" i="53" s="1"/>
  <c r="E824" i="53"/>
  <c r="E823" i="53"/>
  <c r="G823" i="53" s="1"/>
  <c r="E822" i="53"/>
  <c r="G822" i="53" s="1"/>
  <c r="E821" i="53"/>
  <c r="E820" i="53"/>
  <c r="G820" i="53" s="1"/>
  <c r="E819" i="53"/>
  <c r="G819" i="53" s="1"/>
  <c r="E818" i="53"/>
  <c r="G818" i="53" s="1"/>
  <c r="E817" i="53"/>
  <c r="E816" i="53"/>
  <c r="E815" i="53"/>
  <c r="E814" i="53"/>
  <c r="E813" i="53"/>
  <c r="G813" i="53" s="1"/>
  <c r="E812" i="53"/>
  <c r="G812" i="53" s="1"/>
  <c r="E811" i="53"/>
  <c r="G811" i="53" s="1"/>
  <c r="E810" i="53"/>
  <c r="G810" i="53" s="1"/>
  <c r="E809" i="53"/>
  <c r="G809" i="53" s="1"/>
  <c r="E808" i="53"/>
  <c r="E807" i="53"/>
  <c r="G807" i="53" s="1"/>
  <c r="E806" i="53"/>
  <c r="G806" i="53" s="1"/>
  <c r="E805" i="53"/>
  <c r="E804" i="53"/>
  <c r="G804" i="53" s="1"/>
  <c r="E803" i="53"/>
  <c r="G803" i="53" s="1"/>
  <c r="E802" i="53"/>
  <c r="G802" i="53" s="1"/>
  <c r="E801" i="53"/>
  <c r="E800" i="53"/>
  <c r="E799" i="53"/>
  <c r="E798" i="53"/>
  <c r="E797" i="53"/>
  <c r="G797" i="53" s="1"/>
  <c r="E796" i="53"/>
  <c r="G796" i="53" s="1"/>
  <c r="E795" i="53"/>
  <c r="G795" i="53" s="1"/>
  <c r="E794" i="53"/>
  <c r="G794" i="53" s="1"/>
  <c r="E793" i="53"/>
  <c r="G793" i="53" s="1"/>
  <c r="E792" i="53"/>
  <c r="E791" i="53"/>
  <c r="G791" i="53" s="1"/>
  <c r="E790" i="53"/>
  <c r="G790" i="53" s="1"/>
  <c r="E789" i="53"/>
  <c r="E788" i="53"/>
  <c r="G788" i="53" s="1"/>
  <c r="E787" i="53"/>
  <c r="G787" i="53" s="1"/>
  <c r="E786" i="53"/>
  <c r="E785" i="53"/>
  <c r="G785" i="53" s="1"/>
  <c r="E784" i="53"/>
  <c r="E783" i="53"/>
  <c r="H783" i="53" s="1"/>
  <c r="E782" i="53"/>
  <c r="E781" i="53"/>
  <c r="E780" i="53"/>
  <c r="G780" i="53" s="1"/>
  <c r="E779" i="53"/>
  <c r="E778" i="53"/>
  <c r="G778" i="53" s="1"/>
  <c r="E777" i="53"/>
  <c r="E776" i="53"/>
  <c r="G776" i="53" s="1"/>
  <c r="E775" i="53"/>
  <c r="G775" i="53" s="1"/>
  <c r="E774" i="53"/>
  <c r="G774" i="53" s="1"/>
  <c r="E773" i="53"/>
  <c r="G773" i="53" s="1"/>
  <c r="E772" i="53"/>
  <c r="G772" i="53" s="1"/>
  <c r="E771" i="53"/>
  <c r="G771" i="53" s="1"/>
  <c r="E770" i="53"/>
  <c r="G770" i="53" s="1"/>
  <c r="E769" i="53"/>
  <c r="G769" i="53" s="1"/>
  <c r="E768" i="53"/>
  <c r="G768" i="53" s="1"/>
  <c r="E767" i="53"/>
  <c r="G767" i="53" s="1"/>
  <c r="E766" i="53"/>
  <c r="G766" i="53" s="1"/>
  <c r="E765" i="53"/>
  <c r="G765" i="53" s="1"/>
  <c r="E764" i="53"/>
  <c r="H764" i="53" s="1"/>
  <c r="E763" i="53"/>
  <c r="G763" i="53" s="1"/>
  <c r="E762" i="53"/>
  <c r="E761" i="53"/>
  <c r="E760" i="53"/>
  <c r="G760" i="53" s="1"/>
  <c r="E759" i="53"/>
  <c r="E758" i="53"/>
  <c r="E757" i="53"/>
  <c r="G757" i="53" s="1"/>
  <c r="E756" i="53"/>
  <c r="G756" i="53" s="1"/>
  <c r="E755" i="53"/>
  <c r="G755" i="53" s="1"/>
  <c r="E754" i="53"/>
  <c r="G754" i="53" s="1"/>
  <c r="E753" i="53"/>
  <c r="H753" i="53" s="1"/>
  <c r="E752" i="53"/>
  <c r="G752" i="53" s="1"/>
  <c r="E751" i="53"/>
  <c r="G751" i="53" s="1"/>
  <c r="E750" i="53"/>
  <c r="G750" i="53" s="1"/>
  <c r="E749" i="53"/>
  <c r="G749" i="53" s="1"/>
  <c r="E748" i="53"/>
  <c r="G748" i="53" s="1"/>
  <c r="E747" i="53"/>
  <c r="G747" i="53" s="1"/>
  <c r="E746" i="53"/>
  <c r="G746" i="53" s="1"/>
  <c r="E745" i="53"/>
  <c r="G745" i="53" s="1"/>
  <c r="E744" i="53"/>
  <c r="E743" i="53"/>
  <c r="G743" i="53" s="1"/>
  <c r="E742" i="53"/>
  <c r="E741" i="53"/>
  <c r="G741" i="53" s="1"/>
  <c r="E740" i="53"/>
  <c r="G740" i="53" s="1"/>
  <c r="E739" i="53"/>
  <c r="E738" i="53"/>
  <c r="H738" i="53" s="1"/>
  <c r="E737" i="53"/>
  <c r="G737" i="53" s="1"/>
  <c r="E736" i="53"/>
  <c r="H736" i="53" s="1"/>
  <c r="E735" i="53"/>
  <c r="G735" i="53" s="1"/>
  <c r="E734" i="53"/>
  <c r="G734" i="53" s="1"/>
  <c r="E733" i="53"/>
  <c r="H733" i="53" s="1"/>
  <c r="E732" i="53"/>
  <c r="G732" i="53" s="1"/>
  <c r="E731" i="53"/>
  <c r="G731" i="53" s="1"/>
  <c r="E730" i="53"/>
  <c r="E729" i="53"/>
  <c r="G729" i="53" s="1"/>
  <c r="E728" i="53"/>
  <c r="H728" i="53" s="1"/>
  <c r="E727" i="53"/>
  <c r="H727" i="53" s="1"/>
  <c r="E726" i="53"/>
  <c r="E725" i="53"/>
  <c r="G725" i="53" s="1"/>
  <c r="E724" i="53"/>
  <c r="G724" i="53" s="1"/>
  <c r="E723" i="53"/>
  <c r="G723" i="53" s="1"/>
  <c r="E722" i="53"/>
  <c r="G722" i="53" s="1"/>
  <c r="E721" i="53"/>
  <c r="G721" i="53" s="1"/>
  <c r="E720" i="53"/>
  <c r="G720" i="53" s="1"/>
  <c r="E719" i="53"/>
  <c r="G719" i="53" s="1"/>
  <c r="E718" i="53"/>
  <c r="G718" i="53" s="1"/>
  <c r="E717" i="53"/>
  <c r="G717" i="53" s="1"/>
  <c r="E716" i="53"/>
  <c r="G716" i="53" s="1"/>
  <c r="E715" i="53"/>
  <c r="E714" i="53"/>
  <c r="E713" i="53"/>
  <c r="E712" i="53"/>
  <c r="G712" i="53" s="1"/>
  <c r="E711" i="53"/>
  <c r="E710" i="53"/>
  <c r="G710" i="53" s="1"/>
  <c r="E709" i="53"/>
  <c r="E708" i="53"/>
  <c r="E707" i="53"/>
  <c r="G707" i="53" s="1"/>
  <c r="E706" i="53"/>
  <c r="G706" i="53" s="1"/>
  <c r="E705" i="53"/>
  <c r="H705" i="53" s="1"/>
  <c r="E704" i="53"/>
  <c r="G704" i="53" s="1"/>
  <c r="E703" i="53"/>
  <c r="G703" i="53" s="1"/>
  <c r="E702" i="53"/>
  <c r="G702" i="53" s="1"/>
  <c r="E701" i="53"/>
  <c r="G701" i="53" s="1"/>
  <c r="E700" i="53"/>
  <c r="G700" i="53" s="1"/>
  <c r="E699" i="53"/>
  <c r="G699" i="53" s="1"/>
  <c r="E698" i="53"/>
  <c r="G698" i="53" s="1"/>
  <c r="E697" i="53"/>
  <c r="G697" i="53" s="1"/>
  <c r="E696" i="53"/>
  <c r="G696" i="53" s="1"/>
  <c r="E695" i="53"/>
  <c r="E694" i="53"/>
  <c r="G694" i="53" s="1"/>
  <c r="E693" i="53"/>
  <c r="G693" i="53" s="1"/>
  <c r="E692" i="53"/>
  <c r="G692" i="53" s="1"/>
  <c r="E691" i="53"/>
  <c r="E690" i="53"/>
  <c r="G690" i="53" s="1"/>
  <c r="E689" i="53"/>
  <c r="G689" i="53" s="1"/>
  <c r="E688" i="53"/>
  <c r="H688" i="53" s="1"/>
  <c r="E687" i="53"/>
  <c r="G687" i="53" s="1"/>
  <c r="E686" i="53"/>
  <c r="G686" i="53" s="1"/>
  <c r="E685" i="53"/>
  <c r="G685" i="53" s="1"/>
  <c r="E684" i="53"/>
  <c r="G684" i="53" s="1"/>
  <c r="E683" i="53"/>
  <c r="G683" i="53" s="1"/>
  <c r="E682" i="53"/>
  <c r="G682" i="53" s="1"/>
  <c r="E681" i="53"/>
  <c r="G681" i="53" s="1"/>
  <c r="E680" i="53"/>
  <c r="G680" i="53" s="1"/>
  <c r="E679" i="53"/>
  <c r="G679" i="53" s="1"/>
  <c r="E678" i="53"/>
  <c r="G678" i="53" s="1"/>
  <c r="E677" i="53"/>
  <c r="G677" i="53" s="1"/>
  <c r="E676" i="53"/>
  <c r="G676" i="53" s="1"/>
  <c r="E675" i="53"/>
  <c r="G675" i="53" s="1"/>
  <c r="E674" i="53"/>
  <c r="E673" i="53"/>
  <c r="E672" i="53"/>
  <c r="G672" i="53" s="1"/>
  <c r="E671" i="53"/>
  <c r="G671" i="53" s="1"/>
  <c r="I671" i="53" s="1"/>
  <c r="E670" i="53"/>
  <c r="H670" i="53" s="1"/>
  <c r="E669" i="53"/>
  <c r="G669" i="53" s="1"/>
  <c r="E668" i="53"/>
  <c r="G668" i="53" s="1"/>
  <c r="E667" i="53"/>
  <c r="H667" i="53" s="1"/>
  <c r="E666" i="53"/>
  <c r="H666" i="53" s="1"/>
  <c r="E665" i="53"/>
  <c r="G665" i="53" s="1"/>
  <c r="E664" i="53"/>
  <c r="G664" i="53" s="1"/>
  <c r="E663" i="53"/>
  <c r="G663" i="53" s="1"/>
  <c r="E662" i="53"/>
  <c r="G662" i="53" s="1"/>
  <c r="E661" i="53"/>
  <c r="G661" i="53" s="1"/>
  <c r="E660" i="53"/>
  <c r="G660" i="53" s="1"/>
  <c r="E659" i="53"/>
  <c r="G659" i="53" s="1"/>
  <c r="E658" i="53"/>
  <c r="G658" i="53" s="1"/>
  <c r="E657" i="53"/>
  <c r="G657" i="53" s="1"/>
  <c r="E656" i="53"/>
  <c r="G656" i="53" s="1"/>
  <c r="E655" i="53"/>
  <c r="G655" i="53" s="1"/>
  <c r="E654" i="53"/>
  <c r="H654" i="53" s="1"/>
  <c r="E653" i="53"/>
  <c r="H653" i="53" s="1"/>
  <c r="E652" i="53"/>
  <c r="E651" i="53"/>
  <c r="E650" i="53"/>
  <c r="G650" i="53" s="1"/>
  <c r="E649" i="53"/>
  <c r="E648" i="53"/>
  <c r="E647" i="53"/>
  <c r="G647" i="53" s="1"/>
  <c r="E646" i="53"/>
  <c r="G646" i="53" s="1"/>
  <c r="E645" i="53"/>
  <c r="G645" i="53" s="1"/>
  <c r="E644" i="53"/>
  <c r="G644" i="53" s="1"/>
  <c r="E643" i="53"/>
  <c r="G643" i="53" s="1"/>
  <c r="E642" i="53"/>
  <c r="G642" i="53" s="1"/>
  <c r="E641" i="53"/>
  <c r="G641" i="53" s="1"/>
  <c r="E640" i="53"/>
  <c r="G640" i="53" s="1"/>
  <c r="E639" i="53"/>
  <c r="H639" i="53" s="1"/>
  <c r="E638" i="53"/>
  <c r="G638" i="53" s="1"/>
  <c r="E637" i="53"/>
  <c r="G637" i="53" s="1"/>
  <c r="E636" i="53"/>
  <c r="E635" i="53"/>
  <c r="E634" i="53"/>
  <c r="G634" i="53" s="1"/>
  <c r="E633" i="53"/>
  <c r="E632" i="53"/>
  <c r="G632" i="53" s="1"/>
  <c r="E631" i="53"/>
  <c r="E630" i="53"/>
  <c r="E629" i="53"/>
  <c r="G629" i="53" s="1"/>
  <c r="E628" i="53"/>
  <c r="G628" i="53" s="1"/>
  <c r="E627" i="53"/>
  <c r="G627" i="53" s="1"/>
  <c r="E626" i="53"/>
  <c r="G626" i="53" s="1"/>
  <c r="E625" i="53"/>
  <c r="G625" i="53" s="1"/>
  <c r="E624" i="53"/>
  <c r="G624" i="53" s="1"/>
  <c r="E623" i="53"/>
  <c r="G623" i="53" s="1"/>
  <c r="E622" i="53"/>
  <c r="G622" i="53" s="1"/>
  <c r="E621" i="53"/>
  <c r="G621" i="53" s="1"/>
  <c r="E620" i="53"/>
  <c r="H620" i="53" s="1"/>
  <c r="E619" i="53"/>
  <c r="G619" i="53" s="1"/>
  <c r="E618" i="53"/>
  <c r="H618" i="53" s="1"/>
  <c r="E617" i="53"/>
  <c r="G617" i="53" s="1"/>
  <c r="E616" i="53"/>
  <c r="E615" i="53"/>
  <c r="E614" i="53"/>
  <c r="E613" i="53"/>
  <c r="E612" i="53"/>
  <c r="G612" i="53" s="1"/>
  <c r="E611" i="53"/>
  <c r="E610" i="53"/>
  <c r="G610" i="53" s="1"/>
  <c r="E609" i="53"/>
  <c r="G609" i="53" s="1"/>
  <c r="E608" i="53"/>
  <c r="G608" i="53" s="1"/>
  <c r="E607" i="53"/>
  <c r="H607" i="53" s="1"/>
  <c r="E606" i="53"/>
  <c r="H606" i="53" s="1"/>
  <c r="E605" i="53"/>
  <c r="G605" i="53" s="1"/>
  <c r="E604" i="53"/>
  <c r="E603" i="53"/>
  <c r="G603" i="53" s="1"/>
  <c r="E602" i="53"/>
  <c r="H602" i="53" s="1"/>
  <c r="E601" i="53"/>
  <c r="G601" i="53" s="1"/>
  <c r="E600" i="53"/>
  <c r="H600" i="53" s="1"/>
  <c r="E599" i="53"/>
  <c r="G599" i="53" s="1"/>
  <c r="E598" i="53"/>
  <c r="E597" i="53"/>
  <c r="G597" i="53" s="1"/>
  <c r="E596" i="53"/>
  <c r="G596" i="53" s="1"/>
  <c r="E595" i="53"/>
  <c r="G595" i="53" s="1"/>
  <c r="E594" i="53"/>
  <c r="G594" i="53" s="1"/>
  <c r="E593" i="53"/>
  <c r="G593" i="53" s="1"/>
  <c r="E592" i="53"/>
  <c r="G592" i="53" s="1"/>
  <c r="E591" i="53"/>
  <c r="G591" i="53" s="1"/>
  <c r="E590" i="53"/>
  <c r="G590" i="53" s="1"/>
  <c r="E589" i="53"/>
  <c r="G589" i="53" s="1"/>
  <c r="E588" i="53"/>
  <c r="G588" i="53" s="1"/>
  <c r="E587" i="53"/>
  <c r="G587" i="53" s="1"/>
  <c r="E586" i="53"/>
  <c r="E585" i="53"/>
  <c r="E584" i="53"/>
  <c r="G584" i="53" s="1"/>
  <c r="E583" i="53"/>
  <c r="E582" i="53"/>
  <c r="G582" i="53" s="1"/>
  <c r="E581" i="53"/>
  <c r="G581" i="53" s="1"/>
  <c r="E580" i="53"/>
  <c r="E579" i="53"/>
  <c r="E578" i="53"/>
  <c r="E577" i="53"/>
  <c r="G577" i="53" s="1"/>
  <c r="E576" i="53"/>
  <c r="G576" i="53" s="1"/>
  <c r="E575" i="53"/>
  <c r="G575" i="53" s="1"/>
  <c r="E574" i="53"/>
  <c r="G574" i="53" s="1"/>
  <c r="E573" i="53"/>
  <c r="G573" i="53" s="1"/>
  <c r="E572" i="53"/>
  <c r="G572" i="53" s="1"/>
  <c r="E571" i="53"/>
  <c r="G571" i="53" s="1"/>
  <c r="E570" i="53"/>
  <c r="G570" i="53" s="1"/>
  <c r="E569" i="53"/>
  <c r="G569" i="53" s="1"/>
  <c r="E568" i="53"/>
  <c r="E567" i="53"/>
  <c r="E566" i="53"/>
  <c r="E565" i="53"/>
  <c r="E564" i="53"/>
  <c r="G564" i="53" s="1"/>
  <c r="E563" i="53"/>
  <c r="H563" i="53" s="1"/>
  <c r="E562" i="53"/>
  <c r="G562" i="53" s="1"/>
  <c r="E561" i="53"/>
  <c r="H561" i="53" s="1"/>
  <c r="E560" i="53"/>
  <c r="H560" i="53" s="1"/>
  <c r="E559" i="53"/>
  <c r="G559" i="53" s="1"/>
  <c r="E558" i="53"/>
  <c r="G558" i="53" s="1"/>
  <c r="E557" i="53"/>
  <c r="G557" i="53" s="1"/>
  <c r="E556" i="53"/>
  <c r="G556" i="53" s="1"/>
  <c r="E555" i="53"/>
  <c r="G555" i="53" s="1"/>
  <c r="E554" i="53"/>
  <c r="G554" i="53" s="1"/>
  <c r="E553" i="53"/>
  <c r="G553" i="53" s="1"/>
  <c r="E552" i="53"/>
  <c r="G552" i="53" s="1"/>
  <c r="E551" i="53"/>
  <c r="G551" i="53" s="1"/>
  <c r="E550" i="53"/>
  <c r="G550" i="53" s="1"/>
  <c r="E549" i="53"/>
  <c r="G549" i="53" s="1"/>
  <c r="E548" i="53"/>
  <c r="E547" i="53"/>
  <c r="E546" i="53"/>
  <c r="H546" i="53" s="1"/>
  <c r="E545" i="53"/>
  <c r="G545" i="53" s="1"/>
  <c r="E544" i="53"/>
  <c r="H544" i="53" s="1"/>
  <c r="E543" i="53"/>
  <c r="G543" i="53" s="1"/>
  <c r="E542" i="53"/>
  <c r="H542" i="53" s="1"/>
  <c r="E541" i="53"/>
  <c r="H541" i="53" s="1"/>
  <c r="E540" i="53"/>
  <c r="G540" i="53" s="1"/>
  <c r="E539" i="53"/>
  <c r="G539" i="53" s="1"/>
  <c r="E538" i="53"/>
  <c r="E537" i="53"/>
  <c r="G537" i="53" s="1"/>
  <c r="E536" i="53"/>
  <c r="G536" i="53" s="1"/>
  <c r="E535" i="53"/>
  <c r="G535" i="53" s="1"/>
  <c r="E534" i="53"/>
  <c r="G534" i="53" s="1"/>
  <c r="E533" i="53"/>
  <c r="G533" i="53" s="1"/>
  <c r="E532" i="53"/>
  <c r="G532" i="53" s="1"/>
  <c r="E531" i="53"/>
  <c r="E530" i="53"/>
  <c r="G530" i="53" s="1"/>
  <c r="E529" i="53"/>
  <c r="G529" i="53" s="1"/>
  <c r="E528" i="53"/>
  <c r="G528" i="53" s="1"/>
  <c r="E527" i="53"/>
  <c r="E526" i="53"/>
  <c r="E525" i="53"/>
  <c r="E524" i="53"/>
  <c r="G524" i="53" s="1"/>
  <c r="E523" i="53"/>
  <c r="E522" i="53"/>
  <c r="G522" i="53" s="1"/>
  <c r="E521" i="53"/>
  <c r="G521" i="53" s="1"/>
  <c r="E520" i="53"/>
  <c r="G520" i="53" s="1"/>
  <c r="E519" i="53"/>
  <c r="G519" i="53" s="1"/>
  <c r="E518" i="53"/>
  <c r="G518" i="53" s="1"/>
  <c r="E517" i="53"/>
  <c r="G517" i="53" s="1"/>
  <c r="E516" i="53"/>
  <c r="G516" i="53" s="1"/>
  <c r="E515" i="53"/>
  <c r="G515" i="53" s="1"/>
  <c r="E514" i="53"/>
  <c r="E513" i="53"/>
  <c r="E512" i="53"/>
  <c r="G512" i="53" s="1"/>
  <c r="E511" i="53"/>
  <c r="G511" i="53" s="1"/>
  <c r="E510" i="53"/>
  <c r="H510" i="53" s="1"/>
  <c r="E509" i="53"/>
  <c r="G509" i="53" s="1"/>
  <c r="E508" i="53"/>
  <c r="H508" i="53" s="1"/>
  <c r="E507" i="53"/>
  <c r="G507" i="53" s="1"/>
  <c r="E506" i="53"/>
  <c r="G506" i="53" s="1"/>
  <c r="E505" i="53"/>
  <c r="G505" i="53" s="1"/>
  <c r="E504" i="53"/>
  <c r="G504" i="53" s="1"/>
  <c r="E503" i="53"/>
  <c r="G503" i="53" s="1"/>
  <c r="E502" i="53"/>
  <c r="G502" i="53" s="1"/>
  <c r="E501" i="53"/>
  <c r="E500" i="53"/>
  <c r="G500" i="53" s="1"/>
  <c r="E499" i="53"/>
  <c r="E498" i="53"/>
  <c r="G498" i="53" s="1"/>
  <c r="E497" i="53"/>
  <c r="H497" i="53" s="1"/>
  <c r="E496" i="53"/>
  <c r="H496" i="53" s="1"/>
  <c r="E495" i="53"/>
  <c r="G495" i="53" s="1"/>
  <c r="E494" i="53"/>
  <c r="H494" i="53" s="1"/>
  <c r="E493" i="53"/>
  <c r="G493" i="53" s="1"/>
  <c r="E492" i="53"/>
  <c r="G492" i="53" s="1"/>
  <c r="E491" i="53"/>
  <c r="E490" i="53"/>
  <c r="E489" i="53"/>
  <c r="G489" i="53" s="1"/>
  <c r="E488" i="53"/>
  <c r="G488" i="53" s="1"/>
  <c r="E487" i="53"/>
  <c r="H487" i="53" s="1"/>
  <c r="E486" i="53"/>
  <c r="G486" i="53" s="1"/>
  <c r="E485" i="53"/>
  <c r="H485" i="53" s="1"/>
  <c r="E484" i="53"/>
  <c r="G484" i="53" s="1"/>
  <c r="E483" i="53"/>
  <c r="G483" i="53" s="1"/>
  <c r="E482" i="53"/>
  <c r="G482" i="53" s="1"/>
  <c r="E481" i="53"/>
  <c r="E480" i="53"/>
  <c r="G480" i="53" s="1"/>
  <c r="E479" i="53"/>
  <c r="G479" i="53" s="1"/>
  <c r="E478" i="53"/>
  <c r="E477" i="53"/>
  <c r="E476" i="53"/>
  <c r="G476" i="53" s="1"/>
  <c r="E475" i="53"/>
  <c r="G475" i="53" s="1"/>
  <c r="E474" i="53"/>
  <c r="G474" i="53" s="1"/>
  <c r="E473" i="53"/>
  <c r="G473" i="53" s="1"/>
  <c r="E472" i="53"/>
  <c r="G472" i="53" s="1"/>
  <c r="E471" i="53"/>
  <c r="G471" i="53" s="1"/>
  <c r="E470" i="53"/>
  <c r="G470" i="53" s="1"/>
  <c r="E469" i="53"/>
  <c r="G469" i="53" s="1"/>
  <c r="E468" i="53"/>
  <c r="G468" i="53" s="1"/>
  <c r="E467" i="53"/>
  <c r="E466" i="53"/>
  <c r="G466" i="53" s="1"/>
  <c r="E465" i="53"/>
  <c r="G465" i="53" s="1"/>
  <c r="E464" i="53"/>
  <c r="H464" i="53" s="1"/>
  <c r="E463" i="53"/>
  <c r="G463" i="53" s="1"/>
  <c r="E462" i="53"/>
  <c r="G462" i="53" s="1"/>
  <c r="E461" i="53"/>
  <c r="H461" i="53" s="1"/>
  <c r="E460" i="53"/>
  <c r="H460" i="53" s="1"/>
  <c r="E459" i="53"/>
  <c r="H459" i="53" s="1"/>
  <c r="E458" i="53"/>
  <c r="G458" i="53" s="1"/>
  <c r="E457" i="53"/>
  <c r="G457" i="53" s="1"/>
  <c r="E456" i="53"/>
  <c r="G456" i="53" s="1"/>
  <c r="E455" i="53"/>
  <c r="G455" i="53" s="1"/>
  <c r="E454" i="53"/>
  <c r="G454" i="53" s="1"/>
  <c r="E453" i="53"/>
  <c r="G453" i="53" s="1"/>
  <c r="E452" i="53"/>
  <c r="H452" i="53" s="1"/>
  <c r="E451" i="53"/>
  <c r="G451" i="53" s="1"/>
  <c r="E450" i="53"/>
  <c r="H450" i="53" s="1"/>
  <c r="E449" i="53"/>
  <c r="G449" i="53" s="1"/>
  <c r="E448" i="53"/>
  <c r="G448" i="53" s="1"/>
  <c r="E447" i="53"/>
  <c r="H447" i="53" s="1"/>
  <c r="E446" i="53"/>
  <c r="H446" i="53" s="1"/>
  <c r="E445" i="53"/>
  <c r="H445" i="53" s="1"/>
  <c r="E444" i="53"/>
  <c r="G444" i="53" s="1"/>
  <c r="E443" i="53"/>
  <c r="G443" i="53" s="1"/>
  <c r="E442" i="53"/>
  <c r="G442" i="53" s="1"/>
  <c r="E441" i="53"/>
  <c r="G441" i="53" s="1"/>
  <c r="E440" i="53"/>
  <c r="H440" i="53" s="1"/>
  <c r="E439" i="53"/>
  <c r="G439" i="53" s="1"/>
  <c r="E438" i="53"/>
  <c r="H438" i="53" s="1"/>
  <c r="E437" i="53"/>
  <c r="G437" i="53" s="1"/>
  <c r="E436" i="53"/>
  <c r="H436" i="53" s="1"/>
  <c r="E435" i="53"/>
  <c r="H435" i="53" s="1"/>
  <c r="E434" i="53"/>
  <c r="E433" i="53"/>
  <c r="G433" i="53" s="1"/>
  <c r="E432" i="53"/>
  <c r="G432" i="53" s="1"/>
  <c r="E431" i="53"/>
  <c r="G431" i="53" s="1"/>
  <c r="E430" i="53"/>
  <c r="G430" i="53" s="1"/>
  <c r="E429" i="53"/>
  <c r="E428" i="53"/>
  <c r="G428" i="53" s="1"/>
  <c r="E427" i="53"/>
  <c r="E426" i="53"/>
  <c r="E425" i="53"/>
  <c r="E424" i="53"/>
  <c r="G424" i="53" s="1"/>
  <c r="E423" i="53"/>
  <c r="E422" i="53"/>
  <c r="E421" i="53"/>
  <c r="E420" i="53"/>
  <c r="G420" i="53" s="1"/>
  <c r="E419" i="53"/>
  <c r="G419" i="53" s="1"/>
  <c r="E418" i="53"/>
  <c r="G418" i="53" s="1"/>
  <c r="E417" i="53"/>
  <c r="G417" i="53" s="1"/>
  <c r="E416" i="53"/>
  <c r="G416" i="53" s="1"/>
  <c r="E415" i="53"/>
  <c r="G415" i="53" s="1"/>
  <c r="E414" i="53"/>
  <c r="G414" i="53" s="1"/>
  <c r="E413" i="53"/>
  <c r="G413" i="53" s="1"/>
  <c r="E412" i="53"/>
  <c r="G412" i="53" s="1"/>
  <c r="E411" i="53"/>
  <c r="H411" i="53" s="1"/>
  <c r="E410" i="53"/>
  <c r="H410" i="53" s="1"/>
  <c r="E409" i="53"/>
  <c r="G409" i="53" s="1"/>
  <c r="E408" i="53"/>
  <c r="G408" i="53" s="1"/>
  <c r="E407" i="53"/>
  <c r="G407" i="53" s="1"/>
  <c r="E406" i="53"/>
  <c r="E405" i="53"/>
  <c r="E404" i="53"/>
  <c r="G404" i="53" s="1"/>
  <c r="E403" i="53"/>
  <c r="H403" i="53" s="1"/>
  <c r="E402" i="53"/>
  <c r="G402" i="53" s="1"/>
  <c r="E401" i="53"/>
  <c r="G401" i="53" s="1"/>
  <c r="E400" i="53"/>
  <c r="G400" i="53" s="1"/>
  <c r="E399" i="53"/>
  <c r="G399" i="53" s="1"/>
  <c r="E398" i="53"/>
  <c r="G398" i="53" s="1"/>
  <c r="E397" i="53"/>
  <c r="G397" i="53" s="1"/>
  <c r="E396" i="53"/>
  <c r="G396" i="53" s="1"/>
  <c r="E395" i="53"/>
  <c r="G395" i="53" s="1"/>
  <c r="E394" i="53"/>
  <c r="G394" i="53" s="1"/>
  <c r="E393" i="53"/>
  <c r="G393" i="53" s="1"/>
  <c r="E392" i="53"/>
  <c r="H392" i="53" s="1"/>
  <c r="E391" i="53"/>
  <c r="G391" i="53" s="1"/>
  <c r="E390" i="53"/>
  <c r="H390" i="53" s="1"/>
  <c r="E389" i="53"/>
  <c r="H389" i="53" s="1"/>
  <c r="E388" i="53"/>
  <c r="G388" i="53" s="1"/>
  <c r="E387" i="53"/>
  <c r="H387" i="53" s="1"/>
  <c r="E386" i="53"/>
  <c r="G386" i="53" s="1"/>
  <c r="E385" i="53"/>
  <c r="G385" i="53" s="1"/>
  <c r="E384" i="53"/>
  <c r="H384" i="53" s="1"/>
  <c r="E383" i="53"/>
  <c r="G383" i="53" s="1"/>
  <c r="E382" i="53"/>
  <c r="G382" i="53" s="1"/>
  <c r="E381" i="53"/>
  <c r="G381" i="53" s="1"/>
  <c r="E380" i="53"/>
  <c r="E379" i="53"/>
  <c r="G379" i="53" s="1"/>
  <c r="E378" i="53"/>
  <c r="G378" i="53" s="1"/>
  <c r="E377" i="53"/>
  <c r="E376" i="53"/>
  <c r="E375" i="53"/>
  <c r="G375" i="53" s="1"/>
  <c r="E374" i="53"/>
  <c r="E373" i="53"/>
  <c r="E372" i="53"/>
  <c r="G372" i="53" s="1"/>
  <c r="E371" i="53"/>
  <c r="G371" i="53" s="1"/>
  <c r="E370" i="53"/>
  <c r="G370" i="53" s="1"/>
  <c r="E369" i="53"/>
  <c r="G369" i="53" s="1"/>
  <c r="E368" i="53"/>
  <c r="G368" i="53" s="1"/>
  <c r="E367" i="53"/>
  <c r="G367" i="53" s="1"/>
  <c r="E366" i="53"/>
  <c r="H366" i="53" s="1"/>
  <c r="E365" i="53"/>
  <c r="G365" i="53" s="1"/>
  <c r="E364" i="53"/>
  <c r="G364" i="53" s="1"/>
  <c r="E363" i="53"/>
  <c r="G363" i="53" s="1"/>
  <c r="E362" i="53"/>
  <c r="E361" i="53"/>
  <c r="G361" i="53" s="1"/>
  <c r="E360" i="53"/>
  <c r="G360" i="53" s="1"/>
  <c r="E359" i="53"/>
  <c r="E358" i="53"/>
  <c r="G358" i="53" s="1"/>
  <c r="E357" i="53"/>
  <c r="E356" i="53"/>
  <c r="G356" i="53" s="1"/>
  <c r="E355" i="53"/>
  <c r="H355" i="53" s="1"/>
  <c r="E354" i="53"/>
  <c r="G354" i="53" s="1"/>
  <c r="E353" i="53"/>
  <c r="G353" i="53" s="1"/>
  <c r="E352" i="53"/>
  <c r="G352" i="53" s="1"/>
  <c r="E351" i="53"/>
  <c r="G351" i="53" s="1"/>
  <c r="E350" i="53"/>
  <c r="G350" i="53" s="1"/>
  <c r="E349" i="53"/>
  <c r="G349" i="53" s="1"/>
  <c r="E348" i="53"/>
  <c r="G348" i="53" s="1"/>
  <c r="E347" i="53"/>
  <c r="G347" i="53" s="1"/>
  <c r="E346" i="53"/>
  <c r="G346" i="53" s="1"/>
  <c r="E345" i="53"/>
  <c r="G345" i="53" s="1"/>
  <c r="E344" i="53"/>
  <c r="H344" i="53" s="1"/>
  <c r="E343" i="53"/>
  <c r="G343" i="53" s="1"/>
  <c r="E342" i="53"/>
  <c r="G342" i="53" s="1"/>
  <c r="E341" i="53"/>
  <c r="G341" i="53" s="1"/>
  <c r="E340" i="53"/>
  <c r="E339" i="53"/>
  <c r="G339" i="53" s="1"/>
  <c r="E338" i="53"/>
  <c r="G338" i="53" s="1"/>
  <c r="E337" i="53"/>
  <c r="G337" i="53" s="1"/>
  <c r="E336" i="53"/>
  <c r="H336" i="53" s="1"/>
  <c r="E335" i="53"/>
  <c r="G335" i="53" s="1"/>
  <c r="E334" i="53"/>
  <c r="H334" i="53" s="1"/>
  <c r="E333" i="53"/>
  <c r="G333" i="53" s="1"/>
  <c r="E332" i="53"/>
  <c r="H332" i="53" s="1"/>
  <c r="E331" i="53"/>
  <c r="G331" i="53" s="1"/>
  <c r="E330" i="53"/>
  <c r="G330" i="53" s="1"/>
  <c r="E329" i="53"/>
  <c r="G329" i="53" s="1"/>
  <c r="E328" i="53"/>
  <c r="G328" i="53" s="1"/>
  <c r="E327" i="53"/>
  <c r="G327" i="53" s="1"/>
  <c r="E326" i="53"/>
  <c r="G326" i="53" s="1"/>
  <c r="E325" i="53"/>
  <c r="G325" i="53" s="1"/>
  <c r="E324" i="53"/>
  <c r="H324" i="53" s="1"/>
  <c r="E323" i="53"/>
  <c r="G323" i="53" s="1"/>
  <c r="E322" i="53"/>
  <c r="G322" i="53" s="1"/>
  <c r="E321" i="53"/>
  <c r="G321" i="53" s="1"/>
  <c r="E320" i="53"/>
  <c r="H320" i="53" s="1"/>
  <c r="E319" i="53"/>
  <c r="G319" i="53" s="1"/>
  <c r="E318" i="53"/>
  <c r="G318" i="53" s="1"/>
  <c r="E317" i="53"/>
  <c r="G317" i="53" s="1"/>
  <c r="E316" i="53"/>
  <c r="E315" i="53"/>
  <c r="G315" i="53" s="1"/>
  <c r="E314" i="53"/>
  <c r="E313" i="53"/>
  <c r="G313" i="53" s="1"/>
  <c r="E312" i="53"/>
  <c r="G312" i="53" s="1"/>
  <c r="E311" i="53"/>
  <c r="E310" i="53"/>
  <c r="G310" i="53" s="1"/>
  <c r="E309" i="53"/>
  <c r="G309" i="53" s="1"/>
  <c r="E308" i="53"/>
  <c r="G308" i="53" s="1"/>
  <c r="E307" i="53"/>
  <c r="G307" i="53" s="1"/>
  <c r="E306" i="53"/>
  <c r="E305" i="53"/>
  <c r="G305" i="53" s="1"/>
  <c r="E304" i="53"/>
  <c r="G304" i="53" s="1"/>
  <c r="E303" i="53"/>
  <c r="H303" i="53" s="1"/>
  <c r="E302" i="53"/>
  <c r="G302" i="53" s="1"/>
  <c r="E301" i="53"/>
  <c r="G301" i="53" s="1"/>
  <c r="E300" i="53"/>
  <c r="G300" i="53" s="1"/>
  <c r="E299" i="53"/>
  <c r="E298" i="53"/>
  <c r="G298" i="53" s="1"/>
  <c r="E297" i="53"/>
  <c r="E296" i="53"/>
  <c r="E295" i="53"/>
  <c r="G295" i="53" s="1"/>
  <c r="E294" i="53"/>
  <c r="G294" i="53" s="1"/>
  <c r="E293" i="53"/>
  <c r="G293" i="53" s="1"/>
  <c r="E292" i="53"/>
  <c r="G292" i="53" s="1"/>
  <c r="E291" i="53"/>
  <c r="G291" i="53" s="1"/>
  <c r="E290" i="53"/>
  <c r="H290" i="53" s="1"/>
  <c r="E289" i="53"/>
  <c r="E288" i="53"/>
  <c r="G288" i="53" s="1"/>
  <c r="E287" i="53"/>
  <c r="G287" i="53" s="1"/>
  <c r="E286" i="53"/>
  <c r="E285" i="53"/>
  <c r="G285" i="53" s="1"/>
  <c r="E284" i="53"/>
  <c r="H284" i="53" s="1"/>
  <c r="E283" i="53"/>
  <c r="G283" i="53" s="1"/>
  <c r="E282" i="53"/>
  <c r="G282" i="53" s="1"/>
  <c r="E281" i="53"/>
  <c r="G281" i="53" s="1"/>
  <c r="E280" i="53"/>
  <c r="G280" i="53" s="1"/>
  <c r="E279" i="53"/>
  <c r="G279" i="53" s="1"/>
  <c r="E278" i="53"/>
  <c r="E277" i="53"/>
  <c r="G277" i="53" s="1"/>
  <c r="E276" i="53"/>
  <c r="G276" i="53" s="1"/>
  <c r="E275" i="53"/>
  <c r="H275" i="53" s="1"/>
  <c r="E274" i="53"/>
  <c r="E273" i="53"/>
  <c r="E272" i="53"/>
  <c r="H272" i="53" s="1"/>
  <c r="E271" i="53"/>
  <c r="G271" i="53" s="1"/>
  <c r="E270" i="53"/>
  <c r="H270" i="53" s="1"/>
  <c r="E269" i="53"/>
  <c r="G269" i="53" s="1"/>
  <c r="E268" i="53"/>
  <c r="G268" i="53" s="1"/>
  <c r="E267" i="53"/>
  <c r="E266" i="53"/>
  <c r="G266" i="53" s="1"/>
  <c r="E265" i="53"/>
  <c r="H265" i="53" s="1"/>
  <c r="E264" i="53"/>
  <c r="G264" i="53" s="1"/>
  <c r="E263" i="53"/>
  <c r="G263" i="53" s="1"/>
  <c r="E262" i="53"/>
  <c r="G262" i="53" s="1"/>
  <c r="E261" i="53"/>
  <c r="H261" i="53" s="1"/>
  <c r="E260" i="53"/>
  <c r="G260" i="53" s="1"/>
  <c r="E259" i="53"/>
  <c r="G259" i="53" s="1"/>
  <c r="E258" i="53"/>
  <c r="H258" i="53" s="1"/>
  <c r="E257" i="53"/>
  <c r="E256" i="53"/>
  <c r="H256" i="53" s="1"/>
  <c r="E255" i="53"/>
  <c r="G255" i="53" s="1"/>
  <c r="E254" i="53"/>
  <c r="G254" i="53" s="1"/>
  <c r="E253" i="53"/>
  <c r="G253" i="53" s="1"/>
  <c r="E252" i="53"/>
  <c r="G252" i="53" s="1"/>
  <c r="E251" i="53"/>
  <c r="G251" i="53" s="1"/>
  <c r="E250" i="53"/>
  <c r="E249" i="53"/>
  <c r="G249" i="53" s="1"/>
  <c r="E248" i="53"/>
  <c r="E247" i="53"/>
  <c r="E246" i="53"/>
  <c r="G246" i="53" s="1"/>
  <c r="E245" i="53"/>
  <c r="G245" i="53" s="1"/>
  <c r="E244" i="53"/>
  <c r="G244" i="53" s="1"/>
  <c r="E243" i="53"/>
  <c r="G243" i="53" s="1"/>
  <c r="E242" i="53"/>
  <c r="G242" i="53" s="1"/>
  <c r="E241" i="53"/>
  <c r="E240" i="53"/>
  <c r="G240" i="53" s="1"/>
  <c r="E239" i="53"/>
  <c r="G239" i="53" s="1"/>
  <c r="E238" i="53"/>
  <c r="G238" i="53" s="1"/>
  <c r="E237" i="53"/>
  <c r="H237" i="53" s="1"/>
  <c r="E236" i="53"/>
  <c r="H236" i="53" s="1"/>
  <c r="E235" i="53"/>
  <c r="G235" i="53" s="1"/>
  <c r="E234" i="53"/>
  <c r="G234" i="53" s="1"/>
  <c r="E233" i="53"/>
  <c r="E232" i="53"/>
  <c r="E231" i="53"/>
  <c r="E230" i="53"/>
  <c r="G230" i="53" s="1"/>
  <c r="E229" i="53"/>
  <c r="G229" i="53" s="1"/>
  <c r="E228" i="53"/>
  <c r="G228" i="53" s="1"/>
  <c r="E227" i="53"/>
  <c r="E226" i="53"/>
  <c r="G226" i="53" s="1"/>
  <c r="E225" i="53"/>
  <c r="E224" i="53"/>
  <c r="G224" i="53" s="1"/>
  <c r="E223" i="53"/>
  <c r="E222" i="53"/>
  <c r="H222" i="53" s="1"/>
  <c r="E221" i="53"/>
  <c r="G221" i="53" s="1"/>
  <c r="E220" i="53"/>
  <c r="H220" i="53" s="1"/>
  <c r="E219" i="53"/>
  <c r="G219" i="53" s="1"/>
  <c r="E218" i="53"/>
  <c r="H218" i="53" s="1"/>
  <c r="E217" i="53"/>
  <c r="H217" i="53" s="1"/>
  <c r="E216" i="53"/>
  <c r="H216" i="53" s="1"/>
  <c r="E215" i="53"/>
  <c r="G215" i="53" s="1"/>
  <c r="E214" i="53"/>
  <c r="G214" i="53" s="1"/>
  <c r="E213" i="53"/>
  <c r="G213" i="53" s="1"/>
  <c r="E212" i="53"/>
  <c r="G212" i="53" s="1"/>
  <c r="E211" i="53"/>
  <c r="G211" i="53" s="1"/>
  <c r="E210" i="53"/>
  <c r="G210" i="53" s="1"/>
  <c r="E209" i="53"/>
  <c r="H209" i="53" s="1"/>
  <c r="E208" i="53"/>
  <c r="G208" i="53" s="1"/>
  <c r="E207" i="53"/>
  <c r="E206" i="53"/>
  <c r="G206" i="53" s="1"/>
  <c r="E205" i="53"/>
  <c r="G205" i="53" s="1"/>
  <c r="E204" i="53"/>
  <c r="H204" i="53" s="1"/>
  <c r="E203" i="53"/>
  <c r="H203" i="53" s="1"/>
  <c r="E202" i="53"/>
  <c r="G202" i="53" s="1"/>
  <c r="E201" i="53"/>
  <c r="G201" i="53" s="1"/>
  <c r="E200" i="53"/>
  <c r="G200" i="53" s="1"/>
  <c r="E199" i="53"/>
  <c r="G199" i="53" s="1"/>
  <c r="E198" i="53"/>
  <c r="G198" i="53" s="1"/>
  <c r="E197" i="53"/>
  <c r="G197" i="53" s="1"/>
  <c r="E196" i="53"/>
  <c r="G196" i="53" s="1"/>
  <c r="E195" i="53"/>
  <c r="E194" i="53"/>
  <c r="G194" i="53" s="1"/>
  <c r="E193" i="53"/>
  <c r="E192" i="53"/>
  <c r="G192" i="53" s="1"/>
  <c r="E191" i="53"/>
  <c r="H191" i="53" s="1"/>
  <c r="E190" i="53"/>
  <c r="G190" i="53" s="1"/>
  <c r="E189" i="53"/>
  <c r="E188" i="53"/>
  <c r="G188" i="53" s="1"/>
  <c r="E187" i="53"/>
  <c r="G187" i="53" s="1"/>
  <c r="E186" i="53"/>
  <c r="G186" i="53" s="1"/>
  <c r="E185" i="53"/>
  <c r="G185" i="53" s="1"/>
  <c r="E184" i="53"/>
  <c r="G184" i="53" s="1"/>
  <c r="E183" i="53"/>
  <c r="E182" i="53"/>
  <c r="G182" i="53" s="1"/>
  <c r="E181" i="53"/>
  <c r="G181" i="53" s="1"/>
  <c r="E180" i="53"/>
  <c r="E179" i="53"/>
  <c r="G179" i="53" s="1"/>
  <c r="E178" i="53"/>
  <c r="E177" i="53"/>
  <c r="G177" i="53" s="1"/>
  <c r="E176" i="53"/>
  <c r="H176" i="53" s="1"/>
  <c r="E175" i="53"/>
  <c r="G175" i="53" s="1"/>
  <c r="E174" i="53"/>
  <c r="G174" i="53" s="1"/>
  <c r="E173" i="53"/>
  <c r="G173" i="53" s="1"/>
  <c r="E172" i="53"/>
  <c r="E171" i="53"/>
  <c r="G171" i="53" s="1"/>
  <c r="E170" i="53"/>
  <c r="H170" i="53" s="1"/>
  <c r="E169" i="53"/>
  <c r="G169" i="53" s="1"/>
  <c r="E168" i="53"/>
  <c r="G168" i="53" s="1"/>
  <c r="E167" i="53"/>
  <c r="E166" i="53"/>
  <c r="G166" i="53" s="1"/>
  <c r="E165" i="53"/>
  <c r="E164" i="53"/>
  <c r="G164" i="53" s="1"/>
  <c r="E163" i="53"/>
  <c r="H163" i="53" s="1"/>
  <c r="E162" i="53"/>
  <c r="H162" i="53" s="1"/>
  <c r="E161" i="53"/>
  <c r="G161" i="53" s="1"/>
  <c r="E160" i="53"/>
  <c r="G160" i="53" s="1"/>
  <c r="E159" i="53"/>
  <c r="G159" i="53" s="1"/>
  <c r="E158" i="53"/>
  <c r="E157" i="53"/>
  <c r="G157" i="53" s="1"/>
  <c r="E156" i="53"/>
  <c r="H156" i="53" s="1"/>
  <c r="E155" i="53"/>
  <c r="E154" i="53"/>
  <c r="G154" i="53" s="1"/>
  <c r="E153" i="53"/>
  <c r="H153" i="53" s="1"/>
  <c r="E152" i="53"/>
  <c r="G152" i="53" s="1"/>
  <c r="E151" i="53"/>
  <c r="H151" i="53" s="1"/>
  <c r="E150" i="53"/>
  <c r="H150" i="53" s="1"/>
  <c r="E149" i="53"/>
  <c r="E148" i="53"/>
  <c r="G148" i="53" s="1"/>
  <c r="E147" i="53"/>
  <c r="G147" i="53" s="1"/>
  <c r="E146" i="53"/>
  <c r="G146" i="53" s="1"/>
  <c r="E145" i="53"/>
  <c r="G145" i="53" s="1"/>
  <c r="E144" i="53"/>
  <c r="G144" i="53" s="1"/>
  <c r="E143" i="53"/>
  <c r="G143" i="53" s="1"/>
  <c r="E142" i="53"/>
  <c r="G142" i="53" s="1"/>
  <c r="E141" i="53"/>
  <c r="G141" i="53" s="1"/>
  <c r="E140" i="53"/>
  <c r="E139" i="53"/>
  <c r="G139" i="53" s="1"/>
  <c r="E138" i="53"/>
  <c r="G138" i="53" s="1"/>
  <c r="E137" i="53"/>
  <c r="E136" i="53"/>
  <c r="G136" i="53" s="1"/>
  <c r="E135" i="53"/>
  <c r="G135" i="53" s="1"/>
  <c r="E134" i="53"/>
  <c r="E133" i="53"/>
  <c r="H133" i="53" s="1"/>
  <c r="E132" i="53"/>
  <c r="G132" i="53" s="1"/>
  <c r="E131" i="53"/>
  <c r="H131" i="53" s="1"/>
  <c r="E129" i="53"/>
  <c r="G129" i="53" s="1"/>
  <c r="E128" i="53"/>
  <c r="G128" i="53" s="1"/>
  <c r="E127" i="53"/>
  <c r="G127" i="53" s="1"/>
  <c r="E126" i="53"/>
  <c r="G126" i="53" s="1"/>
  <c r="E125" i="53"/>
  <c r="G125" i="53" s="1"/>
  <c r="E124" i="53"/>
  <c r="G124" i="53" s="1"/>
  <c r="E123" i="53"/>
  <c r="E122" i="53"/>
  <c r="E121" i="53"/>
  <c r="E120" i="53"/>
  <c r="G120" i="53" s="1"/>
  <c r="E119" i="53"/>
  <c r="H119" i="53" s="1"/>
  <c r="E118" i="53"/>
  <c r="G118" i="53" s="1"/>
  <c r="E117" i="53"/>
  <c r="E116" i="53"/>
  <c r="E115" i="53"/>
  <c r="G115" i="53" s="1"/>
  <c r="E114" i="53"/>
  <c r="G114" i="53" s="1"/>
  <c r="E113" i="53"/>
  <c r="G113" i="53" s="1"/>
  <c r="E112" i="53"/>
  <c r="E111" i="53"/>
  <c r="G111" i="53" s="1"/>
  <c r="E110" i="53"/>
  <c r="H110" i="53" s="1"/>
  <c r="E109" i="53"/>
  <c r="G109" i="53" s="1"/>
  <c r="E108" i="53"/>
  <c r="G108" i="53" s="1"/>
  <c r="E107" i="53"/>
  <c r="G107" i="53" s="1"/>
  <c r="E106" i="53"/>
  <c r="H106" i="53" s="1"/>
  <c r="E105" i="53"/>
  <c r="G105" i="53" s="1"/>
  <c r="E104" i="53"/>
  <c r="H104" i="53" s="1"/>
  <c r="E103" i="53"/>
  <c r="G103" i="53" s="1"/>
  <c r="E102" i="53"/>
  <c r="H102" i="53" s="1"/>
  <c r="E101" i="53"/>
  <c r="G101" i="53" s="1"/>
  <c r="E100" i="53"/>
  <c r="G100" i="53" s="1"/>
  <c r="E99" i="53"/>
  <c r="G99" i="53" s="1"/>
  <c r="E98" i="53"/>
  <c r="G98" i="53" s="1"/>
  <c r="E97" i="53"/>
  <c r="G97" i="53" s="1"/>
  <c r="E96" i="53"/>
  <c r="H96" i="53" s="1"/>
  <c r="E95" i="53"/>
  <c r="G95" i="53" s="1"/>
  <c r="E94" i="53"/>
  <c r="G94" i="53" s="1"/>
  <c r="E93" i="53"/>
  <c r="H93" i="53" s="1"/>
  <c r="E92" i="53"/>
  <c r="G92" i="53" s="1"/>
  <c r="E91" i="53"/>
  <c r="H91" i="53" s="1"/>
  <c r="E90" i="53"/>
  <c r="H90" i="53" s="1"/>
  <c r="E89" i="53"/>
  <c r="G89" i="53" s="1"/>
  <c r="E88" i="53"/>
  <c r="G88" i="53" s="1"/>
  <c r="E87" i="53"/>
  <c r="G87" i="53" s="1"/>
  <c r="E86" i="53"/>
  <c r="G86" i="53" s="1"/>
  <c r="E85" i="53"/>
  <c r="G85" i="53" s="1"/>
  <c r="E84" i="53"/>
  <c r="G84" i="53" s="1"/>
  <c r="E83" i="53"/>
  <c r="G83" i="53" s="1"/>
  <c r="E82" i="53"/>
  <c r="G82" i="53" s="1"/>
  <c r="E81" i="53"/>
  <c r="E80" i="53"/>
  <c r="G80" i="53" s="1"/>
  <c r="E79" i="53"/>
  <c r="E78" i="53"/>
  <c r="G78" i="53" s="1"/>
  <c r="E77" i="53"/>
  <c r="E76" i="53"/>
  <c r="G76" i="53" s="1"/>
  <c r="E75" i="53"/>
  <c r="E74" i="53"/>
  <c r="E73" i="53"/>
  <c r="G73" i="53" s="1"/>
  <c r="E72" i="53"/>
  <c r="G72" i="53" s="1"/>
  <c r="E71" i="53"/>
  <c r="G71" i="53" s="1"/>
  <c r="E70" i="53"/>
  <c r="G70" i="53" s="1"/>
  <c r="E69" i="53"/>
  <c r="G69" i="53" s="1"/>
  <c r="E68" i="53"/>
  <c r="G68" i="53" s="1"/>
  <c r="E67" i="53"/>
  <c r="G67" i="53" s="1"/>
  <c r="E66" i="53"/>
  <c r="G66" i="53" s="1"/>
  <c r="E65" i="53"/>
  <c r="H65" i="53" s="1"/>
  <c r="E64" i="53"/>
  <c r="G64" i="53" s="1"/>
  <c r="E63" i="53"/>
  <c r="H63" i="53" s="1"/>
  <c r="E62" i="53"/>
  <c r="G62" i="53" s="1"/>
  <c r="E61" i="53"/>
  <c r="G61" i="53" s="1"/>
  <c r="E60" i="53"/>
  <c r="H60" i="53" s="1"/>
  <c r="E59" i="53"/>
  <c r="H59" i="53" s="1"/>
  <c r="E58" i="53"/>
  <c r="H58" i="53" s="1"/>
  <c r="E57" i="53"/>
  <c r="H57" i="53" s="1"/>
  <c r="E56" i="53"/>
  <c r="E55" i="53"/>
  <c r="H55" i="53" s="1"/>
  <c r="E54" i="53"/>
  <c r="E53" i="53"/>
  <c r="H53" i="53" s="1"/>
  <c r="E52" i="53"/>
  <c r="G52" i="53" s="1"/>
  <c r="E51" i="53"/>
  <c r="E50" i="53"/>
  <c r="G50" i="53" s="1"/>
  <c r="E49" i="53"/>
  <c r="E48" i="53"/>
  <c r="G48" i="53" s="1"/>
  <c r="E47" i="53"/>
  <c r="G47" i="53" s="1"/>
  <c r="E46" i="53"/>
  <c r="G46" i="53" s="1"/>
  <c r="E45" i="53"/>
  <c r="G45" i="53" s="1"/>
  <c r="E44" i="53"/>
  <c r="G44" i="53" s="1"/>
  <c r="E43" i="53"/>
  <c r="H43" i="53" s="1"/>
  <c r="E42" i="53"/>
  <c r="G42" i="53" s="1"/>
  <c r="E41" i="53"/>
  <c r="E40" i="53"/>
  <c r="G40" i="53" s="1"/>
  <c r="E39" i="53"/>
  <c r="E38" i="53"/>
  <c r="E37" i="53"/>
  <c r="E36" i="53"/>
  <c r="G36" i="53" s="1"/>
  <c r="E35" i="53"/>
  <c r="G35" i="53" s="1"/>
  <c r="E34" i="53"/>
  <c r="G34" i="53" s="1"/>
  <c r="E33" i="53"/>
  <c r="E32" i="53"/>
  <c r="H32" i="53" s="1"/>
  <c r="E31" i="53"/>
  <c r="G31" i="53" s="1"/>
  <c r="E30" i="53"/>
  <c r="H30" i="53" s="1"/>
  <c r="E29" i="53"/>
  <c r="G29" i="53" s="1"/>
  <c r="E28" i="53"/>
  <c r="G28" i="53" s="1"/>
  <c r="E27" i="53"/>
  <c r="H27" i="53" s="1"/>
  <c r="E26" i="53"/>
  <c r="H26" i="53" s="1"/>
  <c r="E25" i="53"/>
  <c r="G25" i="53" s="1"/>
  <c r="E24" i="53"/>
  <c r="G24" i="53" s="1"/>
  <c r="E23" i="53"/>
  <c r="G23" i="53" s="1"/>
  <c r="E22" i="53"/>
  <c r="G22" i="53" s="1"/>
  <c r="E21" i="53"/>
  <c r="G21" i="53" s="1"/>
  <c r="E20" i="53"/>
  <c r="G20" i="53" s="1"/>
  <c r="E19" i="53"/>
  <c r="G19" i="53" s="1"/>
  <c r="E18" i="53"/>
  <c r="H18" i="53" s="1"/>
  <c r="E17" i="53"/>
  <c r="E16" i="53"/>
  <c r="H16" i="53" s="1"/>
  <c r="E15" i="53"/>
  <c r="G15" i="53" s="1"/>
  <c r="E14" i="53"/>
  <c r="H14" i="53" s="1"/>
  <c r="E13" i="53"/>
  <c r="H13" i="53" s="1"/>
  <c r="E12" i="53"/>
  <c r="H12" i="53" s="1"/>
  <c r="E11" i="53"/>
  <c r="G11" i="53" s="1"/>
  <c r="E10" i="53"/>
  <c r="G10" i="53" s="1"/>
  <c r="E9" i="53"/>
  <c r="G9" i="53" s="1"/>
  <c r="E8" i="53"/>
  <c r="G8" i="53" s="1"/>
  <c r="E7" i="53"/>
  <c r="G7" i="53" s="1"/>
  <c r="E6" i="53"/>
  <c r="H6" i="53" s="1"/>
  <c r="E5" i="53"/>
  <c r="H5" i="53" s="1"/>
  <c r="E4" i="53"/>
  <c r="G4" i="53" s="1"/>
  <c r="E3" i="53"/>
  <c r="H3" i="53" s="1"/>
  <c r="E2" i="53"/>
  <c r="E96" i="54" l="1"/>
  <c r="A3" i="54"/>
  <c r="E64" i="54"/>
  <c r="D3" i="54" s="1"/>
  <c r="I52" i="54"/>
  <c r="I58" i="54"/>
  <c r="C3" i="54"/>
  <c r="I57" i="54"/>
  <c r="I391" i="53"/>
  <c r="I235" i="53"/>
  <c r="I619" i="53"/>
  <c r="G122" i="53"/>
  <c r="I122" i="53" s="1"/>
  <c r="I348" i="53"/>
  <c r="I747" i="53"/>
  <c r="G730" i="53"/>
  <c r="I730" i="53" s="1"/>
  <c r="I365" i="53"/>
  <c r="I621" i="53"/>
  <c r="G172" i="53"/>
  <c r="I172" i="53" s="1"/>
  <c r="G490" i="53"/>
  <c r="I490" i="53" s="1"/>
  <c r="I263" i="53"/>
  <c r="G232" i="53"/>
  <c r="I232" i="53" s="1"/>
  <c r="I125" i="53"/>
  <c r="G286" i="53"/>
  <c r="I286" i="53" s="1"/>
  <c r="G491" i="53"/>
  <c r="I491" i="53" s="1"/>
  <c r="I94" i="53"/>
  <c r="I463" i="53"/>
  <c r="G54" i="53"/>
  <c r="I54" i="53" s="1"/>
  <c r="G538" i="53"/>
  <c r="I538" i="53" s="1"/>
  <c r="G604" i="53"/>
  <c r="I604" i="53" s="1"/>
  <c r="G714" i="53"/>
  <c r="I714" i="53" s="1"/>
  <c r="I584" i="53"/>
  <c r="I512" i="53"/>
  <c r="G56" i="53"/>
  <c r="I56" i="53" s="1"/>
  <c r="G223" i="53"/>
  <c r="I223" i="53" s="1"/>
  <c r="G267" i="53"/>
  <c r="I267" i="53" s="1"/>
  <c r="G585" i="53"/>
  <c r="I585" i="53" s="1"/>
  <c r="G652" i="53"/>
  <c r="I652" i="53" s="1"/>
  <c r="G715" i="53"/>
  <c r="I715" i="53" s="1"/>
  <c r="I118" i="53"/>
  <c r="I103" i="53"/>
  <c r="I601" i="53"/>
  <c r="I80" i="53"/>
  <c r="I449" i="53"/>
  <c r="I194" i="53"/>
  <c r="I210" i="53"/>
  <c r="I626" i="53"/>
  <c r="I737" i="53"/>
  <c r="G33" i="53"/>
  <c r="I33" i="53" s="1"/>
  <c r="G155" i="53"/>
  <c r="I155" i="53" s="1"/>
  <c r="G225" i="53"/>
  <c r="I225" i="53" s="1"/>
  <c r="G380" i="53"/>
  <c r="I380" i="53" s="1"/>
  <c r="G426" i="53"/>
  <c r="I426" i="53" s="1"/>
  <c r="G567" i="53"/>
  <c r="I567" i="53" s="1"/>
  <c r="G759" i="53"/>
  <c r="I759" i="53" s="1"/>
  <c r="I696" i="53"/>
  <c r="I179" i="53"/>
  <c r="I211" i="53"/>
  <c r="I243" i="53"/>
  <c r="I307" i="53"/>
  <c r="I323" i="53"/>
  <c r="I515" i="53"/>
  <c r="I627" i="53"/>
  <c r="I770" i="53"/>
  <c r="G248" i="53"/>
  <c r="I248" i="53" s="1"/>
  <c r="G568" i="53"/>
  <c r="I568" i="53" s="1"/>
  <c r="I712" i="53"/>
  <c r="I83" i="53"/>
  <c r="I164" i="53"/>
  <c r="I244" i="53"/>
  <c r="I500" i="53"/>
  <c r="I516" i="53"/>
  <c r="I564" i="53"/>
  <c r="I675" i="53"/>
  <c r="I755" i="53"/>
  <c r="G158" i="53"/>
  <c r="I158" i="53" s="1"/>
  <c r="G227" i="53"/>
  <c r="I227" i="53" s="1"/>
  <c r="G273" i="53"/>
  <c r="I273" i="53" s="1"/>
  <c r="G429" i="53"/>
  <c r="I429" i="53" s="1"/>
  <c r="G547" i="53"/>
  <c r="I547" i="53" s="1"/>
  <c r="G611" i="53"/>
  <c r="I611" i="53" s="1"/>
  <c r="G636" i="53"/>
  <c r="I636" i="53" s="1"/>
  <c r="G762" i="53"/>
  <c r="I762" i="53" s="1"/>
  <c r="G782" i="53"/>
  <c r="I782" i="53" s="1"/>
  <c r="G112" i="53"/>
  <c r="I112" i="53" s="1"/>
  <c r="G183" i="53"/>
  <c r="I183" i="53" s="1"/>
  <c r="G274" i="53"/>
  <c r="I274" i="53" s="1"/>
  <c r="G744" i="53"/>
  <c r="I744" i="53" s="1"/>
  <c r="I52" i="53"/>
  <c r="I437" i="53"/>
  <c r="I470" i="53"/>
  <c r="I502" i="53"/>
  <c r="I582" i="53"/>
  <c r="I693" i="53"/>
  <c r="G615" i="53"/>
  <c r="I615" i="53" s="1"/>
  <c r="G786" i="53"/>
  <c r="I786" i="53" s="1"/>
  <c r="I120" i="53"/>
  <c r="I169" i="53"/>
  <c r="I665" i="53"/>
  <c r="I589" i="53"/>
  <c r="I414" i="53"/>
  <c r="I61" i="53"/>
  <c r="I190" i="53"/>
  <c r="I238" i="53"/>
  <c r="I46" i="53"/>
  <c r="I143" i="53"/>
  <c r="I495" i="53"/>
  <c r="I31" i="53"/>
  <c r="I304" i="53"/>
  <c r="I368" i="53"/>
  <c r="I177" i="53"/>
  <c r="I545" i="53"/>
  <c r="I98" i="53"/>
  <c r="I259" i="53"/>
  <c r="I676" i="53"/>
  <c r="I486" i="53"/>
  <c r="I454" i="53"/>
  <c r="I199" i="53"/>
  <c r="I327" i="53"/>
  <c r="I343" i="53"/>
  <c r="I439" i="53"/>
  <c r="I40" i="53"/>
  <c r="I409" i="53"/>
  <c r="I617" i="53"/>
  <c r="I139" i="53"/>
  <c r="I42" i="53"/>
  <c r="I528" i="53"/>
  <c r="I208" i="53"/>
  <c r="I113" i="53"/>
  <c r="I276" i="53"/>
  <c r="I69" i="53"/>
  <c r="I550" i="53"/>
  <c r="H207" i="53"/>
  <c r="I207" i="53" s="1"/>
  <c r="H289" i="53"/>
  <c r="I289" i="53" s="1"/>
  <c r="I265" i="53"/>
  <c r="H616" i="53"/>
  <c r="I616" i="53" s="1"/>
  <c r="I222" i="53"/>
  <c r="I452" i="53"/>
  <c r="I133" i="53"/>
  <c r="I131" i="53"/>
  <c r="I119" i="53"/>
  <c r="I85" i="53"/>
  <c r="I214" i="53"/>
  <c r="I294" i="53"/>
  <c r="I518" i="53"/>
  <c r="I773" i="53"/>
  <c r="G789" i="53"/>
  <c r="I789" i="53" s="1"/>
  <c r="G805" i="53"/>
  <c r="I805" i="53" s="1"/>
  <c r="G821" i="53"/>
  <c r="I821" i="53" s="1"/>
  <c r="G837" i="53"/>
  <c r="I837" i="53" s="1"/>
  <c r="G853" i="53"/>
  <c r="I853" i="53" s="1"/>
  <c r="G869" i="53"/>
  <c r="I869" i="53" s="1"/>
  <c r="G885" i="53"/>
  <c r="I885" i="53" s="1"/>
  <c r="G901" i="53"/>
  <c r="I901" i="53" s="1"/>
  <c r="G917" i="53"/>
  <c r="I917" i="53" s="1"/>
  <c r="G933" i="53"/>
  <c r="I933" i="53" s="1"/>
  <c r="G949" i="53"/>
  <c r="I949" i="53" s="1"/>
  <c r="G965" i="53"/>
  <c r="I965" i="53" s="1"/>
  <c r="G981" i="53"/>
  <c r="I981" i="53" s="1"/>
  <c r="G997" i="53"/>
  <c r="I997" i="53" s="1"/>
  <c r="I215" i="53"/>
  <c r="I295" i="53"/>
  <c r="I21" i="53"/>
  <c r="I22" i="53"/>
  <c r="I135" i="53"/>
  <c r="I279" i="53"/>
  <c r="I70" i="53"/>
  <c r="I489" i="53"/>
  <c r="I553" i="53"/>
  <c r="I375" i="53"/>
  <c r="I774" i="53"/>
  <c r="I234" i="53"/>
  <c r="I266" i="53"/>
  <c r="I298" i="53"/>
  <c r="I346" i="53"/>
  <c r="I522" i="53"/>
  <c r="I697" i="53"/>
  <c r="I521" i="53"/>
  <c r="I345" i="53"/>
  <c r="I89" i="53"/>
  <c r="I347" i="53"/>
  <c r="I587" i="53"/>
  <c r="I698" i="53"/>
  <c r="I746" i="53"/>
  <c r="I794" i="53"/>
  <c r="I810" i="53"/>
  <c r="I826" i="53"/>
  <c r="I842" i="53"/>
  <c r="I858" i="53"/>
  <c r="I874" i="53"/>
  <c r="I890" i="53"/>
  <c r="I906" i="53"/>
  <c r="I922" i="53"/>
  <c r="I938" i="53"/>
  <c r="I954" i="53"/>
  <c r="I970" i="53"/>
  <c r="I986" i="53"/>
  <c r="G952" i="53"/>
  <c r="I952" i="53" s="1"/>
  <c r="G936" i="53"/>
  <c r="I936" i="53" s="1"/>
  <c r="G920" i="53"/>
  <c r="I920" i="53" s="1"/>
  <c r="G904" i="53"/>
  <c r="I904" i="53" s="1"/>
  <c r="G888" i="53"/>
  <c r="I888" i="53" s="1"/>
  <c r="G872" i="53"/>
  <c r="I872" i="53" s="1"/>
  <c r="G856" i="53"/>
  <c r="I856" i="53" s="1"/>
  <c r="G840" i="53"/>
  <c r="I840" i="53" s="1"/>
  <c r="G824" i="53"/>
  <c r="I824" i="53" s="1"/>
  <c r="G808" i="53"/>
  <c r="I808" i="53" s="1"/>
  <c r="G792" i="53"/>
  <c r="I792" i="53" s="1"/>
  <c r="I663" i="53"/>
  <c r="I551" i="53"/>
  <c r="I457" i="53"/>
  <c r="I154" i="53"/>
  <c r="I88" i="53"/>
  <c r="I188" i="53"/>
  <c r="I268" i="53"/>
  <c r="I300" i="53"/>
  <c r="I396" i="53"/>
  <c r="I428" i="53"/>
  <c r="I492" i="53"/>
  <c r="I524" i="53"/>
  <c r="I556" i="53"/>
  <c r="I588" i="53"/>
  <c r="I668" i="53"/>
  <c r="I795" i="53"/>
  <c r="I811" i="53"/>
  <c r="I827" i="53"/>
  <c r="I843" i="53"/>
  <c r="I859" i="53"/>
  <c r="I875" i="53"/>
  <c r="I891" i="53"/>
  <c r="I907" i="53"/>
  <c r="I923" i="53"/>
  <c r="I939" i="53"/>
  <c r="I955" i="53"/>
  <c r="I971" i="53"/>
  <c r="I987" i="53"/>
  <c r="I24" i="53"/>
  <c r="I603" i="53"/>
  <c r="I364" i="53"/>
  <c r="I187" i="53"/>
  <c r="I92" i="53"/>
  <c r="I157" i="53"/>
  <c r="I269" i="53"/>
  <c r="I317" i="53"/>
  <c r="I397" i="53"/>
  <c r="I493" i="53"/>
  <c r="I605" i="53"/>
  <c r="I669" i="53"/>
  <c r="I716" i="53"/>
  <c r="I748" i="53"/>
  <c r="I796" i="53"/>
  <c r="I812" i="53"/>
  <c r="I828" i="53"/>
  <c r="I844" i="53"/>
  <c r="I860" i="53"/>
  <c r="I876" i="53"/>
  <c r="I892" i="53"/>
  <c r="I908" i="53"/>
  <c r="I924" i="53"/>
  <c r="I940" i="53"/>
  <c r="I956" i="53"/>
  <c r="I972" i="53"/>
  <c r="I988" i="53"/>
  <c r="I573" i="53"/>
  <c r="I393" i="53"/>
  <c r="I363" i="53"/>
  <c r="I315" i="53"/>
  <c r="I219" i="53"/>
  <c r="I186" i="53"/>
  <c r="I124" i="53"/>
  <c r="I710" i="53"/>
  <c r="I398" i="53"/>
  <c r="I430" i="53"/>
  <c r="I462" i="53"/>
  <c r="I638" i="53"/>
  <c r="I765" i="53"/>
  <c r="I637" i="53"/>
  <c r="I572" i="53"/>
  <c r="I540" i="53"/>
  <c r="I361" i="53"/>
  <c r="I313" i="53"/>
  <c r="I254" i="53"/>
  <c r="I185" i="53"/>
  <c r="I45" i="53"/>
  <c r="I599" i="53"/>
  <c r="I62" i="53"/>
  <c r="I126" i="53"/>
  <c r="I159" i="53"/>
  <c r="I255" i="53"/>
  <c r="I287" i="53"/>
  <c r="I479" i="53"/>
  <c r="I543" i="53"/>
  <c r="I686" i="53"/>
  <c r="I766" i="53"/>
  <c r="I763" i="53"/>
  <c r="I684" i="53"/>
  <c r="I571" i="53"/>
  <c r="I539" i="53"/>
  <c r="I509" i="53"/>
  <c r="I476" i="53"/>
  <c r="I253" i="53"/>
  <c r="I184" i="53"/>
  <c r="I44" i="53"/>
  <c r="I519" i="53"/>
  <c r="I87" i="53"/>
  <c r="I95" i="53"/>
  <c r="I127" i="53"/>
  <c r="I160" i="53"/>
  <c r="I192" i="53"/>
  <c r="I224" i="53"/>
  <c r="I288" i="53"/>
  <c r="I400" i="53"/>
  <c r="I480" i="53"/>
  <c r="I608" i="53"/>
  <c r="I640" i="53"/>
  <c r="I687" i="53"/>
  <c r="I719" i="53"/>
  <c r="I735" i="53"/>
  <c r="I767" i="53"/>
  <c r="I760" i="53"/>
  <c r="I732" i="53"/>
  <c r="I683" i="53"/>
  <c r="I537" i="53"/>
  <c r="I507" i="53"/>
  <c r="I475" i="53"/>
  <c r="I448" i="53"/>
  <c r="I413" i="53"/>
  <c r="I283" i="53"/>
  <c r="I252" i="53"/>
  <c r="I111" i="53"/>
  <c r="I694" i="53"/>
  <c r="I23" i="53"/>
  <c r="I48" i="53"/>
  <c r="I128" i="53"/>
  <c r="I145" i="53"/>
  <c r="I161" i="53"/>
  <c r="I321" i="53"/>
  <c r="I337" i="53"/>
  <c r="I369" i="53"/>
  <c r="I385" i="53"/>
  <c r="I401" i="53"/>
  <c r="I417" i="53"/>
  <c r="I465" i="53"/>
  <c r="I529" i="53"/>
  <c r="I577" i="53"/>
  <c r="I609" i="53"/>
  <c r="I641" i="53"/>
  <c r="I672" i="53"/>
  <c r="I720" i="53"/>
  <c r="I768" i="53"/>
  <c r="I8" i="53"/>
  <c r="I731" i="53"/>
  <c r="I703" i="53"/>
  <c r="I682" i="53"/>
  <c r="I657" i="53"/>
  <c r="I569" i="53"/>
  <c r="I444" i="53"/>
  <c r="I412" i="53"/>
  <c r="I333" i="53"/>
  <c r="I251" i="53"/>
  <c r="I144" i="53"/>
  <c r="I108" i="53"/>
  <c r="I78" i="53"/>
  <c r="I47" i="53"/>
  <c r="I97" i="53"/>
  <c r="I129" i="53"/>
  <c r="I146" i="53"/>
  <c r="I226" i="53"/>
  <c r="I322" i="53"/>
  <c r="I338" i="53"/>
  <c r="I386" i="53"/>
  <c r="I418" i="53"/>
  <c r="I482" i="53"/>
  <c r="I530" i="53"/>
  <c r="I594" i="53"/>
  <c r="I610" i="53"/>
  <c r="I642" i="53"/>
  <c r="I658" i="53"/>
  <c r="I689" i="53"/>
  <c r="I721" i="53"/>
  <c r="I785" i="53"/>
  <c r="I9" i="53"/>
  <c r="G993" i="53"/>
  <c r="I993" i="53" s="1"/>
  <c r="G977" i="53"/>
  <c r="I977" i="53" s="1"/>
  <c r="G961" i="53"/>
  <c r="I961" i="53" s="1"/>
  <c r="G945" i="53"/>
  <c r="I945" i="53" s="1"/>
  <c r="G929" i="53"/>
  <c r="I929" i="53" s="1"/>
  <c r="G913" i="53"/>
  <c r="I913" i="53" s="1"/>
  <c r="G897" i="53"/>
  <c r="I897" i="53" s="1"/>
  <c r="G881" i="53"/>
  <c r="I881" i="53" s="1"/>
  <c r="G865" i="53"/>
  <c r="I865" i="53" s="1"/>
  <c r="G849" i="53"/>
  <c r="I849" i="53" s="1"/>
  <c r="G833" i="53"/>
  <c r="I833" i="53" s="1"/>
  <c r="G817" i="53"/>
  <c r="I817" i="53" s="1"/>
  <c r="G801" i="53"/>
  <c r="I801" i="53" s="1"/>
  <c r="I780" i="53"/>
  <c r="I656" i="53"/>
  <c r="I593" i="53"/>
  <c r="I562" i="53"/>
  <c r="I535" i="53"/>
  <c r="I505" i="53"/>
  <c r="I473" i="53"/>
  <c r="I443" i="53"/>
  <c r="I354" i="53"/>
  <c r="I331" i="53"/>
  <c r="I281" i="53"/>
  <c r="I249" i="53"/>
  <c r="I206" i="53"/>
  <c r="I174" i="53"/>
  <c r="I142" i="53"/>
  <c r="I107" i="53"/>
  <c r="I76" i="53"/>
  <c r="I455" i="53"/>
  <c r="I424" i="53"/>
  <c r="I50" i="53"/>
  <c r="I66" i="53"/>
  <c r="I82" i="53"/>
  <c r="I114" i="53"/>
  <c r="I147" i="53"/>
  <c r="I291" i="53"/>
  <c r="I339" i="53"/>
  <c r="I371" i="53"/>
  <c r="I419" i="53"/>
  <c r="I451" i="53"/>
  <c r="I483" i="53"/>
  <c r="I595" i="53"/>
  <c r="I643" i="53"/>
  <c r="I659" i="53"/>
  <c r="I690" i="53"/>
  <c r="I706" i="53"/>
  <c r="I722" i="53"/>
  <c r="I802" i="53"/>
  <c r="I818" i="53"/>
  <c r="I834" i="53"/>
  <c r="I850" i="53"/>
  <c r="I866" i="53"/>
  <c r="I882" i="53"/>
  <c r="I898" i="53"/>
  <c r="I914" i="53"/>
  <c r="I930" i="53"/>
  <c r="I946" i="53"/>
  <c r="I962" i="53"/>
  <c r="I978" i="53"/>
  <c r="I994" i="53"/>
  <c r="I10" i="53"/>
  <c r="G992" i="53"/>
  <c r="I992" i="53" s="1"/>
  <c r="G976" i="53"/>
  <c r="I976" i="53" s="1"/>
  <c r="G960" i="53"/>
  <c r="I960" i="53" s="1"/>
  <c r="G944" i="53"/>
  <c r="I944" i="53" s="1"/>
  <c r="G928" i="53"/>
  <c r="I928" i="53" s="1"/>
  <c r="G912" i="53"/>
  <c r="I912" i="53" s="1"/>
  <c r="G896" i="53"/>
  <c r="I896" i="53" s="1"/>
  <c r="G880" i="53"/>
  <c r="I880" i="53" s="1"/>
  <c r="G864" i="53"/>
  <c r="I864" i="53" s="1"/>
  <c r="G848" i="53"/>
  <c r="I848" i="53" s="1"/>
  <c r="G832" i="53"/>
  <c r="I832" i="53" s="1"/>
  <c r="G816" i="53"/>
  <c r="I816" i="53" s="1"/>
  <c r="G800" i="53"/>
  <c r="I800" i="53" s="1"/>
  <c r="I778" i="53"/>
  <c r="I754" i="53"/>
  <c r="I680" i="53"/>
  <c r="I625" i="53"/>
  <c r="I592" i="53"/>
  <c r="I441" i="53"/>
  <c r="I407" i="53"/>
  <c r="I381" i="53"/>
  <c r="I353" i="53"/>
  <c r="I305" i="53"/>
  <c r="I205" i="53"/>
  <c r="I173" i="53"/>
  <c r="I141" i="53"/>
  <c r="I105" i="53"/>
  <c r="I73" i="53"/>
  <c r="I29" i="53"/>
  <c r="I19" i="53"/>
  <c r="I35" i="53"/>
  <c r="I67" i="53"/>
  <c r="I99" i="53"/>
  <c r="I115" i="53"/>
  <c r="I132" i="53"/>
  <c r="I148" i="53"/>
  <c r="I196" i="53"/>
  <c r="I212" i="53"/>
  <c r="I228" i="53"/>
  <c r="I260" i="53"/>
  <c r="I292" i="53"/>
  <c r="I308" i="53"/>
  <c r="I356" i="53"/>
  <c r="I372" i="53"/>
  <c r="I388" i="53"/>
  <c r="I420" i="53"/>
  <c r="I468" i="53"/>
  <c r="I484" i="53"/>
  <c r="I596" i="53"/>
  <c r="I612" i="53"/>
  <c r="I628" i="53"/>
  <c r="I644" i="53"/>
  <c r="I660" i="53"/>
  <c r="I707" i="53"/>
  <c r="I771" i="53"/>
  <c r="I787" i="53"/>
  <c r="I803" i="53"/>
  <c r="I819" i="53"/>
  <c r="I835" i="53"/>
  <c r="I851" i="53"/>
  <c r="I867" i="53"/>
  <c r="I883" i="53"/>
  <c r="I899" i="53"/>
  <c r="I915" i="53"/>
  <c r="I931" i="53"/>
  <c r="I947" i="53"/>
  <c r="I963" i="53"/>
  <c r="I979" i="53"/>
  <c r="I11" i="53"/>
  <c r="G991" i="53"/>
  <c r="I991" i="53" s="1"/>
  <c r="G975" i="53"/>
  <c r="I975" i="53" s="1"/>
  <c r="G959" i="53"/>
  <c r="I959" i="53" s="1"/>
  <c r="G943" i="53"/>
  <c r="I943" i="53" s="1"/>
  <c r="G927" i="53"/>
  <c r="I927" i="53" s="1"/>
  <c r="G911" i="53"/>
  <c r="I911" i="53" s="1"/>
  <c r="G895" i="53"/>
  <c r="I895" i="53" s="1"/>
  <c r="G879" i="53"/>
  <c r="I879" i="53" s="1"/>
  <c r="G863" i="53"/>
  <c r="I863" i="53" s="1"/>
  <c r="G847" i="53"/>
  <c r="I847" i="53" s="1"/>
  <c r="G831" i="53"/>
  <c r="I831" i="53" s="1"/>
  <c r="G815" i="53"/>
  <c r="I815" i="53" s="1"/>
  <c r="G799" i="53"/>
  <c r="I799" i="53" s="1"/>
  <c r="I776" i="53"/>
  <c r="I752" i="53"/>
  <c r="I700" i="53"/>
  <c r="I624" i="53"/>
  <c r="I503" i="53"/>
  <c r="I471" i="53"/>
  <c r="I433" i="53"/>
  <c r="I404" i="53"/>
  <c r="I379" i="53"/>
  <c r="I352" i="53"/>
  <c r="I329" i="53"/>
  <c r="I171" i="53"/>
  <c r="I72" i="53"/>
  <c r="I28" i="53"/>
  <c r="I20" i="53"/>
  <c r="I36" i="53"/>
  <c r="I68" i="53"/>
  <c r="I84" i="53"/>
  <c r="I181" i="53"/>
  <c r="I197" i="53"/>
  <c r="I213" i="53"/>
  <c r="I229" i="53"/>
  <c r="I245" i="53"/>
  <c r="I293" i="53"/>
  <c r="I309" i="53"/>
  <c r="I325" i="53"/>
  <c r="I341" i="53"/>
  <c r="I453" i="53"/>
  <c r="I517" i="53"/>
  <c r="I533" i="53"/>
  <c r="I549" i="53"/>
  <c r="I581" i="53"/>
  <c r="I629" i="53"/>
  <c r="I645" i="53"/>
  <c r="I661" i="53"/>
  <c r="I692" i="53"/>
  <c r="I724" i="53"/>
  <c r="I740" i="53"/>
  <c r="I756" i="53"/>
  <c r="I772" i="53"/>
  <c r="I804" i="53"/>
  <c r="I820" i="53"/>
  <c r="I836" i="53"/>
  <c r="I852" i="53"/>
  <c r="I868" i="53"/>
  <c r="I884" i="53"/>
  <c r="I900" i="53"/>
  <c r="I916" i="53"/>
  <c r="I932" i="53"/>
  <c r="I948" i="53"/>
  <c r="I964" i="53"/>
  <c r="I15" i="53"/>
  <c r="G990" i="53"/>
  <c r="I990" i="53" s="1"/>
  <c r="G974" i="53"/>
  <c r="I974" i="53" s="1"/>
  <c r="G958" i="53"/>
  <c r="I958" i="53" s="1"/>
  <c r="G942" i="53"/>
  <c r="I942" i="53" s="1"/>
  <c r="G926" i="53"/>
  <c r="I926" i="53" s="1"/>
  <c r="G910" i="53"/>
  <c r="I910" i="53" s="1"/>
  <c r="G894" i="53"/>
  <c r="I894" i="53" s="1"/>
  <c r="G878" i="53"/>
  <c r="I878" i="53" s="1"/>
  <c r="G862" i="53"/>
  <c r="I862" i="53" s="1"/>
  <c r="G846" i="53"/>
  <c r="I846" i="53" s="1"/>
  <c r="G830" i="53"/>
  <c r="I830" i="53" s="1"/>
  <c r="G814" i="53"/>
  <c r="I814" i="53" s="1"/>
  <c r="G798" i="53"/>
  <c r="I798" i="53" s="1"/>
  <c r="I775" i="53"/>
  <c r="I751" i="53"/>
  <c r="I723" i="53"/>
  <c r="I699" i="53"/>
  <c r="I678" i="53"/>
  <c r="I647" i="53"/>
  <c r="I623" i="53"/>
  <c r="I590" i="53"/>
  <c r="I557" i="53"/>
  <c r="I532" i="53"/>
  <c r="I498" i="53"/>
  <c r="I469" i="53"/>
  <c r="I432" i="53"/>
  <c r="I402" i="53"/>
  <c r="I378" i="53"/>
  <c r="I351" i="53"/>
  <c r="I301" i="53"/>
  <c r="I277" i="53"/>
  <c r="I240" i="53"/>
  <c r="I201" i="53"/>
  <c r="I168" i="53"/>
  <c r="I136" i="53"/>
  <c r="I100" i="53"/>
  <c r="I71" i="53"/>
  <c r="I25" i="53"/>
  <c r="I200" i="53"/>
  <c r="I280" i="53"/>
  <c r="I312" i="53"/>
  <c r="I360" i="53"/>
  <c r="I408" i="53"/>
  <c r="I456" i="53"/>
  <c r="I472" i="53"/>
  <c r="I504" i="53"/>
  <c r="I520" i="53"/>
  <c r="I536" i="53"/>
  <c r="I552" i="53"/>
  <c r="I632" i="53"/>
  <c r="I679" i="53"/>
  <c r="I743" i="53"/>
  <c r="I791" i="53"/>
  <c r="I807" i="53"/>
  <c r="I823" i="53"/>
  <c r="I839" i="53"/>
  <c r="I855" i="53"/>
  <c r="I871" i="53"/>
  <c r="I887" i="53"/>
  <c r="I903" i="53"/>
  <c r="I919" i="53"/>
  <c r="I935" i="53"/>
  <c r="I951" i="53"/>
  <c r="I967" i="53"/>
  <c r="I983" i="53"/>
  <c r="I984" i="53"/>
  <c r="I968" i="53"/>
  <c r="I138" i="53"/>
  <c r="I202" i="53"/>
  <c r="I282" i="53"/>
  <c r="I330" i="53"/>
  <c r="I394" i="53"/>
  <c r="I458" i="53"/>
  <c r="I474" i="53"/>
  <c r="I506" i="53"/>
  <c r="I554" i="53"/>
  <c r="I570" i="53"/>
  <c r="I634" i="53"/>
  <c r="I650" i="53"/>
  <c r="I681" i="53"/>
  <c r="I729" i="53"/>
  <c r="I745" i="53"/>
  <c r="I793" i="53"/>
  <c r="I809" i="53"/>
  <c r="I825" i="53"/>
  <c r="I841" i="53"/>
  <c r="I857" i="53"/>
  <c r="I873" i="53"/>
  <c r="I889" i="53"/>
  <c r="I905" i="53"/>
  <c r="I921" i="53"/>
  <c r="I937" i="53"/>
  <c r="I953" i="53"/>
  <c r="I969" i="53"/>
  <c r="I985" i="53"/>
  <c r="I302" i="53"/>
  <c r="I318" i="53"/>
  <c r="I350" i="53"/>
  <c r="I382" i="53"/>
  <c r="I558" i="53"/>
  <c r="I574" i="53"/>
  <c r="I701" i="53"/>
  <c r="I717" i="53"/>
  <c r="I797" i="53"/>
  <c r="I813" i="53"/>
  <c r="I829" i="53"/>
  <c r="I845" i="53"/>
  <c r="I861" i="53"/>
  <c r="I877" i="53"/>
  <c r="I893" i="53"/>
  <c r="I909" i="53"/>
  <c r="I925" i="53"/>
  <c r="I941" i="53"/>
  <c r="I957" i="53"/>
  <c r="I973" i="53"/>
  <c r="I989" i="53"/>
  <c r="I239" i="53"/>
  <c r="I271" i="53"/>
  <c r="I319" i="53"/>
  <c r="I335" i="53"/>
  <c r="I367" i="53"/>
  <c r="I383" i="53"/>
  <c r="I399" i="53"/>
  <c r="I415" i="53"/>
  <c r="I431" i="53"/>
  <c r="I559" i="53"/>
  <c r="I575" i="53"/>
  <c r="I591" i="53"/>
  <c r="I655" i="53"/>
  <c r="I702" i="53"/>
  <c r="I718" i="53"/>
  <c r="I734" i="53"/>
  <c r="I750" i="53"/>
  <c r="I995" i="53"/>
  <c r="I996" i="53"/>
  <c r="I980" i="53"/>
  <c r="I101" i="53"/>
  <c r="I166" i="53"/>
  <c r="I182" i="53"/>
  <c r="I230" i="53"/>
  <c r="I246" i="53"/>
  <c r="I262" i="53"/>
  <c r="I310" i="53"/>
  <c r="I326" i="53"/>
  <c r="I342" i="53"/>
  <c r="I358" i="53"/>
  <c r="I646" i="53"/>
  <c r="I662" i="53"/>
  <c r="I677" i="53"/>
  <c r="I741" i="53"/>
  <c r="I757" i="53"/>
  <c r="I597" i="53"/>
  <c r="I86" i="53"/>
  <c r="I198" i="53"/>
  <c r="I534" i="53"/>
  <c r="I725" i="53"/>
  <c r="I790" i="53"/>
  <c r="I806" i="53"/>
  <c r="I822" i="53"/>
  <c r="I838" i="53"/>
  <c r="I854" i="53"/>
  <c r="I870" i="53"/>
  <c r="I886" i="53"/>
  <c r="I902" i="53"/>
  <c r="I918" i="53"/>
  <c r="I934" i="53"/>
  <c r="I950" i="53"/>
  <c r="I966" i="53"/>
  <c r="I982" i="53"/>
  <c r="I152" i="53"/>
  <c r="I264" i="53"/>
  <c r="I328" i="53"/>
  <c r="I488" i="53"/>
  <c r="I664" i="53"/>
  <c r="I442" i="53"/>
  <c r="I395" i="53"/>
  <c r="I555" i="53"/>
  <c r="I109" i="53"/>
  <c r="I221" i="53"/>
  <c r="I285" i="53"/>
  <c r="I349" i="53"/>
  <c r="I622" i="53"/>
  <c r="I685" i="53"/>
  <c r="I749" i="53"/>
  <c r="I175" i="53"/>
  <c r="I511" i="53"/>
  <c r="I64" i="53"/>
  <c r="I416" i="53"/>
  <c r="I576" i="53"/>
  <c r="I704" i="53"/>
  <c r="I34" i="53"/>
  <c r="I242" i="53"/>
  <c r="I370" i="53"/>
  <c r="I466" i="53"/>
  <c r="I769" i="53"/>
  <c r="I53" i="53"/>
  <c r="I389" i="53"/>
  <c r="H548" i="53"/>
  <c r="I548" i="53" s="1"/>
  <c r="H613" i="53"/>
  <c r="I613" i="53" s="1"/>
  <c r="I546" i="53"/>
  <c r="I275" i="53"/>
  <c r="I6" i="53"/>
  <c r="I102" i="53"/>
  <c r="I390" i="53"/>
  <c r="I438" i="53"/>
  <c r="H278" i="53"/>
  <c r="I278" i="53" s="1"/>
  <c r="H340" i="53"/>
  <c r="I340" i="53" s="1"/>
  <c r="H499" i="53"/>
  <c r="I499" i="53" s="1"/>
  <c r="H614" i="53"/>
  <c r="I614" i="53" s="1"/>
  <c r="H673" i="53"/>
  <c r="I673" i="53" s="1"/>
  <c r="H739" i="53"/>
  <c r="I739" i="53" s="1"/>
  <c r="H51" i="53"/>
  <c r="I51" i="53" s="1"/>
  <c r="I55" i="53"/>
  <c r="H165" i="53"/>
  <c r="I165" i="53" s="1"/>
  <c r="H405" i="53"/>
  <c r="I405" i="53" s="1"/>
  <c r="H501" i="53"/>
  <c r="I501" i="53" s="1"/>
  <c r="H674" i="53"/>
  <c r="I674" i="53" s="1"/>
  <c r="H742" i="53"/>
  <c r="I742" i="53" s="1"/>
  <c r="I403" i="53"/>
  <c r="I104" i="53"/>
  <c r="I216" i="53"/>
  <c r="I344" i="53"/>
  <c r="I392" i="53"/>
  <c r="I440" i="53"/>
  <c r="H167" i="53"/>
  <c r="I167" i="53" s="1"/>
  <c r="H231" i="53"/>
  <c r="I231" i="53" s="1"/>
  <c r="H406" i="53"/>
  <c r="I406" i="53" s="1"/>
  <c r="I497" i="53"/>
  <c r="I18" i="53"/>
  <c r="I450" i="53"/>
  <c r="I355" i="53"/>
  <c r="I57" i="53"/>
  <c r="I153" i="53"/>
  <c r="I217" i="53"/>
  <c r="H116" i="53"/>
  <c r="I116" i="53" s="1"/>
  <c r="H233" i="53"/>
  <c r="I233" i="53" s="1"/>
  <c r="H296" i="53"/>
  <c r="I296" i="53" s="1"/>
  <c r="H357" i="53"/>
  <c r="I357" i="53" s="1"/>
  <c r="H565" i="53"/>
  <c r="I565" i="53" s="1"/>
  <c r="H630" i="53"/>
  <c r="I630" i="53" s="1"/>
  <c r="H691" i="53"/>
  <c r="I691" i="53" s="1"/>
  <c r="H758" i="53"/>
  <c r="I758" i="53" s="1"/>
  <c r="I561" i="53"/>
  <c r="I162" i="53"/>
  <c r="I753" i="53"/>
  <c r="I26" i="53"/>
  <c r="I58" i="53"/>
  <c r="I106" i="53"/>
  <c r="I170" i="53"/>
  <c r="I218" i="53"/>
  <c r="I410" i="53"/>
  <c r="I618" i="53"/>
  <c r="I666" i="53"/>
  <c r="H117" i="53"/>
  <c r="I117" i="53" s="1"/>
  <c r="H297" i="53"/>
  <c r="I297" i="53" s="1"/>
  <c r="H359" i="53"/>
  <c r="I359" i="53" s="1"/>
  <c r="H513" i="53"/>
  <c r="I513" i="53" s="1"/>
  <c r="H566" i="53"/>
  <c r="I566" i="53" s="1"/>
  <c r="H631" i="53"/>
  <c r="I631" i="53" s="1"/>
  <c r="H695" i="53"/>
  <c r="I695" i="53" s="1"/>
  <c r="H761" i="53"/>
  <c r="I761" i="53" s="1"/>
  <c r="I738" i="53"/>
  <c r="I27" i="53"/>
  <c r="I59" i="53"/>
  <c r="I411" i="53"/>
  <c r="I459" i="53"/>
  <c r="I667" i="53"/>
  <c r="H121" i="53"/>
  <c r="I121" i="53" s="1"/>
  <c r="H178" i="53"/>
  <c r="I178" i="53" s="1"/>
  <c r="H299" i="53"/>
  <c r="I299" i="53" s="1"/>
  <c r="H362" i="53"/>
  <c r="I362" i="53" s="1"/>
  <c r="H421" i="53"/>
  <c r="I421" i="53" s="1"/>
  <c r="H514" i="53"/>
  <c r="I514" i="53" s="1"/>
  <c r="H578" i="53"/>
  <c r="I578" i="53" s="1"/>
  <c r="H633" i="53"/>
  <c r="I633" i="53" s="1"/>
  <c r="I65" i="53"/>
  <c r="I209" i="53"/>
  <c r="I290" i="53"/>
  <c r="I12" i="53"/>
  <c r="I60" i="53"/>
  <c r="I156" i="53"/>
  <c r="I220" i="53"/>
  <c r="I236" i="53"/>
  <c r="I284" i="53"/>
  <c r="I332" i="53"/>
  <c r="I460" i="53"/>
  <c r="I508" i="53"/>
  <c r="I620" i="53"/>
  <c r="H74" i="53"/>
  <c r="I74" i="53" s="1"/>
  <c r="H123" i="53"/>
  <c r="I123" i="53" s="1"/>
  <c r="H180" i="53"/>
  <c r="I180" i="53" s="1"/>
  <c r="H241" i="53"/>
  <c r="I241" i="53" s="1"/>
  <c r="H422" i="53"/>
  <c r="I422" i="53" s="1"/>
  <c r="H523" i="53"/>
  <c r="I523" i="53" s="1"/>
  <c r="H579" i="53"/>
  <c r="I579" i="53" s="1"/>
  <c r="H635" i="53"/>
  <c r="I635" i="53" s="1"/>
  <c r="H708" i="53"/>
  <c r="I708" i="53" s="1"/>
  <c r="H777" i="53"/>
  <c r="I777" i="53" s="1"/>
  <c r="I13" i="53"/>
  <c r="I93" i="53"/>
  <c r="I237" i="53"/>
  <c r="I445" i="53"/>
  <c r="I461" i="53"/>
  <c r="I764" i="53"/>
  <c r="H37" i="53"/>
  <c r="I37" i="53" s="1"/>
  <c r="H75" i="53"/>
  <c r="I75" i="53" s="1"/>
  <c r="H134" i="53"/>
  <c r="I134" i="53" s="1"/>
  <c r="H189" i="53"/>
  <c r="I189" i="53" s="1"/>
  <c r="H247" i="53"/>
  <c r="I247" i="53" s="1"/>
  <c r="H306" i="53"/>
  <c r="I306" i="53" s="1"/>
  <c r="H373" i="53"/>
  <c r="I373" i="53" s="1"/>
  <c r="H423" i="53"/>
  <c r="I423" i="53" s="1"/>
  <c r="H467" i="53"/>
  <c r="I467" i="53" s="1"/>
  <c r="H525" i="53"/>
  <c r="I525" i="53" s="1"/>
  <c r="H580" i="53"/>
  <c r="I580" i="53" s="1"/>
  <c r="H709" i="53"/>
  <c r="I709" i="53" s="1"/>
  <c r="H779" i="53"/>
  <c r="I779" i="53" s="1"/>
  <c r="I14" i="53"/>
  <c r="I30" i="53"/>
  <c r="I110" i="53"/>
  <c r="I270" i="53"/>
  <c r="I334" i="53"/>
  <c r="I366" i="53"/>
  <c r="I446" i="53"/>
  <c r="I494" i="53"/>
  <c r="I510" i="53"/>
  <c r="I606" i="53"/>
  <c r="I670" i="53"/>
  <c r="I733" i="53"/>
  <c r="H38" i="53"/>
  <c r="I38" i="53" s="1"/>
  <c r="H77" i="53"/>
  <c r="I77" i="53" s="1"/>
  <c r="H137" i="53"/>
  <c r="I137" i="53" s="1"/>
  <c r="H250" i="53"/>
  <c r="I250" i="53" s="1"/>
  <c r="H311" i="53"/>
  <c r="I311" i="53" s="1"/>
  <c r="H374" i="53"/>
  <c r="I374" i="53" s="1"/>
  <c r="H425" i="53"/>
  <c r="I425" i="53" s="1"/>
  <c r="H477" i="53"/>
  <c r="I477" i="53" s="1"/>
  <c r="H526" i="53"/>
  <c r="I526" i="53" s="1"/>
  <c r="H583" i="53"/>
  <c r="I583" i="53" s="1"/>
  <c r="H648" i="53"/>
  <c r="I648" i="53" s="1"/>
  <c r="H711" i="53"/>
  <c r="I711" i="53" s="1"/>
  <c r="H781" i="53"/>
  <c r="I781" i="53" s="1"/>
  <c r="I736" i="53"/>
  <c r="I705" i="53"/>
  <c r="I163" i="53"/>
  <c r="I563" i="53"/>
  <c r="I63" i="53"/>
  <c r="I191" i="53"/>
  <c r="I303" i="53"/>
  <c r="I447" i="53"/>
  <c r="I607" i="53"/>
  <c r="I639" i="53"/>
  <c r="H39" i="53"/>
  <c r="I39" i="53" s="1"/>
  <c r="H79" i="53"/>
  <c r="I79" i="53" s="1"/>
  <c r="H140" i="53"/>
  <c r="I140" i="53" s="1"/>
  <c r="H193" i="53"/>
  <c r="I193" i="53" s="1"/>
  <c r="H314" i="53"/>
  <c r="I314" i="53" s="1"/>
  <c r="H376" i="53"/>
  <c r="I376" i="53" s="1"/>
  <c r="H427" i="53"/>
  <c r="I427" i="53" s="1"/>
  <c r="H478" i="53"/>
  <c r="I478" i="53" s="1"/>
  <c r="H527" i="53"/>
  <c r="I527" i="53" s="1"/>
  <c r="H586" i="53"/>
  <c r="I586" i="53" s="1"/>
  <c r="H649" i="53"/>
  <c r="I649" i="53" s="1"/>
  <c r="H713" i="53"/>
  <c r="I713" i="53" s="1"/>
  <c r="I688" i="53"/>
  <c r="H49" i="53"/>
  <c r="I49" i="53" s="1"/>
  <c r="I16" i="53"/>
  <c r="I32" i="53"/>
  <c r="I96" i="53"/>
  <c r="I176" i="53"/>
  <c r="I256" i="53"/>
  <c r="I272" i="53"/>
  <c r="I336" i="53"/>
  <c r="I464" i="53"/>
  <c r="I496" i="53"/>
  <c r="I544" i="53"/>
  <c r="I560" i="53"/>
  <c r="I783" i="53"/>
  <c r="H2" i="53"/>
  <c r="I2" i="53" s="1"/>
  <c r="H41" i="53"/>
  <c r="I41" i="53" s="1"/>
  <c r="H81" i="53"/>
  <c r="I81" i="53" s="1"/>
  <c r="H149" i="53"/>
  <c r="I149" i="53" s="1"/>
  <c r="H195" i="53"/>
  <c r="I195" i="53" s="1"/>
  <c r="H257" i="53"/>
  <c r="I257" i="53" s="1"/>
  <c r="H316" i="53"/>
  <c r="I316" i="53" s="1"/>
  <c r="H377" i="53"/>
  <c r="I377" i="53" s="1"/>
  <c r="H434" i="53"/>
  <c r="I434" i="53" s="1"/>
  <c r="H481" i="53"/>
  <c r="I481" i="53" s="1"/>
  <c r="H531" i="53"/>
  <c r="I531" i="53" s="1"/>
  <c r="H598" i="53"/>
  <c r="I598" i="53" s="1"/>
  <c r="H651" i="53"/>
  <c r="I651" i="53" s="1"/>
  <c r="H726" i="53"/>
  <c r="I726" i="53" s="1"/>
  <c r="H784" i="53"/>
  <c r="I784" i="53" s="1"/>
  <c r="I387" i="53"/>
  <c r="I435" i="53"/>
  <c r="I324" i="53"/>
  <c r="I436" i="53"/>
  <c r="I5" i="53"/>
  <c r="I261" i="53"/>
  <c r="I485" i="53"/>
  <c r="I150" i="53"/>
  <c r="I151" i="53"/>
  <c r="I487" i="53"/>
  <c r="I600" i="53"/>
  <c r="I727" i="53"/>
  <c r="I728" i="53"/>
  <c r="I90" i="53"/>
  <c r="I602" i="53"/>
  <c r="I43" i="53"/>
  <c r="I91" i="53"/>
  <c r="I203" i="53"/>
  <c r="I204" i="53"/>
  <c r="I541" i="53"/>
  <c r="I653" i="53"/>
  <c r="I258" i="53"/>
  <c r="I542" i="53"/>
  <c r="I654" i="53"/>
  <c r="I320" i="53"/>
  <c r="I384" i="53"/>
  <c r="I7" i="53"/>
  <c r="I4" i="53"/>
  <c r="I788" i="53"/>
  <c r="C3" i="51"/>
  <c r="E3" i="51"/>
  <c r="D3" i="51"/>
  <c r="B3" i="51"/>
  <c r="E54" i="51"/>
  <c r="E51" i="51"/>
  <c r="E50" i="51"/>
  <c r="E49" i="51"/>
  <c r="E34" i="51"/>
  <c r="E35" i="51"/>
  <c r="E36" i="51"/>
  <c r="E37" i="51"/>
  <c r="E38" i="51"/>
  <c r="E39" i="51"/>
  <c r="E40" i="51"/>
  <c r="E41" i="51"/>
  <c r="E42" i="51"/>
  <c r="E43" i="51"/>
  <c r="E44" i="51"/>
  <c r="E45" i="51"/>
  <c r="E33" i="51"/>
  <c r="D33" i="51"/>
  <c r="D34" i="51"/>
  <c r="D35" i="51"/>
  <c r="D36" i="51"/>
  <c r="D37" i="51"/>
  <c r="D38" i="51"/>
  <c r="D39" i="51"/>
  <c r="D40" i="51"/>
  <c r="D41" i="51"/>
  <c r="D42" i="51"/>
  <c r="D43" i="51"/>
  <c r="D44" i="51"/>
  <c r="C61" i="51"/>
  <c r="B61" i="51"/>
  <c r="E61" i="51" s="1"/>
  <c r="D45" i="51"/>
  <c r="C60" i="51"/>
  <c r="B60" i="51"/>
  <c r="C59" i="51"/>
  <c r="E59" i="51" s="1"/>
  <c r="B59" i="51"/>
  <c r="C58" i="51"/>
  <c r="E58" i="51" s="1"/>
  <c r="B58" i="51"/>
  <c r="C57" i="51"/>
  <c r="E57" i="51" s="1"/>
  <c r="B57" i="51"/>
  <c r="C56" i="51"/>
  <c r="D56" i="51" s="1"/>
  <c r="B56" i="51"/>
  <c r="C55" i="51"/>
  <c r="E55" i="51" s="1"/>
  <c r="B55" i="51"/>
  <c r="C54" i="51"/>
  <c r="D54" i="51" s="1"/>
  <c r="B54" i="51"/>
  <c r="C53" i="51"/>
  <c r="B53" i="51"/>
  <c r="E53" i="51" s="1"/>
  <c r="C52" i="51"/>
  <c r="B52" i="51"/>
  <c r="E52" i="51" s="1"/>
  <c r="C51" i="51"/>
  <c r="B51" i="51"/>
  <c r="C50" i="51"/>
  <c r="B50" i="51"/>
  <c r="C49" i="51"/>
  <c r="B49" i="51"/>
  <c r="G3" i="51"/>
  <c r="F166" i="35"/>
  <c r="E166" i="35"/>
  <c r="D166" i="35"/>
  <c r="F165" i="35"/>
  <c r="G165" i="35" s="1"/>
  <c r="E165" i="35"/>
  <c r="D165" i="35"/>
  <c r="F164" i="35"/>
  <c r="E164" i="35"/>
  <c r="D164" i="35"/>
  <c r="F163" i="35"/>
  <c r="G163" i="35" s="1"/>
  <c r="E163" i="35"/>
  <c r="D163" i="35"/>
  <c r="F162" i="35"/>
  <c r="E162" i="35"/>
  <c r="D162" i="35"/>
  <c r="G161" i="35"/>
  <c r="F161" i="35"/>
  <c r="E161" i="35"/>
  <c r="D161" i="35"/>
  <c r="F160" i="35"/>
  <c r="E160" i="35"/>
  <c r="D160" i="35"/>
  <c r="F159" i="35"/>
  <c r="E159" i="35"/>
  <c r="D159" i="35"/>
  <c r="F158" i="35"/>
  <c r="E158" i="35"/>
  <c r="D158" i="35"/>
  <c r="F157" i="35"/>
  <c r="G157" i="35" s="1"/>
  <c r="E157" i="35"/>
  <c r="D157" i="35"/>
  <c r="F156" i="35"/>
  <c r="E156" i="35"/>
  <c r="D156" i="35"/>
  <c r="F155" i="35"/>
  <c r="E155" i="35"/>
  <c r="D155" i="35"/>
  <c r="F154" i="35"/>
  <c r="E154" i="35"/>
  <c r="D154" i="35"/>
  <c r="B3" i="49"/>
  <c r="C77" i="36"/>
  <c r="I82" i="49"/>
  <c r="G3" i="49"/>
  <c r="H9" i="50"/>
  <c r="M9" i="50" s="1"/>
  <c r="H130" i="50"/>
  <c r="M130" i="50" s="1"/>
  <c r="E997" i="50"/>
  <c r="H997" i="50" s="1"/>
  <c r="M997" i="50" s="1"/>
  <c r="E996" i="50"/>
  <c r="H996" i="50" s="1"/>
  <c r="M996" i="50" s="1"/>
  <c r="E995" i="50"/>
  <c r="H995" i="50" s="1"/>
  <c r="M995" i="50" s="1"/>
  <c r="E994" i="50"/>
  <c r="H994" i="50" s="1"/>
  <c r="M994" i="50" s="1"/>
  <c r="E993" i="50"/>
  <c r="H993" i="50" s="1"/>
  <c r="M993" i="50" s="1"/>
  <c r="E992" i="50"/>
  <c r="H992" i="50" s="1"/>
  <c r="M992" i="50" s="1"/>
  <c r="E991" i="50"/>
  <c r="H991" i="50" s="1"/>
  <c r="M991" i="50" s="1"/>
  <c r="E990" i="50"/>
  <c r="H990" i="50" s="1"/>
  <c r="M990" i="50" s="1"/>
  <c r="E989" i="50"/>
  <c r="H989" i="50" s="1"/>
  <c r="M989" i="50" s="1"/>
  <c r="E988" i="50"/>
  <c r="H988" i="50" s="1"/>
  <c r="M988" i="50" s="1"/>
  <c r="E987" i="50"/>
  <c r="H987" i="50" s="1"/>
  <c r="M987" i="50" s="1"/>
  <c r="E986" i="50"/>
  <c r="H986" i="50" s="1"/>
  <c r="M986" i="50" s="1"/>
  <c r="E985" i="50"/>
  <c r="H985" i="50" s="1"/>
  <c r="M985" i="50" s="1"/>
  <c r="E984" i="50"/>
  <c r="H984" i="50" s="1"/>
  <c r="M984" i="50" s="1"/>
  <c r="E983" i="50"/>
  <c r="H983" i="50" s="1"/>
  <c r="M983" i="50" s="1"/>
  <c r="E982" i="50"/>
  <c r="H982" i="50" s="1"/>
  <c r="M982" i="50" s="1"/>
  <c r="E981" i="50"/>
  <c r="H981" i="50" s="1"/>
  <c r="M981" i="50" s="1"/>
  <c r="E980" i="50"/>
  <c r="H980" i="50" s="1"/>
  <c r="M980" i="50" s="1"/>
  <c r="E979" i="50"/>
  <c r="H979" i="50" s="1"/>
  <c r="M979" i="50" s="1"/>
  <c r="E978" i="50"/>
  <c r="H978" i="50" s="1"/>
  <c r="M978" i="50" s="1"/>
  <c r="E977" i="50"/>
  <c r="H977" i="50" s="1"/>
  <c r="M977" i="50" s="1"/>
  <c r="E976" i="50"/>
  <c r="H976" i="50" s="1"/>
  <c r="M976" i="50" s="1"/>
  <c r="E975" i="50"/>
  <c r="H975" i="50" s="1"/>
  <c r="M975" i="50" s="1"/>
  <c r="E974" i="50"/>
  <c r="H974" i="50" s="1"/>
  <c r="M974" i="50" s="1"/>
  <c r="E973" i="50"/>
  <c r="H973" i="50" s="1"/>
  <c r="M973" i="50" s="1"/>
  <c r="E972" i="50"/>
  <c r="H972" i="50" s="1"/>
  <c r="M972" i="50" s="1"/>
  <c r="E971" i="50"/>
  <c r="H971" i="50" s="1"/>
  <c r="M971" i="50" s="1"/>
  <c r="E970" i="50"/>
  <c r="H970" i="50" s="1"/>
  <c r="M970" i="50" s="1"/>
  <c r="E969" i="50"/>
  <c r="H969" i="50" s="1"/>
  <c r="M969" i="50" s="1"/>
  <c r="E968" i="50"/>
  <c r="H968" i="50" s="1"/>
  <c r="M968" i="50" s="1"/>
  <c r="E967" i="50"/>
  <c r="H967" i="50" s="1"/>
  <c r="M967" i="50" s="1"/>
  <c r="E966" i="50"/>
  <c r="H966" i="50" s="1"/>
  <c r="M966" i="50" s="1"/>
  <c r="E965" i="50"/>
  <c r="H965" i="50" s="1"/>
  <c r="M965" i="50" s="1"/>
  <c r="E964" i="50"/>
  <c r="H964" i="50" s="1"/>
  <c r="M964" i="50" s="1"/>
  <c r="E963" i="50"/>
  <c r="H963" i="50" s="1"/>
  <c r="M963" i="50" s="1"/>
  <c r="E962" i="50"/>
  <c r="H962" i="50" s="1"/>
  <c r="M962" i="50" s="1"/>
  <c r="E961" i="50"/>
  <c r="H961" i="50" s="1"/>
  <c r="M961" i="50" s="1"/>
  <c r="E960" i="50"/>
  <c r="H960" i="50" s="1"/>
  <c r="M960" i="50" s="1"/>
  <c r="E959" i="50"/>
  <c r="H959" i="50" s="1"/>
  <c r="M959" i="50" s="1"/>
  <c r="E958" i="50"/>
  <c r="H958" i="50" s="1"/>
  <c r="M958" i="50" s="1"/>
  <c r="E957" i="50"/>
  <c r="H957" i="50" s="1"/>
  <c r="M957" i="50" s="1"/>
  <c r="E956" i="50"/>
  <c r="H956" i="50" s="1"/>
  <c r="M956" i="50" s="1"/>
  <c r="E955" i="50"/>
  <c r="H955" i="50" s="1"/>
  <c r="M955" i="50" s="1"/>
  <c r="E954" i="50"/>
  <c r="H954" i="50" s="1"/>
  <c r="M954" i="50" s="1"/>
  <c r="E953" i="50"/>
  <c r="H953" i="50" s="1"/>
  <c r="M953" i="50" s="1"/>
  <c r="E952" i="50"/>
  <c r="H952" i="50" s="1"/>
  <c r="M952" i="50" s="1"/>
  <c r="E951" i="50"/>
  <c r="H951" i="50" s="1"/>
  <c r="M951" i="50" s="1"/>
  <c r="E950" i="50"/>
  <c r="H950" i="50" s="1"/>
  <c r="M950" i="50" s="1"/>
  <c r="E949" i="50"/>
  <c r="H949" i="50" s="1"/>
  <c r="M949" i="50" s="1"/>
  <c r="E948" i="50"/>
  <c r="H948" i="50" s="1"/>
  <c r="M948" i="50" s="1"/>
  <c r="E947" i="50"/>
  <c r="H947" i="50" s="1"/>
  <c r="M947" i="50" s="1"/>
  <c r="E946" i="50"/>
  <c r="H946" i="50" s="1"/>
  <c r="M946" i="50" s="1"/>
  <c r="E945" i="50"/>
  <c r="H945" i="50" s="1"/>
  <c r="M945" i="50" s="1"/>
  <c r="E944" i="50"/>
  <c r="H944" i="50" s="1"/>
  <c r="M944" i="50" s="1"/>
  <c r="E943" i="50"/>
  <c r="H943" i="50" s="1"/>
  <c r="M943" i="50" s="1"/>
  <c r="E942" i="50"/>
  <c r="H942" i="50" s="1"/>
  <c r="M942" i="50" s="1"/>
  <c r="E941" i="50"/>
  <c r="H941" i="50" s="1"/>
  <c r="M941" i="50" s="1"/>
  <c r="E940" i="50"/>
  <c r="H940" i="50" s="1"/>
  <c r="M940" i="50" s="1"/>
  <c r="E939" i="50"/>
  <c r="H939" i="50" s="1"/>
  <c r="M939" i="50" s="1"/>
  <c r="E938" i="50"/>
  <c r="H938" i="50" s="1"/>
  <c r="M938" i="50" s="1"/>
  <c r="E937" i="50"/>
  <c r="H937" i="50" s="1"/>
  <c r="M937" i="50" s="1"/>
  <c r="E936" i="50"/>
  <c r="H936" i="50" s="1"/>
  <c r="M936" i="50" s="1"/>
  <c r="E935" i="50"/>
  <c r="H935" i="50" s="1"/>
  <c r="M935" i="50" s="1"/>
  <c r="E934" i="50"/>
  <c r="H934" i="50" s="1"/>
  <c r="M934" i="50" s="1"/>
  <c r="E933" i="50"/>
  <c r="H933" i="50" s="1"/>
  <c r="M933" i="50" s="1"/>
  <c r="E932" i="50"/>
  <c r="H932" i="50" s="1"/>
  <c r="M932" i="50" s="1"/>
  <c r="E931" i="50"/>
  <c r="H931" i="50" s="1"/>
  <c r="M931" i="50" s="1"/>
  <c r="E930" i="50"/>
  <c r="H930" i="50" s="1"/>
  <c r="M930" i="50" s="1"/>
  <c r="E929" i="50"/>
  <c r="H929" i="50" s="1"/>
  <c r="M929" i="50" s="1"/>
  <c r="E928" i="50"/>
  <c r="H928" i="50" s="1"/>
  <c r="M928" i="50" s="1"/>
  <c r="E927" i="50"/>
  <c r="H927" i="50" s="1"/>
  <c r="M927" i="50" s="1"/>
  <c r="E926" i="50"/>
  <c r="H926" i="50" s="1"/>
  <c r="M926" i="50" s="1"/>
  <c r="E925" i="50"/>
  <c r="H925" i="50" s="1"/>
  <c r="M925" i="50" s="1"/>
  <c r="E924" i="50"/>
  <c r="H924" i="50" s="1"/>
  <c r="M924" i="50" s="1"/>
  <c r="E923" i="50"/>
  <c r="H923" i="50" s="1"/>
  <c r="M923" i="50" s="1"/>
  <c r="E922" i="50"/>
  <c r="H922" i="50" s="1"/>
  <c r="M922" i="50" s="1"/>
  <c r="E921" i="50"/>
  <c r="H921" i="50" s="1"/>
  <c r="M921" i="50" s="1"/>
  <c r="E920" i="50"/>
  <c r="H920" i="50" s="1"/>
  <c r="M920" i="50" s="1"/>
  <c r="E919" i="50"/>
  <c r="H919" i="50" s="1"/>
  <c r="M919" i="50" s="1"/>
  <c r="E918" i="50"/>
  <c r="H918" i="50" s="1"/>
  <c r="M918" i="50" s="1"/>
  <c r="E917" i="50"/>
  <c r="H917" i="50" s="1"/>
  <c r="M917" i="50" s="1"/>
  <c r="E916" i="50"/>
  <c r="H916" i="50" s="1"/>
  <c r="M916" i="50" s="1"/>
  <c r="E915" i="50"/>
  <c r="H915" i="50" s="1"/>
  <c r="M915" i="50" s="1"/>
  <c r="E914" i="50"/>
  <c r="H914" i="50" s="1"/>
  <c r="M914" i="50" s="1"/>
  <c r="E913" i="50"/>
  <c r="H913" i="50" s="1"/>
  <c r="M913" i="50" s="1"/>
  <c r="E912" i="50"/>
  <c r="H912" i="50" s="1"/>
  <c r="M912" i="50" s="1"/>
  <c r="E911" i="50"/>
  <c r="H911" i="50" s="1"/>
  <c r="M911" i="50" s="1"/>
  <c r="E910" i="50"/>
  <c r="H910" i="50" s="1"/>
  <c r="M910" i="50" s="1"/>
  <c r="E909" i="50"/>
  <c r="H909" i="50" s="1"/>
  <c r="M909" i="50" s="1"/>
  <c r="E908" i="50"/>
  <c r="H908" i="50" s="1"/>
  <c r="M908" i="50" s="1"/>
  <c r="E907" i="50"/>
  <c r="H907" i="50" s="1"/>
  <c r="M907" i="50" s="1"/>
  <c r="E906" i="50"/>
  <c r="H906" i="50" s="1"/>
  <c r="M906" i="50" s="1"/>
  <c r="E905" i="50"/>
  <c r="H905" i="50" s="1"/>
  <c r="M905" i="50" s="1"/>
  <c r="E904" i="50"/>
  <c r="H904" i="50" s="1"/>
  <c r="M904" i="50" s="1"/>
  <c r="E903" i="50"/>
  <c r="H903" i="50" s="1"/>
  <c r="M903" i="50" s="1"/>
  <c r="E902" i="50"/>
  <c r="H902" i="50" s="1"/>
  <c r="M902" i="50" s="1"/>
  <c r="E901" i="50"/>
  <c r="H901" i="50" s="1"/>
  <c r="M901" i="50" s="1"/>
  <c r="E900" i="50"/>
  <c r="H900" i="50" s="1"/>
  <c r="M900" i="50" s="1"/>
  <c r="E899" i="50"/>
  <c r="H899" i="50" s="1"/>
  <c r="M899" i="50" s="1"/>
  <c r="E898" i="50"/>
  <c r="H898" i="50" s="1"/>
  <c r="M898" i="50" s="1"/>
  <c r="E897" i="50"/>
  <c r="H897" i="50" s="1"/>
  <c r="M897" i="50" s="1"/>
  <c r="E896" i="50"/>
  <c r="H896" i="50" s="1"/>
  <c r="M896" i="50" s="1"/>
  <c r="E895" i="50"/>
  <c r="H895" i="50" s="1"/>
  <c r="M895" i="50" s="1"/>
  <c r="E894" i="50"/>
  <c r="H894" i="50" s="1"/>
  <c r="M894" i="50" s="1"/>
  <c r="E893" i="50"/>
  <c r="H893" i="50" s="1"/>
  <c r="M893" i="50" s="1"/>
  <c r="E892" i="50"/>
  <c r="H892" i="50" s="1"/>
  <c r="M892" i="50" s="1"/>
  <c r="E891" i="50"/>
  <c r="H891" i="50" s="1"/>
  <c r="M891" i="50" s="1"/>
  <c r="E890" i="50"/>
  <c r="H890" i="50" s="1"/>
  <c r="M890" i="50" s="1"/>
  <c r="E889" i="50"/>
  <c r="H889" i="50" s="1"/>
  <c r="M889" i="50" s="1"/>
  <c r="E888" i="50"/>
  <c r="H888" i="50" s="1"/>
  <c r="M888" i="50" s="1"/>
  <c r="E887" i="50"/>
  <c r="H887" i="50" s="1"/>
  <c r="M887" i="50" s="1"/>
  <c r="E886" i="50"/>
  <c r="H886" i="50" s="1"/>
  <c r="M886" i="50" s="1"/>
  <c r="E885" i="50"/>
  <c r="H885" i="50" s="1"/>
  <c r="M885" i="50" s="1"/>
  <c r="E884" i="50"/>
  <c r="H884" i="50" s="1"/>
  <c r="M884" i="50" s="1"/>
  <c r="E883" i="50"/>
  <c r="H883" i="50" s="1"/>
  <c r="M883" i="50" s="1"/>
  <c r="E882" i="50"/>
  <c r="H882" i="50" s="1"/>
  <c r="M882" i="50" s="1"/>
  <c r="E881" i="50"/>
  <c r="H881" i="50" s="1"/>
  <c r="M881" i="50" s="1"/>
  <c r="E880" i="50"/>
  <c r="H880" i="50" s="1"/>
  <c r="M880" i="50" s="1"/>
  <c r="E879" i="50"/>
  <c r="H879" i="50" s="1"/>
  <c r="M879" i="50" s="1"/>
  <c r="E878" i="50"/>
  <c r="H878" i="50" s="1"/>
  <c r="M878" i="50" s="1"/>
  <c r="E877" i="50"/>
  <c r="H877" i="50" s="1"/>
  <c r="M877" i="50" s="1"/>
  <c r="E876" i="50"/>
  <c r="H876" i="50" s="1"/>
  <c r="M876" i="50" s="1"/>
  <c r="E875" i="50"/>
  <c r="H875" i="50" s="1"/>
  <c r="M875" i="50" s="1"/>
  <c r="E874" i="50"/>
  <c r="H874" i="50" s="1"/>
  <c r="M874" i="50" s="1"/>
  <c r="E873" i="50"/>
  <c r="H873" i="50" s="1"/>
  <c r="M873" i="50" s="1"/>
  <c r="E872" i="50"/>
  <c r="H872" i="50" s="1"/>
  <c r="M872" i="50" s="1"/>
  <c r="E871" i="50"/>
  <c r="H871" i="50" s="1"/>
  <c r="M871" i="50" s="1"/>
  <c r="E870" i="50"/>
  <c r="H870" i="50" s="1"/>
  <c r="M870" i="50" s="1"/>
  <c r="E869" i="50"/>
  <c r="H869" i="50" s="1"/>
  <c r="M869" i="50" s="1"/>
  <c r="E868" i="50"/>
  <c r="H868" i="50" s="1"/>
  <c r="M868" i="50" s="1"/>
  <c r="E867" i="50"/>
  <c r="H867" i="50" s="1"/>
  <c r="M867" i="50" s="1"/>
  <c r="E866" i="50"/>
  <c r="H866" i="50" s="1"/>
  <c r="M866" i="50" s="1"/>
  <c r="E865" i="50"/>
  <c r="H865" i="50" s="1"/>
  <c r="M865" i="50" s="1"/>
  <c r="E864" i="50"/>
  <c r="H864" i="50" s="1"/>
  <c r="M864" i="50" s="1"/>
  <c r="E863" i="50"/>
  <c r="H863" i="50" s="1"/>
  <c r="M863" i="50" s="1"/>
  <c r="E862" i="50"/>
  <c r="H862" i="50" s="1"/>
  <c r="M862" i="50" s="1"/>
  <c r="E861" i="50"/>
  <c r="H861" i="50" s="1"/>
  <c r="M861" i="50" s="1"/>
  <c r="E860" i="50"/>
  <c r="H860" i="50" s="1"/>
  <c r="M860" i="50" s="1"/>
  <c r="E859" i="50"/>
  <c r="H859" i="50" s="1"/>
  <c r="M859" i="50" s="1"/>
  <c r="E858" i="50"/>
  <c r="H858" i="50" s="1"/>
  <c r="M858" i="50" s="1"/>
  <c r="E857" i="50"/>
  <c r="H857" i="50" s="1"/>
  <c r="M857" i="50" s="1"/>
  <c r="E856" i="50"/>
  <c r="H856" i="50" s="1"/>
  <c r="M856" i="50" s="1"/>
  <c r="E855" i="50"/>
  <c r="H855" i="50" s="1"/>
  <c r="M855" i="50" s="1"/>
  <c r="E854" i="50"/>
  <c r="H854" i="50" s="1"/>
  <c r="M854" i="50" s="1"/>
  <c r="E853" i="50"/>
  <c r="H853" i="50" s="1"/>
  <c r="M853" i="50" s="1"/>
  <c r="E852" i="50"/>
  <c r="H852" i="50" s="1"/>
  <c r="M852" i="50" s="1"/>
  <c r="E851" i="50"/>
  <c r="H851" i="50" s="1"/>
  <c r="M851" i="50" s="1"/>
  <c r="E850" i="50"/>
  <c r="H850" i="50" s="1"/>
  <c r="M850" i="50" s="1"/>
  <c r="E849" i="50"/>
  <c r="H849" i="50" s="1"/>
  <c r="M849" i="50" s="1"/>
  <c r="E848" i="50"/>
  <c r="H848" i="50" s="1"/>
  <c r="M848" i="50" s="1"/>
  <c r="E847" i="50"/>
  <c r="H847" i="50" s="1"/>
  <c r="M847" i="50" s="1"/>
  <c r="E846" i="50"/>
  <c r="H846" i="50" s="1"/>
  <c r="M846" i="50" s="1"/>
  <c r="E845" i="50"/>
  <c r="H845" i="50" s="1"/>
  <c r="M845" i="50" s="1"/>
  <c r="E844" i="50"/>
  <c r="H844" i="50" s="1"/>
  <c r="M844" i="50" s="1"/>
  <c r="E843" i="50"/>
  <c r="H843" i="50" s="1"/>
  <c r="M843" i="50" s="1"/>
  <c r="E842" i="50"/>
  <c r="H842" i="50" s="1"/>
  <c r="M842" i="50" s="1"/>
  <c r="E841" i="50"/>
  <c r="H841" i="50" s="1"/>
  <c r="M841" i="50" s="1"/>
  <c r="E840" i="50"/>
  <c r="H840" i="50" s="1"/>
  <c r="M840" i="50" s="1"/>
  <c r="E839" i="50"/>
  <c r="H839" i="50" s="1"/>
  <c r="M839" i="50" s="1"/>
  <c r="E838" i="50"/>
  <c r="H838" i="50" s="1"/>
  <c r="M838" i="50" s="1"/>
  <c r="E837" i="50"/>
  <c r="H837" i="50" s="1"/>
  <c r="M837" i="50" s="1"/>
  <c r="E836" i="50"/>
  <c r="H836" i="50" s="1"/>
  <c r="M836" i="50" s="1"/>
  <c r="E835" i="50"/>
  <c r="H835" i="50" s="1"/>
  <c r="M835" i="50" s="1"/>
  <c r="E834" i="50"/>
  <c r="H834" i="50" s="1"/>
  <c r="M834" i="50" s="1"/>
  <c r="E833" i="50"/>
  <c r="H833" i="50" s="1"/>
  <c r="M833" i="50" s="1"/>
  <c r="E832" i="50"/>
  <c r="H832" i="50" s="1"/>
  <c r="M832" i="50" s="1"/>
  <c r="E831" i="50"/>
  <c r="H831" i="50" s="1"/>
  <c r="M831" i="50" s="1"/>
  <c r="E830" i="50"/>
  <c r="H830" i="50" s="1"/>
  <c r="M830" i="50" s="1"/>
  <c r="E829" i="50"/>
  <c r="H829" i="50" s="1"/>
  <c r="M829" i="50" s="1"/>
  <c r="E828" i="50"/>
  <c r="H828" i="50" s="1"/>
  <c r="M828" i="50" s="1"/>
  <c r="E827" i="50"/>
  <c r="H827" i="50" s="1"/>
  <c r="M827" i="50" s="1"/>
  <c r="E826" i="50"/>
  <c r="H826" i="50" s="1"/>
  <c r="M826" i="50" s="1"/>
  <c r="E825" i="50"/>
  <c r="H825" i="50" s="1"/>
  <c r="M825" i="50" s="1"/>
  <c r="E824" i="50"/>
  <c r="H824" i="50" s="1"/>
  <c r="M824" i="50" s="1"/>
  <c r="E823" i="50"/>
  <c r="H823" i="50" s="1"/>
  <c r="M823" i="50" s="1"/>
  <c r="E822" i="50"/>
  <c r="H822" i="50" s="1"/>
  <c r="M822" i="50" s="1"/>
  <c r="E821" i="50"/>
  <c r="H821" i="50" s="1"/>
  <c r="M821" i="50" s="1"/>
  <c r="E820" i="50"/>
  <c r="H820" i="50" s="1"/>
  <c r="M820" i="50" s="1"/>
  <c r="E819" i="50"/>
  <c r="H819" i="50" s="1"/>
  <c r="M819" i="50" s="1"/>
  <c r="E818" i="50"/>
  <c r="H818" i="50" s="1"/>
  <c r="M818" i="50" s="1"/>
  <c r="E817" i="50"/>
  <c r="H817" i="50" s="1"/>
  <c r="M817" i="50" s="1"/>
  <c r="E816" i="50"/>
  <c r="H816" i="50" s="1"/>
  <c r="M816" i="50" s="1"/>
  <c r="E815" i="50"/>
  <c r="H815" i="50" s="1"/>
  <c r="M815" i="50" s="1"/>
  <c r="E814" i="50"/>
  <c r="H814" i="50" s="1"/>
  <c r="M814" i="50" s="1"/>
  <c r="E813" i="50"/>
  <c r="H813" i="50" s="1"/>
  <c r="M813" i="50" s="1"/>
  <c r="E812" i="50"/>
  <c r="H812" i="50" s="1"/>
  <c r="M812" i="50" s="1"/>
  <c r="E811" i="50"/>
  <c r="H811" i="50" s="1"/>
  <c r="M811" i="50" s="1"/>
  <c r="E810" i="50"/>
  <c r="H810" i="50" s="1"/>
  <c r="M810" i="50" s="1"/>
  <c r="E809" i="50"/>
  <c r="H809" i="50" s="1"/>
  <c r="M809" i="50" s="1"/>
  <c r="E808" i="50"/>
  <c r="H808" i="50" s="1"/>
  <c r="M808" i="50" s="1"/>
  <c r="E807" i="50"/>
  <c r="H807" i="50" s="1"/>
  <c r="M807" i="50" s="1"/>
  <c r="E806" i="50"/>
  <c r="H806" i="50" s="1"/>
  <c r="M806" i="50" s="1"/>
  <c r="E805" i="50"/>
  <c r="H805" i="50" s="1"/>
  <c r="M805" i="50" s="1"/>
  <c r="E804" i="50"/>
  <c r="H804" i="50" s="1"/>
  <c r="M804" i="50" s="1"/>
  <c r="E803" i="50"/>
  <c r="H803" i="50" s="1"/>
  <c r="M803" i="50" s="1"/>
  <c r="E802" i="50"/>
  <c r="H802" i="50" s="1"/>
  <c r="M802" i="50" s="1"/>
  <c r="E801" i="50"/>
  <c r="H801" i="50" s="1"/>
  <c r="M801" i="50" s="1"/>
  <c r="E800" i="50"/>
  <c r="H800" i="50" s="1"/>
  <c r="M800" i="50" s="1"/>
  <c r="E799" i="50"/>
  <c r="H799" i="50" s="1"/>
  <c r="M799" i="50" s="1"/>
  <c r="E798" i="50"/>
  <c r="H798" i="50" s="1"/>
  <c r="M798" i="50" s="1"/>
  <c r="E797" i="50"/>
  <c r="H797" i="50" s="1"/>
  <c r="M797" i="50" s="1"/>
  <c r="E796" i="50"/>
  <c r="H796" i="50" s="1"/>
  <c r="M796" i="50" s="1"/>
  <c r="E795" i="50"/>
  <c r="H795" i="50" s="1"/>
  <c r="M795" i="50" s="1"/>
  <c r="E794" i="50"/>
  <c r="H794" i="50" s="1"/>
  <c r="M794" i="50" s="1"/>
  <c r="E793" i="50"/>
  <c r="H793" i="50" s="1"/>
  <c r="M793" i="50" s="1"/>
  <c r="E792" i="50"/>
  <c r="H792" i="50" s="1"/>
  <c r="M792" i="50" s="1"/>
  <c r="E791" i="50"/>
  <c r="H791" i="50" s="1"/>
  <c r="M791" i="50" s="1"/>
  <c r="E790" i="50"/>
  <c r="H790" i="50" s="1"/>
  <c r="M790" i="50" s="1"/>
  <c r="E789" i="50"/>
  <c r="H789" i="50" s="1"/>
  <c r="M789" i="50" s="1"/>
  <c r="E788" i="50"/>
  <c r="H788" i="50" s="1"/>
  <c r="M788" i="50" s="1"/>
  <c r="E787" i="50"/>
  <c r="H787" i="50" s="1"/>
  <c r="M787" i="50" s="1"/>
  <c r="E786" i="50"/>
  <c r="J786" i="50" s="1"/>
  <c r="E785" i="50"/>
  <c r="H785" i="50" s="1"/>
  <c r="M785" i="50" s="1"/>
  <c r="E784" i="50"/>
  <c r="J784" i="50" s="1"/>
  <c r="E783" i="50"/>
  <c r="E782" i="50"/>
  <c r="J782" i="50" s="1"/>
  <c r="E781" i="50"/>
  <c r="J781" i="50" s="1"/>
  <c r="E780" i="50"/>
  <c r="H780" i="50" s="1"/>
  <c r="M780" i="50" s="1"/>
  <c r="E779" i="50"/>
  <c r="J779" i="50" s="1"/>
  <c r="E778" i="50"/>
  <c r="H778" i="50" s="1"/>
  <c r="M778" i="50" s="1"/>
  <c r="E777" i="50"/>
  <c r="J777" i="50" s="1"/>
  <c r="E776" i="50"/>
  <c r="H776" i="50" s="1"/>
  <c r="M776" i="50" s="1"/>
  <c r="E775" i="50"/>
  <c r="H775" i="50" s="1"/>
  <c r="M775" i="50" s="1"/>
  <c r="E774" i="50"/>
  <c r="H774" i="50" s="1"/>
  <c r="M774" i="50" s="1"/>
  <c r="E773" i="50"/>
  <c r="H773" i="50" s="1"/>
  <c r="M773" i="50" s="1"/>
  <c r="E772" i="50"/>
  <c r="H772" i="50" s="1"/>
  <c r="M772" i="50" s="1"/>
  <c r="E771" i="50"/>
  <c r="H771" i="50" s="1"/>
  <c r="M771" i="50" s="1"/>
  <c r="E770" i="50"/>
  <c r="J770" i="50" s="1"/>
  <c r="E769" i="50"/>
  <c r="H769" i="50" s="1"/>
  <c r="M769" i="50" s="1"/>
  <c r="E768" i="50"/>
  <c r="H768" i="50" s="1"/>
  <c r="M768" i="50" s="1"/>
  <c r="E767" i="50"/>
  <c r="H767" i="50" s="1"/>
  <c r="M767" i="50" s="1"/>
  <c r="E766" i="50"/>
  <c r="H766" i="50" s="1"/>
  <c r="M766" i="50" s="1"/>
  <c r="E765" i="50"/>
  <c r="H765" i="50" s="1"/>
  <c r="M765" i="50" s="1"/>
  <c r="E764" i="50"/>
  <c r="J764" i="50" s="1"/>
  <c r="E763" i="50"/>
  <c r="H763" i="50" s="1"/>
  <c r="M763" i="50" s="1"/>
  <c r="E762" i="50"/>
  <c r="J762" i="50" s="1"/>
  <c r="E761" i="50"/>
  <c r="J761" i="50" s="1"/>
  <c r="E760" i="50"/>
  <c r="H760" i="50" s="1"/>
  <c r="M760" i="50" s="1"/>
  <c r="E759" i="50"/>
  <c r="J759" i="50" s="1"/>
  <c r="E758" i="50"/>
  <c r="J758" i="50" s="1"/>
  <c r="E757" i="50"/>
  <c r="H757" i="50" s="1"/>
  <c r="M757" i="50" s="1"/>
  <c r="E756" i="50"/>
  <c r="H756" i="50" s="1"/>
  <c r="M756" i="50" s="1"/>
  <c r="E755" i="50"/>
  <c r="J755" i="50" s="1"/>
  <c r="E754" i="50"/>
  <c r="H754" i="50" s="1"/>
  <c r="M754" i="50" s="1"/>
  <c r="E753" i="50"/>
  <c r="J753" i="50" s="1"/>
  <c r="E752" i="50"/>
  <c r="H752" i="50" s="1"/>
  <c r="M752" i="50" s="1"/>
  <c r="E751" i="50"/>
  <c r="H751" i="50" s="1"/>
  <c r="M751" i="50" s="1"/>
  <c r="E750" i="50"/>
  <c r="H750" i="50" s="1"/>
  <c r="M750" i="50" s="1"/>
  <c r="E749" i="50"/>
  <c r="H749" i="50" s="1"/>
  <c r="M749" i="50" s="1"/>
  <c r="E748" i="50"/>
  <c r="H748" i="50" s="1"/>
  <c r="M748" i="50" s="1"/>
  <c r="E747" i="50"/>
  <c r="E746" i="50"/>
  <c r="H746" i="50" s="1"/>
  <c r="M746" i="50" s="1"/>
  <c r="E745" i="50"/>
  <c r="H745" i="50" s="1"/>
  <c r="M745" i="50" s="1"/>
  <c r="E744" i="50"/>
  <c r="J744" i="50" s="1"/>
  <c r="E743" i="50"/>
  <c r="H743" i="50" s="1"/>
  <c r="M743" i="50" s="1"/>
  <c r="E742" i="50"/>
  <c r="J742" i="50" s="1"/>
  <c r="E741" i="50"/>
  <c r="H741" i="50" s="1"/>
  <c r="M741" i="50" s="1"/>
  <c r="E740" i="50"/>
  <c r="H740" i="50" s="1"/>
  <c r="M740" i="50" s="1"/>
  <c r="E739" i="50"/>
  <c r="J739" i="50" s="1"/>
  <c r="E738" i="50"/>
  <c r="J738" i="50" s="1"/>
  <c r="E737" i="50"/>
  <c r="J737" i="50" s="1"/>
  <c r="E736" i="50"/>
  <c r="J736" i="50" s="1"/>
  <c r="E735" i="50"/>
  <c r="H735" i="50" s="1"/>
  <c r="M735" i="50" s="1"/>
  <c r="E734" i="50"/>
  <c r="H734" i="50" s="1"/>
  <c r="M734" i="50" s="1"/>
  <c r="E733" i="50"/>
  <c r="J733" i="50" s="1"/>
  <c r="E732" i="50"/>
  <c r="H732" i="50" s="1"/>
  <c r="M732" i="50" s="1"/>
  <c r="E731" i="50"/>
  <c r="H731" i="50" s="1"/>
  <c r="M731" i="50" s="1"/>
  <c r="E730" i="50"/>
  <c r="J730" i="50" s="1"/>
  <c r="E729" i="50"/>
  <c r="H729" i="50" s="1"/>
  <c r="M729" i="50" s="1"/>
  <c r="E728" i="50"/>
  <c r="J728" i="50" s="1"/>
  <c r="E727" i="50"/>
  <c r="J727" i="50" s="1"/>
  <c r="E726" i="50"/>
  <c r="J726" i="50" s="1"/>
  <c r="E725" i="50"/>
  <c r="H725" i="50" s="1"/>
  <c r="M725" i="50" s="1"/>
  <c r="E724" i="50"/>
  <c r="H724" i="50" s="1"/>
  <c r="M724" i="50" s="1"/>
  <c r="E723" i="50"/>
  <c r="H723" i="50" s="1"/>
  <c r="M723" i="50" s="1"/>
  <c r="E722" i="50"/>
  <c r="H722" i="50" s="1"/>
  <c r="M722" i="50" s="1"/>
  <c r="E721" i="50"/>
  <c r="H721" i="50" s="1"/>
  <c r="M721" i="50" s="1"/>
  <c r="E720" i="50"/>
  <c r="H720" i="50" s="1"/>
  <c r="M720" i="50" s="1"/>
  <c r="E719" i="50"/>
  <c r="H719" i="50" s="1"/>
  <c r="M719" i="50" s="1"/>
  <c r="E718" i="50"/>
  <c r="H718" i="50" s="1"/>
  <c r="M718" i="50" s="1"/>
  <c r="E717" i="50"/>
  <c r="H717" i="50" s="1"/>
  <c r="M717" i="50" s="1"/>
  <c r="E716" i="50"/>
  <c r="H716" i="50" s="1"/>
  <c r="M716" i="50" s="1"/>
  <c r="E715" i="50"/>
  <c r="J715" i="50" s="1"/>
  <c r="E714" i="50"/>
  <c r="J714" i="50" s="1"/>
  <c r="E713" i="50"/>
  <c r="J713" i="50" s="1"/>
  <c r="E712" i="50"/>
  <c r="J712" i="50" s="1"/>
  <c r="E711" i="50"/>
  <c r="E710" i="50"/>
  <c r="H710" i="50" s="1"/>
  <c r="M710" i="50" s="1"/>
  <c r="E709" i="50"/>
  <c r="J709" i="50" s="1"/>
  <c r="E708" i="50"/>
  <c r="J708" i="50" s="1"/>
  <c r="E707" i="50"/>
  <c r="H707" i="50" s="1"/>
  <c r="M707" i="50" s="1"/>
  <c r="E706" i="50"/>
  <c r="H706" i="50" s="1"/>
  <c r="M706" i="50" s="1"/>
  <c r="E705" i="50"/>
  <c r="J705" i="50" s="1"/>
  <c r="E704" i="50"/>
  <c r="H704" i="50" s="1"/>
  <c r="M704" i="50" s="1"/>
  <c r="E703" i="50"/>
  <c r="H703" i="50" s="1"/>
  <c r="M703" i="50" s="1"/>
  <c r="E702" i="50"/>
  <c r="H702" i="50" s="1"/>
  <c r="M702" i="50" s="1"/>
  <c r="E701" i="50"/>
  <c r="H701" i="50" s="1"/>
  <c r="M701" i="50" s="1"/>
  <c r="E700" i="50"/>
  <c r="H700" i="50" s="1"/>
  <c r="M700" i="50" s="1"/>
  <c r="E699" i="50"/>
  <c r="H699" i="50" s="1"/>
  <c r="M699" i="50" s="1"/>
  <c r="E698" i="50"/>
  <c r="H698" i="50" s="1"/>
  <c r="M698" i="50" s="1"/>
  <c r="E697" i="50"/>
  <c r="H697" i="50" s="1"/>
  <c r="M697" i="50" s="1"/>
  <c r="E696" i="50"/>
  <c r="J696" i="50" s="1"/>
  <c r="E695" i="50"/>
  <c r="J695" i="50" s="1"/>
  <c r="E694" i="50"/>
  <c r="H694" i="50" s="1"/>
  <c r="M694" i="50" s="1"/>
  <c r="E693" i="50"/>
  <c r="J693" i="50" s="1"/>
  <c r="E692" i="50"/>
  <c r="H692" i="50" s="1"/>
  <c r="M692" i="50" s="1"/>
  <c r="E691" i="50"/>
  <c r="J691" i="50" s="1"/>
  <c r="E690" i="50"/>
  <c r="H690" i="50" s="1"/>
  <c r="M690" i="50" s="1"/>
  <c r="E689" i="50"/>
  <c r="H689" i="50" s="1"/>
  <c r="M689" i="50" s="1"/>
  <c r="E688" i="50"/>
  <c r="J688" i="50" s="1"/>
  <c r="E687" i="50"/>
  <c r="H687" i="50" s="1"/>
  <c r="M687" i="50" s="1"/>
  <c r="E686" i="50"/>
  <c r="H686" i="50" s="1"/>
  <c r="M686" i="50" s="1"/>
  <c r="E685" i="50"/>
  <c r="H685" i="50" s="1"/>
  <c r="M685" i="50" s="1"/>
  <c r="E684" i="50"/>
  <c r="H684" i="50" s="1"/>
  <c r="M684" i="50" s="1"/>
  <c r="E683" i="50"/>
  <c r="H683" i="50" s="1"/>
  <c r="M683" i="50" s="1"/>
  <c r="E682" i="50"/>
  <c r="H682" i="50" s="1"/>
  <c r="M682" i="50" s="1"/>
  <c r="E681" i="50"/>
  <c r="H681" i="50" s="1"/>
  <c r="M681" i="50" s="1"/>
  <c r="E680" i="50"/>
  <c r="H680" i="50" s="1"/>
  <c r="M680" i="50" s="1"/>
  <c r="E679" i="50"/>
  <c r="H679" i="50" s="1"/>
  <c r="M679" i="50" s="1"/>
  <c r="E678" i="50"/>
  <c r="H678" i="50" s="1"/>
  <c r="M678" i="50" s="1"/>
  <c r="E677" i="50"/>
  <c r="H677" i="50" s="1"/>
  <c r="M677" i="50" s="1"/>
  <c r="E676" i="50"/>
  <c r="J676" i="50" s="1"/>
  <c r="E675" i="50"/>
  <c r="J675" i="50" s="1"/>
  <c r="E674" i="50"/>
  <c r="E673" i="50"/>
  <c r="J673" i="50" s="1"/>
  <c r="E672" i="50"/>
  <c r="H672" i="50" s="1"/>
  <c r="M672" i="50" s="1"/>
  <c r="E671" i="50"/>
  <c r="J671" i="50" s="1"/>
  <c r="E670" i="50"/>
  <c r="J670" i="50" s="1"/>
  <c r="E669" i="50"/>
  <c r="H669" i="50" s="1"/>
  <c r="M669" i="50" s="1"/>
  <c r="E668" i="50"/>
  <c r="H668" i="50" s="1"/>
  <c r="M668" i="50" s="1"/>
  <c r="E667" i="50"/>
  <c r="J667" i="50" s="1"/>
  <c r="E666" i="50"/>
  <c r="J666" i="50" s="1"/>
  <c r="E665" i="50"/>
  <c r="J665" i="50" s="1"/>
  <c r="E664" i="50"/>
  <c r="H664" i="50" s="1"/>
  <c r="M664" i="50" s="1"/>
  <c r="E663" i="50"/>
  <c r="H663" i="50" s="1"/>
  <c r="M663" i="50" s="1"/>
  <c r="E662" i="50"/>
  <c r="H662" i="50" s="1"/>
  <c r="M662" i="50" s="1"/>
  <c r="E661" i="50"/>
  <c r="H661" i="50" s="1"/>
  <c r="M661" i="50" s="1"/>
  <c r="E660" i="50"/>
  <c r="H660" i="50" s="1"/>
  <c r="M660" i="50" s="1"/>
  <c r="E659" i="50"/>
  <c r="H659" i="50" s="1"/>
  <c r="M659" i="50" s="1"/>
  <c r="E658" i="50"/>
  <c r="H658" i="50" s="1"/>
  <c r="M658" i="50" s="1"/>
  <c r="E657" i="50"/>
  <c r="H657" i="50" s="1"/>
  <c r="M657" i="50" s="1"/>
  <c r="E656" i="50"/>
  <c r="H656" i="50" s="1"/>
  <c r="M656" i="50" s="1"/>
  <c r="E655" i="50"/>
  <c r="H655" i="50" s="1"/>
  <c r="M655" i="50" s="1"/>
  <c r="E654" i="50"/>
  <c r="J654" i="50" s="1"/>
  <c r="E653" i="50"/>
  <c r="J653" i="50" s="1"/>
  <c r="E652" i="50"/>
  <c r="J652" i="50" s="1"/>
  <c r="E651" i="50"/>
  <c r="J651" i="50" s="1"/>
  <c r="E650" i="50"/>
  <c r="H650" i="50" s="1"/>
  <c r="M650" i="50" s="1"/>
  <c r="E649" i="50"/>
  <c r="J649" i="50" s="1"/>
  <c r="E648" i="50"/>
  <c r="J648" i="50" s="1"/>
  <c r="E647" i="50"/>
  <c r="H647" i="50" s="1"/>
  <c r="M647" i="50" s="1"/>
  <c r="E646" i="50"/>
  <c r="H646" i="50" s="1"/>
  <c r="M646" i="50" s="1"/>
  <c r="E645" i="50"/>
  <c r="H645" i="50" s="1"/>
  <c r="M645" i="50" s="1"/>
  <c r="E644" i="50"/>
  <c r="H644" i="50" s="1"/>
  <c r="M644" i="50" s="1"/>
  <c r="E643" i="50"/>
  <c r="H643" i="50" s="1"/>
  <c r="M643" i="50" s="1"/>
  <c r="E642" i="50"/>
  <c r="H642" i="50" s="1"/>
  <c r="M642" i="50" s="1"/>
  <c r="E641" i="50"/>
  <c r="H641" i="50" s="1"/>
  <c r="M641" i="50" s="1"/>
  <c r="E640" i="50"/>
  <c r="H640" i="50" s="1"/>
  <c r="M640" i="50" s="1"/>
  <c r="E639" i="50"/>
  <c r="J639" i="50" s="1"/>
  <c r="E638" i="50"/>
  <c r="H638" i="50" s="1"/>
  <c r="M638" i="50" s="1"/>
  <c r="E637" i="50"/>
  <c r="H637" i="50" s="1"/>
  <c r="M637" i="50" s="1"/>
  <c r="E636" i="50"/>
  <c r="J636" i="50" s="1"/>
  <c r="E635" i="50"/>
  <c r="J635" i="50" s="1"/>
  <c r="E634" i="50"/>
  <c r="H634" i="50" s="1"/>
  <c r="M634" i="50" s="1"/>
  <c r="E633" i="50"/>
  <c r="J633" i="50" s="1"/>
  <c r="E632" i="50"/>
  <c r="H632" i="50" s="1"/>
  <c r="M632" i="50" s="1"/>
  <c r="E631" i="50"/>
  <c r="J631" i="50" s="1"/>
  <c r="E630" i="50"/>
  <c r="J630" i="50" s="1"/>
  <c r="E629" i="50"/>
  <c r="H629" i="50" s="1"/>
  <c r="M629" i="50" s="1"/>
  <c r="E628" i="50"/>
  <c r="H628" i="50" s="1"/>
  <c r="M628" i="50" s="1"/>
  <c r="E627" i="50"/>
  <c r="J627" i="50" s="1"/>
  <c r="E626" i="50"/>
  <c r="J626" i="50" s="1"/>
  <c r="E625" i="50"/>
  <c r="H625" i="50" s="1"/>
  <c r="M625" i="50" s="1"/>
  <c r="E624" i="50"/>
  <c r="H624" i="50" s="1"/>
  <c r="M624" i="50" s="1"/>
  <c r="E623" i="50"/>
  <c r="H623" i="50" s="1"/>
  <c r="M623" i="50" s="1"/>
  <c r="E622" i="50"/>
  <c r="H622" i="50" s="1"/>
  <c r="M622" i="50" s="1"/>
  <c r="E621" i="50"/>
  <c r="J621" i="50" s="1"/>
  <c r="E620" i="50"/>
  <c r="J620" i="50" s="1"/>
  <c r="E619" i="50"/>
  <c r="J619" i="50" s="1"/>
  <c r="E618" i="50"/>
  <c r="J618" i="50" s="1"/>
  <c r="E617" i="50"/>
  <c r="J617" i="50" s="1"/>
  <c r="E616" i="50"/>
  <c r="J616" i="50" s="1"/>
  <c r="E615" i="50"/>
  <c r="J615" i="50" s="1"/>
  <c r="E614" i="50"/>
  <c r="J614" i="50" s="1"/>
  <c r="E613" i="50"/>
  <c r="J613" i="50" s="1"/>
  <c r="E612" i="50"/>
  <c r="H612" i="50" s="1"/>
  <c r="M612" i="50" s="1"/>
  <c r="E611" i="50"/>
  <c r="J611" i="50" s="1"/>
  <c r="E610" i="50"/>
  <c r="H610" i="50" s="1"/>
  <c r="M610" i="50" s="1"/>
  <c r="E609" i="50"/>
  <c r="H609" i="50" s="1"/>
  <c r="M609" i="50" s="1"/>
  <c r="E608" i="50"/>
  <c r="H608" i="50" s="1"/>
  <c r="M608" i="50" s="1"/>
  <c r="E607" i="50"/>
  <c r="J607" i="50" s="1"/>
  <c r="E606" i="50"/>
  <c r="J606" i="50" s="1"/>
  <c r="E605" i="50"/>
  <c r="H605" i="50" s="1"/>
  <c r="M605" i="50" s="1"/>
  <c r="E604" i="50"/>
  <c r="J604" i="50" s="1"/>
  <c r="E603" i="50"/>
  <c r="H603" i="50" s="1"/>
  <c r="M603" i="50" s="1"/>
  <c r="E602" i="50"/>
  <c r="E601" i="50"/>
  <c r="J601" i="50" s="1"/>
  <c r="E600" i="50"/>
  <c r="J600" i="50" s="1"/>
  <c r="E599" i="50"/>
  <c r="H599" i="50" s="1"/>
  <c r="M599" i="50" s="1"/>
  <c r="E598" i="50"/>
  <c r="J598" i="50" s="1"/>
  <c r="E597" i="50"/>
  <c r="H597" i="50" s="1"/>
  <c r="M597" i="50" s="1"/>
  <c r="E596" i="50"/>
  <c r="H596" i="50" s="1"/>
  <c r="M596" i="50" s="1"/>
  <c r="E595" i="50"/>
  <c r="H595" i="50" s="1"/>
  <c r="M595" i="50" s="1"/>
  <c r="E594" i="50"/>
  <c r="H594" i="50" s="1"/>
  <c r="M594" i="50" s="1"/>
  <c r="E593" i="50"/>
  <c r="H593" i="50" s="1"/>
  <c r="M593" i="50" s="1"/>
  <c r="E592" i="50"/>
  <c r="H592" i="50" s="1"/>
  <c r="M592" i="50" s="1"/>
  <c r="E591" i="50"/>
  <c r="H591" i="50" s="1"/>
  <c r="M591" i="50" s="1"/>
  <c r="E590" i="50"/>
  <c r="H590" i="50" s="1"/>
  <c r="M590" i="50" s="1"/>
  <c r="E589" i="50"/>
  <c r="J589" i="50" s="1"/>
  <c r="E588" i="50"/>
  <c r="H588" i="50" s="1"/>
  <c r="M588" i="50" s="1"/>
  <c r="E587" i="50"/>
  <c r="H587" i="50" s="1"/>
  <c r="M587" i="50" s="1"/>
  <c r="E586" i="50"/>
  <c r="J586" i="50" s="1"/>
  <c r="E585" i="50"/>
  <c r="J585" i="50" s="1"/>
  <c r="E584" i="50"/>
  <c r="J584" i="50" s="1"/>
  <c r="E583" i="50"/>
  <c r="J583" i="50" s="1"/>
  <c r="E582" i="50"/>
  <c r="J582" i="50" s="1"/>
  <c r="E581" i="50"/>
  <c r="H581" i="50" s="1"/>
  <c r="M581" i="50" s="1"/>
  <c r="E580" i="50"/>
  <c r="J580" i="50" s="1"/>
  <c r="E579" i="50"/>
  <c r="J579" i="50" s="1"/>
  <c r="E578" i="50"/>
  <c r="J578" i="50" s="1"/>
  <c r="E577" i="50"/>
  <c r="H577" i="50" s="1"/>
  <c r="M577" i="50" s="1"/>
  <c r="E576" i="50"/>
  <c r="H576" i="50" s="1"/>
  <c r="M576" i="50" s="1"/>
  <c r="E575" i="50"/>
  <c r="H575" i="50" s="1"/>
  <c r="M575" i="50" s="1"/>
  <c r="E574" i="50"/>
  <c r="H574" i="50" s="1"/>
  <c r="M574" i="50" s="1"/>
  <c r="E573" i="50"/>
  <c r="H573" i="50" s="1"/>
  <c r="M573" i="50" s="1"/>
  <c r="E572" i="50"/>
  <c r="H572" i="50" s="1"/>
  <c r="M572" i="50" s="1"/>
  <c r="E571" i="50"/>
  <c r="H571" i="50" s="1"/>
  <c r="M571" i="50" s="1"/>
  <c r="E570" i="50"/>
  <c r="H570" i="50" s="1"/>
  <c r="M570" i="50" s="1"/>
  <c r="E569" i="50"/>
  <c r="H569" i="50" s="1"/>
  <c r="M569" i="50" s="1"/>
  <c r="E568" i="50"/>
  <c r="J568" i="50" s="1"/>
  <c r="E567" i="50"/>
  <c r="J567" i="50" s="1"/>
  <c r="E566" i="50"/>
  <c r="E565" i="50"/>
  <c r="J565" i="50" s="1"/>
  <c r="E564" i="50"/>
  <c r="J564" i="50" s="1"/>
  <c r="E563" i="50"/>
  <c r="J563" i="50" s="1"/>
  <c r="E562" i="50"/>
  <c r="H562" i="50" s="1"/>
  <c r="M562" i="50" s="1"/>
  <c r="E561" i="50"/>
  <c r="J561" i="50" s="1"/>
  <c r="E560" i="50"/>
  <c r="J560" i="50" s="1"/>
  <c r="E559" i="50"/>
  <c r="H559" i="50" s="1"/>
  <c r="M559" i="50" s="1"/>
  <c r="E558" i="50"/>
  <c r="H558" i="50" s="1"/>
  <c r="M558" i="50" s="1"/>
  <c r="E557" i="50"/>
  <c r="H557" i="50" s="1"/>
  <c r="M557" i="50" s="1"/>
  <c r="E556" i="50"/>
  <c r="H556" i="50" s="1"/>
  <c r="M556" i="50" s="1"/>
  <c r="E555" i="50"/>
  <c r="H555" i="50" s="1"/>
  <c r="M555" i="50" s="1"/>
  <c r="E554" i="50"/>
  <c r="H554" i="50" s="1"/>
  <c r="M554" i="50" s="1"/>
  <c r="E553" i="50"/>
  <c r="H553" i="50" s="1"/>
  <c r="M553" i="50" s="1"/>
  <c r="E552" i="50"/>
  <c r="H552" i="50" s="1"/>
  <c r="M552" i="50" s="1"/>
  <c r="E551" i="50"/>
  <c r="H551" i="50" s="1"/>
  <c r="M551" i="50" s="1"/>
  <c r="E550" i="50"/>
  <c r="J550" i="50" s="1"/>
  <c r="E549" i="50"/>
  <c r="H549" i="50" s="1"/>
  <c r="M549" i="50" s="1"/>
  <c r="E548" i="50"/>
  <c r="J548" i="50" s="1"/>
  <c r="E547" i="50"/>
  <c r="J547" i="50" s="1"/>
  <c r="E546" i="50"/>
  <c r="J546" i="50" s="1"/>
  <c r="E545" i="50"/>
  <c r="J545" i="50" s="1"/>
  <c r="E544" i="50"/>
  <c r="J544" i="50" s="1"/>
  <c r="E543" i="50"/>
  <c r="H543" i="50" s="1"/>
  <c r="M543" i="50" s="1"/>
  <c r="E542" i="50"/>
  <c r="J542" i="50" s="1"/>
  <c r="E541" i="50"/>
  <c r="J541" i="50" s="1"/>
  <c r="E540" i="50"/>
  <c r="H540" i="50" s="1"/>
  <c r="M540" i="50" s="1"/>
  <c r="E539" i="50"/>
  <c r="H539" i="50" s="1"/>
  <c r="M539" i="50" s="1"/>
  <c r="E538" i="50"/>
  <c r="J538" i="50" s="1"/>
  <c r="E537" i="50"/>
  <c r="H537" i="50" s="1"/>
  <c r="M537" i="50" s="1"/>
  <c r="E536" i="50"/>
  <c r="H536" i="50" s="1"/>
  <c r="M536" i="50" s="1"/>
  <c r="E535" i="50"/>
  <c r="H535" i="50" s="1"/>
  <c r="M535" i="50" s="1"/>
  <c r="E534" i="50"/>
  <c r="H534" i="50" s="1"/>
  <c r="M534" i="50" s="1"/>
  <c r="E533" i="50"/>
  <c r="H533" i="50" s="1"/>
  <c r="M533" i="50" s="1"/>
  <c r="E532" i="50"/>
  <c r="H532" i="50" s="1"/>
  <c r="M532" i="50" s="1"/>
  <c r="E531" i="50"/>
  <c r="J531" i="50" s="1"/>
  <c r="E530" i="50"/>
  <c r="H530" i="50" s="1"/>
  <c r="M530" i="50" s="1"/>
  <c r="E529" i="50"/>
  <c r="H529" i="50" s="1"/>
  <c r="M529" i="50" s="1"/>
  <c r="E528" i="50"/>
  <c r="J528" i="50" s="1"/>
  <c r="E527" i="50"/>
  <c r="J527" i="50" s="1"/>
  <c r="E526" i="50"/>
  <c r="J526" i="50" s="1"/>
  <c r="E525" i="50"/>
  <c r="J525" i="50" s="1"/>
  <c r="E524" i="50"/>
  <c r="H524" i="50" s="1"/>
  <c r="M524" i="50" s="1"/>
  <c r="E523" i="50"/>
  <c r="J523" i="50" s="1"/>
  <c r="E522" i="50"/>
  <c r="H522" i="50" s="1"/>
  <c r="M522" i="50" s="1"/>
  <c r="E521" i="50"/>
  <c r="H521" i="50" s="1"/>
  <c r="M521" i="50" s="1"/>
  <c r="E520" i="50"/>
  <c r="H520" i="50" s="1"/>
  <c r="M520" i="50" s="1"/>
  <c r="E519" i="50"/>
  <c r="H519" i="50" s="1"/>
  <c r="M519" i="50" s="1"/>
  <c r="E518" i="50"/>
  <c r="H518" i="50" s="1"/>
  <c r="M518" i="50" s="1"/>
  <c r="E517" i="50"/>
  <c r="H517" i="50" s="1"/>
  <c r="M517" i="50" s="1"/>
  <c r="E516" i="50"/>
  <c r="J516" i="50" s="1"/>
  <c r="E515" i="50"/>
  <c r="J515" i="50" s="1"/>
  <c r="E514" i="50"/>
  <c r="J514" i="50" s="1"/>
  <c r="E513" i="50"/>
  <c r="J513" i="50" s="1"/>
  <c r="E512" i="50"/>
  <c r="J512" i="50" s="1"/>
  <c r="E511" i="50"/>
  <c r="J511" i="50" s="1"/>
  <c r="E510" i="50"/>
  <c r="J510" i="50" s="1"/>
  <c r="E509" i="50"/>
  <c r="H509" i="50" s="1"/>
  <c r="M509" i="50" s="1"/>
  <c r="E508" i="50"/>
  <c r="J508" i="50" s="1"/>
  <c r="E507" i="50"/>
  <c r="H507" i="50" s="1"/>
  <c r="M507" i="50" s="1"/>
  <c r="E506" i="50"/>
  <c r="H506" i="50" s="1"/>
  <c r="M506" i="50" s="1"/>
  <c r="E505" i="50"/>
  <c r="H505" i="50" s="1"/>
  <c r="M505" i="50" s="1"/>
  <c r="E504" i="50"/>
  <c r="H504" i="50" s="1"/>
  <c r="M504" i="50" s="1"/>
  <c r="E503" i="50"/>
  <c r="H503" i="50" s="1"/>
  <c r="M503" i="50" s="1"/>
  <c r="E502" i="50"/>
  <c r="J502" i="50" s="1"/>
  <c r="E501" i="50"/>
  <c r="J501" i="50" s="1"/>
  <c r="E500" i="50"/>
  <c r="J500" i="50" s="1"/>
  <c r="E499" i="50"/>
  <c r="J499" i="50" s="1"/>
  <c r="E498" i="50"/>
  <c r="H498" i="50" s="1"/>
  <c r="M498" i="50" s="1"/>
  <c r="E497" i="50"/>
  <c r="J497" i="50" s="1"/>
  <c r="E496" i="50"/>
  <c r="J496" i="50" s="1"/>
  <c r="E495" i="50"/>
  <c r="J495" i="50" s="1"/>
  <c r="E494" i="50"/>
  <c r="J494" i="50" s="1"/>
  <c r="E493" i="50"/>
  <c r="H493" i="50" s="1"/>
  <c r="M493" i="50" s="1"/>
  <c r="E492" i="50"/>
  <c r="H492" i="50" s="1"/>
  <c r="M492" i="50" s="1"/>
  <c r="E491" i="50"/>
  <c r="J491" i="50" s="1"/>
  <c r="E490" i="50"/>
  <c r="J490" i="50" s="1"/>
  <c r="E489" i="50"/>
  <c r="H489" i="50" s="1"/>
  <c r="M489" i="50" s="1"/>
  <c r="E488" i="50"/>
  <c r="H488" i="50" s="1"/>
  <c r="M488" i="50" s="1"/>
  <c r="E487" i="50"/>
  <c r="J487" i="50" s="1"/>
  <c r="E486" i="50"/>
  <c r="J486" i="50" s="1"/>
  <c r="E485" i="50"/>
  <c r="J485" i="50" s="1"/>
  <c r="E484" i="50"/>
  <c r="H484" i="50" s="1"/>
  <c r="M484" i="50" s="1"/>
  <c r="E483" i="50"/>
  <c r="H483" i="50" s="1"/>
  <c r="M483" i="50" s="1"/>
  <c r="E482" i="50"/>
  <c r="H482" i="50" s="1"/>
  <c r="M482" i="50" s="1"/>
  <c r="E481" i="50"/>
  <c r="J481" i="50" s="1"/>
  <c r="E480" i="50"/>
  <c r="H480" i="50" s="1"/>
  <c r="M480" i="50" s="1"/>
  <c r="E479" i="50"/>
  <c r="H479" i="50" s="1"/>
  <c r="M479" i="50" s="1"/>
  <c r="E478" i="50"/>
  <c r="J478" i="50" s="1"/>
  <c r="E477" i="50"/>
  <c r="J477" i="50" s="1"/>
  <c r="E476" i="50"/>
  <c r="H476" i="50" s="1"/>
  <c r="M476" i="50" s="1"/>
  <c r="E475" i="50"/>
  <c r="H475" i="50" s="1"/>
  <c r="M475" i="50" s="1"/>
  <c r="E474" i="50"/>
  <c r="H474" i="50" s="1"/>
  <c r="M474" i="50" s="1"/>
  <c r="E473" i="50"/>
  <c r="H473" i="50" s="1"/>
  <c r="M473" i="50" s="1"/>
  <c r="E472" i="50"/>
  <c r="H472" i="50" s="1"/>
  <c r="M472" i="50" s="1"/>
  <c r="E471" i="50"/>
  <c r="H471" i="50" s="1"/>
  <c r="M471" i="50" s="1"/>
  <c r="E470" i="50"/>
  <c r="J470" i="50" s="1"/>
  <c r="E469" i="50"/>
  <c r="H469" i="50" s="1"/>
  <c r="M469" i="50" s="1"/>
  <c r="E468" i="50"/>
  <c r="H468" i="50" s="1"/>
  <c r="M468" i="50" s="1"/>
  <c r="E467" i="50"/>
  <c r="J467" i="50" s="1"/>
  <c r="E466" i="50"/>
  <c r="H466" i="50" s="1"/>
  <c r="M466" i="50" s="1"/>
  <c r="E465" i="50"/>
  <c r="H465" i="50" s="1"/>
  <c r="M465" i="50" s="1"/>
  <c r="E464" i="50"/>
  <c r="J464" i="50" s="1"/>
  <c r="E463" i="50"/>
  <c r="J463" i="50" s="1"/>
  <c r="E462" i="50"/>
  <c r="H462" i="50" s="1"/>
  <c r="M462" i="50" s="1"/>
  <c r="E461" i="50"/>
  <c r="J461" i="50" s="1"/>
  <c r="E460" i="50"/>
  <c r="J460" i="50" s="1"/>
  <c r="E459" i="50"/>
  <c r="J459" i="50" s="1"/>
  <c r="E458" i="50"/>
  <c r="H458" i="50" s="1"/>
  <c r="M458" i="50" s="1"/>
  <c r="E457" i="50"/>
  <c r="H457" i="50" s="1"/>
  <c r="M457" i="50" s="1"/>
  <c r="E456" i="50"/>
  <c r="H456" i="50" s="1"/>
  <c r="M456" i="50" s="1"/>
  <c r="E455" i="50"/>
  <c r="H455" i="50" s="1"/>
  <c r="M455" i="50" s="1"/>
  <c r="E454" i="50"/>
  <c r="J454" i="50" s="1"/>
  <c r="E453" i="50"/>
  <c r="H453" i="50" s="1"/>
  <c r="M453" i="50" s="1"/>
  <c r="E452" i="50"/>
  <c r="J452" i="50" s="1"/>
  <c r="E451" i="50"/>
  <c r="H451" i="50" s="1"/>
  <c r="M451" i="50" s="1"/>
  <c r="E450" i="50"/>
  <c r="J450" i="50" s="1"/>
  <c r="E449" i="50"/>
  <c r="J449" i="50" s="1"/>
  <c r="E448" i="50"/>
  <c r="H448" i="50" s="1"/>
  <c r="M448" i="50" s="1"/>
  <c r="E447" i="50"/>
  <c r="J447" i="50" s="1"/>
  <c r="E446" i="50"/>
  <c r="J446" i="50" s="1"/>
  <c r="E445" i="50"/>
  <c r="J445" i="50" s="1"/>
  <c r="E444" i="50"/>
  <c r="H444" i="50" s="1"/>
  <c r="M444" i="50" s="1"/>
  <c r="E443" i="50"/>
  <c r="H443" i="50" s="1"/>
  <c r="M443" i="50" s="1"/>
  <c r="E442" i="50"/>
  <c r="J442" i="50" s="1"/>
  <c r="E441" i="50"/>
  <c r="H441" i="50" s="1"/>
  <c r="M441" i="50" s="1"/>
  <c r="E440" i="50"/>
  <c r="J440" i="50" s="1"/>
  <c r="E439" i="50"/>
  <c r="J439" i="50" s="1"/>
  <c r="E438" i="50"/>
  <c r="J438" i="50" s="1"/>
  <c r="E437" i="50"/>
  <c r="J437" i="50" s="1"/>
  <c r="E436" i="50"/>
  <c r="E435" i="50"/>
  <c r="J435" i="50" s="1"/>
  <c r="E434" i="50"/>
  <c r="J434" i="50" s="1"/>
  <c r="E433" i="50"/>
  <c r="H433" i="50" s="1"/>
  <c r="M433" i="50" s="1"/>
  <c r="E432" i="50"/>
  <c r="H432" i="50" s="1"/>
  <c r="M432" i="50" s="1"/>
  <c r="E431" i="50"/>
  <c r="H431" i="50" s="1"/>
  <c r="M431" i="50" s="1"/>
  <c r="E430" i="50"/>
  <c r="H430" i="50" s="1"/>
  <c r="M430" i="50" s="1"/>
  <c r="E429" i="50"/>
  <c r="J429" i="50" s="1"/>
  <c r="E428" i="50"/>
  <c r="H428" i="50" s="1"/>
  <c r="M428" i="50" s="1"/>
  <c r="E427" i="50"/>
  <c r="J427" i="50" s="1"/>
  <c r="E426" i="50"/>
  <c r="J426" i="50" s="1"/>
  <c r="E425" i="50"/>
  <c r="J425" i="50" s="1"/>
  <c r="E424" i="50"/>
  <c r="H424" i="50" s="1"/>
  <c r="M424" i="50" s="1"/>
  <c r="E423" i="50"/>
  <c r="J423" i="50" s="1"/>
  <c r="E422" i="50"/>
  <c r="J422" i="50" s="1"/>
  <c r="E421" i="50"/>
  <c r="J421" i="50" s="1"/>
  <c r="E420" i="50"/>
  <c r="H420" i="50" s="1"/>
  <c r="M420" i="50" s="1"/>
  <c r="E419" i="50"/>
  <c r="H419" i="50" s="1"/>
  <c r="M419" i="50" s="1"/>
  <c r="E418" i="50"/>
  <c r="H418" i="50" s="1"/>
  <c r="M418" i="50" s="1"/>
  <c r="E417" i="50"/>
  <c r="H417" i="50" s="1"/>
  <c r="M417" i="50" s="1"/>
  <c r="E416" i="50"/>
  <c r="H416" i="50" s="1"/>
  <c r="M416" i="50" s="1"/>
  <c r="E415" i="50"/>
  <c r="H415" i="50" s="1"/>
  <c r="M415" i="50" s="1"/>
  <c r="E414" i="50"/>
  <c r="J414" i="50" s="1"/>
  <c r="E413" i="50"/>
  <c r="H413" i="50" s="1"/>
  <c r="M413" i="50" s="1"/>
  <c r="E412" i="50"/>
  <c r="H412" i="50" s="1"/>
  <c r="M412" i="50" s="1"/>
  <c r="E411" i="50"/>
  <c r="J411" i="50" s="1"/>
  <c r="E410" i="50"/>
  <c r="J410" i="50" s="1"/>
  <c r="E409" i="50"/>
  <c r="J409" i="50" s="1"/>
  <c r="E408" i="50"/>
  <c r="H408" i="50" s="1"/>
  <c r="M408" i="50" s="1"/>
  <c r="E407" i="50"/>
  <c r="H407" i="50" s="1"/>
  <c r="M407" i="50" s="1"/>
  <c r="E406" i="50"/>
  <c r="J406" i="50" s="1"/>
  <c r="E405" i="50"/>
  <c r="J405" i="50" s="1"/>
  <c r="E404" i="50"/>
  <c r="H404" i="50" s="1"/>
  <c r="M404" i="50" s="1"/>
  <c r="E403" i="50"/>
  <c r="J403" i="50" s="1"/>
  <c r="E402" i="50"/>
  <c r="H402" i="50" s="1"/>
  <c r="M402" i="50" s="1"/>
  <c r="E401" i="50"/>
  <c r="H401" i="50" s="1"/>
  <c r="M401" i="50" s="1"/>
  <c r="E400" i="50"/>
  <c r="H400" i="50" s="1"/>
  <c r="M400" i="50" s="1"/>
  <c r="E399" i="50"/>
  <c r="H399" i="50" s="1"/>
  <c r="M399" i="50" s="1"/>
  <c r="E398" i="50"/>
  <c r="H398" i="50" s="1"/>
  <c r="M398" i="50" s="1"/>
  <c r="E397" i="50"/>
  <c r="H397" i="50" s="1"/>
  <c r="M397" i="50" s="1"/>
  <c r="E396" i="50"/>
  <c r="H396" i="50" s="1"/>
  <c r="M396" i="50" s="1"/>
  <c r="E395" i="50"/>
  <c r="J395" i="50" s="1"/>
  <c r="E394" i="50"/>
  <c r="H394" i="50" s="1"/>
  <c r="M394" i="50" s="1"/>
  <c r="E393" i="50"/>
  <c r="H393" i="50" s="1"/>
  <c r="M393" i="50" s="1"/>
  <c r="E392" i="50"/>
  <c r="J392" i="50" s="1"/>
  <c r="E391" i="50"/>
  <c r="J391" i="50" s="1"/>
  <c r="E390" i="50"/>
  <c r="J390" i="50" s="1"/>
  <c r="E389" i="50"/>
  <c r="J389" i="50" s="1"/>
  <c r="E388" i="50"/>
  <c r="H388" i="50" s="1"/>
  <c r="M388" i="50" s="1"/>
  <c r="E387" i="50"/>
  <c r="J387" i="50" s="1"/>
  <c r="E386" i="50"/>
  <c r="H386" i="50" s="1"/>
  <c r="M386" i="50" s="1"/>
  <c r="E385" i="50"/>
  <c r="H385" i="50" s="1"/>
  <c r="M385" i="50" s="1"/>
  <c r="E384" i="50"/>
  <c r="J384" i="50" s="1"/>
  <c r="E383" i="50"/>
  <c r="H383" i="50" s="1"/>
  <c r="M383" i="50" s="1"/>
  <c r="E382" i="50"/>
  <c r="H382" i="50" s="1"/>
  <c r="M382" i="50" s="1"/>
  <c r="E381" i="50"/>
  <c r="H381" i="50" s="1"/>
  <c r="M381" i="50" s="1"/>
  <c r="E380" i="50"/>
  <c r="J380" i="50" s="1"/>
  <c r="E379" i="50"/>
  <c r="H379" i="50" s="1"/>
  <c r="M379" i="50" s="1"/>
  <c r="E378" i="50"/>
  <c r="H378" i="50" s="1"/>
  <c r="M378" i="50" s="1"/>
  <c r="E377" i="50"/>
  <c r="J377" i="50" s="1"/>
  <c r="E376" i="50"/>
  <c r="J376" i="50" s="1"/>
  <c r="E375" i="50"/>
  <c r="H375" i="50" s="1"/>
  <c r="M375" i="50" s="1"/>
  <c r="E374" i="50"/>
  <c r="J374" i="50" s="1"/>
  <c r="E373" i="50"/>
  <c r="J373" i="50" s="1"/>
  <c r="E372" i="50"/>
  <c r="H372" i="50" s="1"/>
  <c r="M372" i="50" s="1"/>
  <c r="E371" i="50"/>
  <c r="H371" i="50" s="1"/>
  <c r="M371" i="50" s="1"/>
  <c r="E370" i="50"/>
  <c r="H370" i="50" s="1"/>
  <c r="M370" i="50" s="1"/>
  <c r="E369" i="50"/>
  <c r="H369" i="50" s="1"/>
  <c r="M369" i="50" s="1"/>
  <c r="E368" i="50"/>
  <c r="J368" i="50" s="1"/>
  <c r="E367" i="50"/>
  <c r="H367" i="50" s="1"/>
  <c r="M367" i="50" s="1"/>
  <c r="E366" i="50"/>
  <c r="J366" i="50" s="1"/>
  <c r="E365" i="50"/>
  <c r="J365" i="50" s="1"/>
  <c r="E364" i="50"/>
  <c r="H364" i="50" s="1"/>
  <c r="M364" i="50" s="1"/>
  <c r="E363" i="50"/>
  <c r="H363" i="50" s="1"/>
  <c r="M363" i="50" s="1"/>
  <c r="E362" i="50"/>
  <c r="J362" i="50" s="1"/>
  <c r="E361" i="50"/>
  <c r="H361" i="50" s="1"/>
  <c r="M361" i="50" s="1"/>
  <c r="E360" i="50"/>
  <c r="H360" i="50" s="1"/>
  <c r="M360" i="50" s="1"/>
  <c r="E359" i="50"/>
  <c r="J359" i="50" s="1"/>
  <c r="E358" i="50"/>
  <c r="H358" i="50" s="1"/>
  <c r="M358" i="50" s="1"/>
  <c r="E357" i="50"/>
  <c r="J357" i="50" s="1"/>
  <c r="E356" i="50"/>
  <c r="H356" i="50" s="1"/>
  <c r="M356" i="50" s="1"/>
  <c r="E355" i="50"/>
  <c r="J355" i="50" s="1"/>
  <c r="E354" i="50"/>
  <c r="H354" i="50" s="1"/>
  <c r="M354" i="50" s="1"/>
  <c r="E353" i="50"/>
  <c r="H353" i="50" s="1"/>
  <c r="M353" i="50" s="1"/>
  <c r="E352" i="50"/>
  <c r="H352" i="50" s="1"/>
  <c r="M352" i="50" s="1"/>
  <c r="E351" i="50"/>
  <c r="H351" i="50" s="1"/>
  <c r="M351" i="50" s="1"/>
  <c r="E350" i="50"/>
  <c r="H350" i="50" s="1"/>
  <c r="M350" i="50" s="1"/>
  <c r="E349" i="50"/>
  <c r="H349" i="50" s="1"/>
  <c r="M349" i="50" s="1"/>
  <c r="E348" i="50"/>
  <c r="J348" i="50" s="1"/>
  <c r="E347" i="50"/>
  <c r="H347" i="50" s="1"/>
  <c r="M347" i="50" s="1"/>
  <c r="E346" i="50"/>
  <c r="H346" i="50" s="1"/>
  <c r="M346" i="50" s="1"/>
  <c r="E345" i="50"/>
  <c r="H345" i="50" s="1"/>
  <c r="M345" i="50" s="1"/>
  <c r="E344" i="50"/>
  <c r="J344" i="50" s="1"/>
  <c r="E343" i="50"/>
  <c r="J343" i="50" s="1"/>
  <c r="E342" i="50"/>
  <c r="H342" i="50" s="1"/>
  <c r="M342" i="50" s="1"/>
  <c r="E341" i="50"/>
  <c r="H341" i="50" s="1"/>
  <c r="M341" i="50" s="1"/>
  <c r="E340" i="50"/>
  <c r="J340" i="50" s="1"/>
  <c r="E339" i="50"/>
  <c r="H339" i="50" s="1"/>
  <c r="M339" i="50" s="1"/>
  <c r="E338" i="50"/>
  <c r="H338" i="50" s="1"/>
  <c r="M338" i="50" s="1"/>
  <c r="E337" i="50"/>
  <c r="H337" i="50" s="1"/>
  <c r="M337" i="50" s="1"/>
  <c r="E336" i="50"/>
  <c r="J336" i="50" s="1"/>
  <c r="E335" i="50"/>
  <c r="H335" i="50" s="1"/>
  <c r="M335" i="50" s="1"/>
  <c r="E334" i="50"/>
  <c r="J334" i="50" s="1"/>
  <c r="E333" i="50"/>
  <c r="H333" i="50" s="1"/>
  <c r="M333" i="50" s="1"/>
  <c r="E332" i="50"/>
  <c r="J332" i="50" s="1"/>
  <c r="E331" i="50"/>
  <c r="H331" i="50" s="1"/>
  <c r="M331" i="50" s="1"/>
  <c r="E330" i="50"/>
  <c r="H330" i="50" s="1"/>
  <c r="M330" i="50" s="1"/>
  <c r="E329" i="50"/>
  <c r="H329" i="50" s="1"/>
  <c r="M329" i="50" s="1"/>
  <c r="E328" i="50"/>
  <c r="H328" i="50" s="1"/>
  <c r="M328" i="50" s="1"/>
  <c r="E327" i="50"/>
  <c r="J327" i="50" s="1"/>
  <c r="E326" i="50"/>
  <c r="H326" i="50" s="1"/>
  <c r="M326" i="50" s="1"/>
  <c r="E325" i="50"/>
  <c r="H325" i="50" s="1"/>
  <c r="M325" i="50" s="1"/>
  <c r="E324" i="50"/>
  <c r="J324" i="50" s="1"/>
  <c r="E323" i="50"/>
  <c r="J323" i="50" s="1"/>
  <c r="E322" i="50"/>
  <c r="H322" i="50" s="1"/>
  <c r="M322" i="50" s="1"/>
  <c r="E321" i="50"/>
  <c r="H321" i="50" s="1"/>
  <c r="M321" i="50" s="1"/>
  <c r="E320" i="50"/>
  <c r="J320" i="50" s="1"/>
  <c r="E319" i="50"/>
  <c r="H319" i="50" s="1"/>
  <c r="M319" i="50" s="1"/>
  <c r="E318" i="50"/>
  <c r="H318" i="50" s="1"/>
  <c r="M318" i="50" s="1"/>
  <c r="E317" i="50"/>
  <c r="H317" i="50" s="1"/>
  <c r="M317" i="50" s="1"/>
  <c r="E316" i="50"/>
  <c r="J316" i="50" s="1"/>
  <c r="E315" i="50"/>
  <c r="H315" i="50" s="1"/>
  <c r="M315" i="50" s="1"/>
  <c r="E314" i="50"/>
  <c r="J314" i="50" s="1"/>
  <c r="E313" i="50"/>
  <c r="H313" i="50" s="1"/>
  <c r="M313" i="50" s="1"/>
  <c r="E312" i="50"/>
  <c r="H312" i="50" s="1"/>
  <c r="M312" i="50" s="1"/>
  <c r="E311" i="50"/>
  <c r="J311" i="50" s="1"/>
  <c r="E310" i="50"/>
  <c r="H310" i="50" s="1"/>
  <c r="M310" i="50" s="1"/>
  <c r="E309" i="50"/>
  <c r="H309" i="50" s="1"/>
  <c r="M309" i="50" s="1"/>
  <c r="E308" i="50"/>
  <c r="H308" i="50" s="1"/>
  <c r="M308" i="50" s="1"/>
  <c r="E307" i="50"/>
  <c r="J307" i="50" s="1"/>
  <c r="E306" i="50"/>
  <c r="J306" i="50" s="1"/>
  <c r="E305" i="50"/>
  <c r="H305" i="50" s="1"/>
  <c r="M305" i="50" s="1"/>
  <c r="E304" i="50"/>
  <c r="J304" i="50" s="1"/>
  <c r="E303" i="50"/>
  <c r="J303" i="50" s="1"/>
  <c r="E302" i="50"/>
  <c r="H302" i="50" s="1"/>
  <c r="M302" i="50" s="1"/>
  <c r="E301" i="50"/>
  <c r="H301" i="50" s="1"/>
  <c r="M301" i="50" s="1"/>
  <c r="E300" i="50"/>
  <c r="H300" i="50" s="1"/>
  <c r="M300" i="50" s="1"/>
  <c r="E299" i="50"/>
  <c r="J299" i="50" s="1"/>
  <c r="E298" i="50"/>
  <c r="H298" i="50" s="1"/>
  <c r="M298" i="50" s="1"/>
  <c r="E297" i="50"/>
  <c r="J297" i="50" s="1"/>
  <c r="E296" i="50"/>
  <c r="J296" i="50" s="1"/>
  <c r="E295" i="50"/>
  <c r="H295" i="50" s="1"/>
  <c r="M295" i="50" s="1"/>
  <c r="E294" i="50"/>
  <c r="H294" i="50" s="1"/>
  <c r="M294" i="50" s="1"/>
  <c r="E293" i="50"/>
  <c r="H293" i="50" s="1"/>
  <c r="M293" i="50" s="1"/>
  <c r="E292" i="50"/>
  <c r="H292" i="50" s="1"/>
  <c r="M292" i="50" s="1"/>
  <c r="E291" i="50"/>
  <c r="H291" i="50" s="1"/>
  <c r="M291" i="50" s="1"/>
  <c r="E290" i="50"/>
  <c r="J290" i="50" s="1"/>
  <c r="E289" i="50"/>
  <c r="J289" i="50" s="1"/>
  <c r="E288" i="50"/>
  <c r="H288" i="50" s="1"/>
  <c r="M288" i="50" s="1"/>
  <c r="E287" i="50"/>
  <c r="H287" i="50" s="1"/>
  <c r="M287" i="50" s="1"/>
  <c r="E286" i="50"/>
  <c r="J286" i="50" s="1"/>
  <c r="E285" i="50"/>
  <c r="H285" i="50" s="1"/>
  <c r="M285" i="50" s="1"/>
  <c r="E284" i="50"/>
  <c r="J284" i="50" s="1"/>
  <c r="E283" i="50"/>
  <c r="H283" i="50" s="1"/>
  <c r="M283" i="50" s="1"/>
  <c r="E282" i="50"/>
  <c r="H282" i="50" s="1"/>
  <c r="M282" i="50" s="1"/>
  <c r="E281" i="50"/>
  <c r="H281" i="50" s="1"/>
  <c r="M281" i="50" s="1"/>
  <c r="E280" i="50"/>
  <c r="H280" i="50" s="1"/>
  <c r="M280" i="50" s="1"/>
  <c r="E279" i="50"/>
  <c r="H279" i="50" s="1"/>
  <c r="M279" i="50" s="1"/>
  <c r="E278" i="50"/>
  <c r="J278" i="50" s="1"/>
  <c r="E277" i="50"/>
  <c r="H277" i="50" s="1"/>
  <c r="M277" i="50" s="1"/>
  <c r="E276" i="50"/>
  <c r="J276" i="50" s="1"/>
  <c r="E275" i="50"/>
  <c r="J275" i="50" s="1"/>
  <c r="E274" i="50"/>
  <c r="J274" i="50" s="1"/>
  <c r="E273" i="50"/>
  <c r="J273" i="50" s="1"/>
  <c r="E272" i="50"/>
  <c r="J272" i="50" s="1"/>
  <c r="E271" i="50"/>
  <c r="H271" i="50" s="1"/>
  <c r="M271" i="50" s="1"/>
  <c r="E270" i="50"/>
  <c r="J270" i="50" s="1"/>
  <c r="E269" i="50"/>
  <c r="H269" i="50" s="1"/>
  <c r="M269" i="50" s="1"/>
  <c r="E268" i="50"/>
  <c r="H268" i="50" s="1"/>
  <c r="M268" i="50" s="1"/>
  <c r="E267" i="50"/>
  <c r="J267" i="50" s="1"/>
  <c r="E266" i="50"/>
  <c r="H266" i="50" s="1"/>
  <c r="M266" i="50" s="1"/>
  <c r="E265" i="50"/>
  <c r="J265" i="50" s="1"/>
  <c r="E264" i="50"/>
  <c r="H264" i="50" s="1"/>
  <c r="M264" i="50" s="1"/>
  <c r="E263" i="50"/>
  <c r="J263" i="50" s="1"/>
  <c r="E262" i="50"/>
  <c r="H262" i="50" s="1"/>
  <c r="M262" i="50" s="1"/>
  <c r="E261" i="50"/>
  <c r="J261" i="50" s="1"/>
  <c r="E260" i="50"/>
  <c r="H260" i="50" s="1"/>
  <c r="M260" i="50" s="1"/>
  <c r="E259" i="50"/>
  <c r="J259" i="50" s="1"/>
  <c r="E258" i="50"/>
  <c r="J258" i="50" s="1"/>
  <c r="E257" i="50"/>
  <c r="J257" i="50" s="1"/>
  <c r="E256" i="50"/>
  <c r="E255" i="50"/>
  <c r="H255" i="50" s="1"/>
  <c r="M255" i="50" s="1"/>
  <c r="E254" i="50"/>
  <c r="H254" i="50" s="1"/>
  <c r="M254" i="50" s="1"/>
  <c r="E253" i="50"/>
  <c r="H253" i="50" s="1"/>
  <c r="M253" i="50" s="1"/>
  <c r="E252" i="50"/>
  <c r="H252" i="50" s="1"/>
  <c r="M252" i="50" s="1"/>
  <c r="E251" i="50"/>
  <c r="H251" i="50" s="1"/>
  <c r="M251" i="50" s="1"/>
  <c r="E250" i="50"/>
  <c r="J250" i="50" s="1"/>
  <c r="E249" i="50"/>
  <c r="H249" i="50" s="1"/>
  <c r="M249" i="50" s="1"/>
  <c r="E248" i="50"/>
  <c r="J248" i="50" s="1"/>
  <c r="E247" i="50"/>
  <c r="J247" i="50" s="1"/>
  <c r="E246" i="50"/>
  <c r="H246" i="50" s="1"/>
  <c r="M246" i="50" s="1"/>
  <c r="E245" i="50"/>
  <c r="H245" i="50" s="1"/>
  <c r="M245" i="50" s="1"/>
  <c r="E244" i="50"/>
  <c r="J244" i="50" s="1"/>
  <c r="E243" i="50"/>
  <c r="J243" i="50" s="1"/>
  <c r="E242" i="50"/>
  <c r="J242" i="50" s="1"/>
  <c r="E241" i="50"/>
  <c r="J241" i="50" s="1"/>
  <c r="E240" i="50"/>
  <c r="H240" i="50" s="1"/>
  <c r="M240" i="50" s="1"/>
  <c r="E239" i="50"/>
  <c r="H239" i="50" s="1"/>
  <c r="M239" i="50" s="1"/>
  <c r="E238" i="50"/>
  <c r="J238" i="50" s="1"/>
  <c r="E237" i="50"/>
  <c r="J237" i="50" s="1"/>
  <c r="E236" i="50"/>
  <c r="J236" i="50" s="1"/>
  <c r="E235" i="50"/>
  <c r="J235" i="50" s="1"/>
  <c r="E234" i="50"/>
  <c r="H234" i="50" s="1"/>
  <c r="M234" i="50" s="1"/>
  <c r="E233" i="50"/>
  <c r="J233" i="50" s="1"/>
  <c r="E232" i="50"/>
  <c r="J232" i="50" s="1"/>
  <c r="E231" i="50"/>
  <c r="J231" i="50" s="1"/>
  <c r="E230" i="50"/>
  <c r="H230" i="50" s="1"/>
  <c r="M230" i="50" s="1"/>
  <c r="E229" i="50"/>
  <c r="H229" i="50" s="1"/>
  <c r="M229" i="50" s="1"/>
  <c r="E228" i="50"/>
  <c r="H228" i="50" s="1"/>
  <c r="M228" i="50" s="1"/>
  <c r="E227" i="50"/>
  <c r="J227" i="50" s="1"/>
  <c r="E226" i="50"/>
  <c r="H226" i="50" s="1"/>
  <c r="M226" i="50" s="1"/>
  <c r="E225" i="50"/>
  <c r="J225" i="50" s="1"/>
  <c r="E224" i="50"/>
  <c r="H224" i="50" s="1"/>
  <c r="M224" i="50" s="1"/>
  <c r="E223" i="50"/>
  <c r="J223" i="50" s="1"/>
  <c r="E222" i="50"/>
  <c r="J222" i="50" s="1"/>
  <c r="E221" i="50"/>
  <c r="J221" i="50" s="1"/>
  <c r="E220" i="50"/>
  <c r="J220" i="50" s="1"/>
  <c r="E219" i="50"/>
  <c r="H219" i="50" s="1"/>
  <c r="M219" i="50" s="1"/>
  <c r="E218" i="50"/>
  <c r="J218" i="50" s="1"/>
  <c r="E217" i="50"/>
  <c r="J217" i="50" s="1"/>
  <c r="E216" i="50"/>
  <c r="J216" i="50" s="1"/>
  <c r="E215" i="50"/>
  <c r="H215" i="50" s="1"/>
  <c r="M215" i="50" s="1"/>
  <c r="E214" i="50"/>
  <c r="H214" i="50" s="1"/>
  <c r="M214" i="50" s="1"/>
  <c r="E213" i="50"/>
  <c r="H213" i="50" s="1"/>
  <c r="M213" i="50" s="1"/>
  <c r="E212" i="50"/>
  <c r="H212" i="50" s="1"/>
  <c r="M212" i="50" s="1"/>
  <c r="E211" i="50"/>
  <c r="J211" i="50" s="1"/>
  <c r="E210" i="50"/>
  <c r="J210" i="50" s="1"/>
  <c r="E209" i="50"/>
  <c r="J209" i="50" s="1"/>
  <c r="E208" i="50"/>
  <c r="J208" i="50" s="1"/>
  <c r="E207" i="50"/>
  <c r="J207" i="50" s="1"/>
  <c r="E206" i="50"/>
  <c r="H206" i="50" s="1"/>
  <c r="M206" i="50" s="1"/>
  <c r="E205" i="50"/>
  <c r="H205" i="50" s="1"/>
  <c r="M205" i="50" s="1"/>
  <c r="E204" i="50"/>
  <c r="J204" i="50" s="1"/>
  <c r="E203" i="50"/>
  <c r="J203" i="50" s="1"/>
  <c r="E202" i="50"/>
  <c r="H202" i="50" s="1"/>
  <c r="M202" i="50" s="1"/>
  <c r="E201" i="50"/>
  <c r="H201" i="50" s="1"/>
  <c r="M201" i="50" s="1"/>
  <c r="E200" i="50"/>
  <c r="H200" i="50" s="1"/>
  <c r="M200" i="50" s="1"/>
  <c r="E199" i="50"/>
  <c r="J199" i="50" s="1"/>
  <c r="E198" i="50"/>
  <c r="H198" i="50" s="1"/>
  <c r="M198" i="50" s="1"/>
  <c r="E197" i="50"/>
  <c r="H197" i="50" s="1"/>
  <c r="M197" i="50" s="1"/>
  <c r="E196" i="50"/>
  <c r="H196" i="50" s="1"/>
  <c r="M196" i="50" s="1"/>
  <c r="E195" i="50"/>
  <c r="J195" i="50" s="1"/>
  <c r="E194" i="50"/>
  <c r="J194" i="50" s="1"/>
  <c r="E193" i="50"/>
  <c r="J193" i="50" s="1"/>
  <c r="E192" i="50"/>
  <c r="H192" i="50" s="1"/>
  <c r="M192" i="50" s="1"/>
  <c r="E191" i="50"/>
  <c r="J191" i="50" s="1"/>
  <c r="E190" i="50"/>
  <c r="J190" i="50" s="1"/>
  <c r="E189" i="50"/>
  <c r="J189" i="50" s="1"/>
  <c r="E188" i="50"/>
  <c r="H188" i="50" s="1"/>
  <c r="M188" i="50" s="1"/>
  <c r="E187" i="50"/>
  <c r="H187" i="50" s="1"/>
  <c r="M187" i="50" s="1"/>
  <c r="E186" i="50"/>
  <c r="H186" i="50" s="1"/>
  <c r="M186" i="50" s="1"/>
  <c r="E185" i="50"/>
  <c r="H185" i="50" s="1"/>
  <c r="M185" i="50" s="1"/>
  <c r="E184" i="50"/>
  <c r="H184" i="50" s="1"/>
  <c r="M184" i="50" s="1"/>
  <c r="E183" i="50"/>
  <c r="J183" i="50" s="1"/>
  <c r="E182" i="50"/>
  <c r="H182" i="50" s="1"/>
  <c r="M182" i="50" s="1"/>
  <c r="E181" i="50"/>
  <c r="H181" i="50" s="1"/>
  <c r="M181" i="50" s="1"/>
  <c r="E180" i="50"/>
  <c r="J180" i="50" s="1"/>
  <c r="E179" i="50"/>
  <c r="J179" i="50" s="1"/>
  <c r="E178" i="50"/>
  <c r="J178" i="50" s="1"/>
  <c r="E177" i="50"/>
  <c r="J177" i="50" s="1"/>
  <c r="E176" i="50"/>
  <c r="J176" i="50" s="1"/>
  <c r="E175" i="50"/>
  <c r="J175" i="50" s="1"/>
  <c r="E174" i="50"/>
  <c r="H174" i="50" s="1"/>
  <c r="M174" i="50" s="1"/>
  <c r="E173" i="50"/>
  <c r="H173" i="50" s="1"/>
  <c r="M173" i="50" s="1"/>
  <c r="E172" i="50"/>
  <c r="J172" i="50" s="1"/>
  <c r="E171" i="50"/>
  <c r="H171" i="50" s="1"/>
  <c r="M171" i="50" s="1"/>
  <c r="E170" i="50"/>
  <c r="J170" i="50" s="1"/>
  <c r="E169" i="50"/>
  <c r="J169" i="50" s="1"/>
  <c r="E168" i="50"/>
  <c r="H168" i="50" s="1"/>
  <c r="M168" i="50" s="1"/>
  <c r="E167" i="50"/>
  <c r="J167" i="50" s="1"/>
  <c r="E166" i="50"/>
  <c r="H166" i="50" s="1"/>
  <c r="M166" i="50" s="1"/>
  <c r="E165" i="50"/>
  <c r="J165" i="50" s="1"/>
  <c r="E164" i="50"/>
  <c r="J164" i="50" s="1"/>
  <c r="E163" i="50"/>
  <c r="J163" i="50" s="1"/>
  <c r="E162" i="50"/>
  <c r="J162" i="50" s="1"/>
  <c r="E161" i="50"/>
  <c r="H161" i="50" s="1"/>
  <c r="M161" i="50" s="1"/>
  <c r="E160" i="50"/>
  <c r="H160" i="50" s="1"/>
  <c r="M160" i="50" s="1"/>
  <c r="E159" i="50"/>
  <c r="H159" i="50" s="1"/>
  <c r="M159" i="50" s="1"/>
  <c r="E158" i="50"/>
  <c r="J158" i="50" s="1"/>
  <c r="E157" i="50"/>
  <c r="H157" i="50" s="1"/>
  <c r="M157" i="50" s="1"/>
  <c r="E156" i="50"/>
  <c r="J156" i="50" s="1"/>
  <c r="E155" i="50"/>
  <c r="J155" i="50" s="1"/>
  <c r="E154" i="50"/>
  <c r="H154" i="50" s="1"/>
  <c r="M154" i="50" s="1"/>
  <c r="E153" i="50"/>
  <c r="J153" i="50" s="1"/>
  <c r="E152" i="50"/>
  <c r="H152" i="50" s="1"/>
  <c r="M152" i="50" s="1"/>
  <c r="E151" i="50"/>
  <c r="J151" i="50" s="1"/>
  <c r="E150" i="50"/>
  <c r="J150" i="50" s="1"/>
  <c r="E149" i="50"/>
  <c r="J149" i="50" s="1"/>
  <c r="E148" i="50"/>
  <c r="H148" i="50" s="1"/>
  <c r="M148" i="50" s="1"/>
  <c r="E147" i="50"/>
  <c r="H147" i="50" s="1"/>
  <c r="M147" i="50" s="1"/>
  <c r="E146" i="50"/>
  <c r="H146" i="50" s="1"/>
  <c r="M146" i="50" s="1"/>
  <c r="E145" i="50"/>
  <c r="H145" i="50" s="1"/>
  <c r="M145" i="50" s="1"/>
  <c r="E144" i="50"/>
  <c r="H144" i="50" s="1"/>
  <c r="M144" i="50" s="1"/>
  <c r="E143" i="50"/>
  <c r="J143" i="50" s="1"/>
  <c r="E142" i="50"/>
  <c r="H142" i="50" s="1"/>
  <c r="M142" i="50" s="1"/>
  <c r="E141" i="50"/>
  <c r="H141" i="50" s="1"/>
  <c r="M141" i="50" s="1"/>
  <c r="E140" i="50"/>
  <c r="J140" i="50" s="1"/>
  <c r="E139" i="50"/>
  <c r="J139" i="50" s="1"/>
  <c r="E138" i="50"/>
  <c r="H138" i="50" s="1"/>
  <c r="M138" i="50" s="1"/>
  <c r="E137" i="50"/>
  <c r="J137" i="50" s="1"/>
  <c r="E136" i="50"/>
  <c r="H136" i="50" s="1"/>
  <c r="M136" i="50" s="1"/>
  <c r="E135" i="50"/>
  <c r="H135" i="50" s="1"/>
  <c r="M135" i="50" s="1"/>
  <c r="E134" i="50"/>
  <c r="J134" i="50" s="1"/>
  <c r="E133" i="50"/>
  <c r="J133" i="50" s="1"/>
  <c r="E132" i="50"/>
  <c r="H132" i="50" s="1"/>
  <c r="M132" i="50" s="1"/>
  <c r="E131" i="50"/>
  <c r="J131" i="50" s="1"/>
  <c r="E129" i="50"/>
  <c r="H129" i="50" s="1"/>
  <c r="M129" i="50" s="1"/>
  <c r="E128" i="50"/>
  <c r="H128" i="50" s="1"/>
  <c r="M128" i="50" s="1"/>
  <c r="E127" i="50"/>
  <c r="H127" i="50" s="1"/>
  <c r="M127" i="50" s="1"/>
  <c r="E126" i="50"/>
  <c r="H126" i="50" s="1"/>
  <c r="M126" i="50" s="1"/>
  <c r="E125" i="50"/>
  <c r="J125" i="50" s="1"/>
  <c r="E124" i="50"/>
  <c r="H124" i="50" s="1"/>
  <c r="M124" i="50" s="1"/>
  <c r="E123" i="50"/>
  <c r="J123" i="50" s="1"/>
  <c r="E122" i="50"/>
  <c r="J122" i="50" s="1"/>
  <c r="E121" i="50"/>
  <c r="J121" i="50" s="1"/>
  <c r="E120" i="50"/>
  <c r="J120" i="50" s="1"/>
  <c r="E119" i="50"/>
  <c r="J119" i="50" s="1"/>
  <c r="E118" i="50"/>
  <c r="J118" i="50" s="1"/>
  <c r="E117" i="50"/>
  <c r="E116" i="50"/>
  <c r="J116" i="50" s="1"/>
  <c r="E115" i="50"/>
  <c r="H115" i="50" s="1"/>
  <c r="M115" i="50" s="1"/>
  <c r="E114" i="50"/>
  <c r="H114" i="50" s="1"/>
  <c r="M114" i="50" s="1"/>
  <c r="E113" i="50"/>
  <c r="J113" i="50" s="1"/>
  <c r="E112" i="50"/>
  <c r="E111" i="50"/>
  <c r="H111" i="50" s="1"/>
  <c r="M111" i="50" s="1"/>
  <c r="E110" i="50"/>
  <c r="J110" i="50" s="1"/>
  <c r="E109" i="50"/>
  <c r="J109" i="50" s="1"/>
  <c r="E108" i="50"/>
  <c r="H108" i="50" s="1"/>
  <c r="M108" i="50" s="1"/>
  <c r="E107" i="50"/>
  <c r="H107" i="50" s="1"/>
  <c r="M107" i="50" s="1"/>
  <c r="E106" i="50"/>
  <c r="J106" i="50" s="1"/>
  <c r="E105" i="50"/>
  <c r="H105" i="50" s="1"/>
  <c r="M105" i="50" s="1"/>
  <c r="E104" i="50"/>
  <c r="J104" i="50" s="1"/>
  <c r="E103" i="50"/>
  <c r="J103" i="50" s="1"/>
  <c r="E102" i="50"/>
  <c r="J102" i="50" s="1"/>
  <c r="E101" i="50"/>
  <c r="H101" i="50" s="1"/>
  <c r="M101" i="50" s="1"/>
  <c r="E100" i="50"/>
  <c r="H100" i="50" s="1"/>
  <c r="M100" i="50" s="1"/>
  <c r="E99" i="50"/>
  <c r="H99" i="50" s="1"/>
  <c r="M99" i="50" s="1"/>
  <c r="E98" i="50"/>
  <c r="J98" i="50" s="1"/>
  <c r="E97" i="50"/>
  <c r="H97" i="50" s="1"/>
  <c r="M97" i="50" s="1"/>
  <c r="E96" i="50"/>
  <c r="J96" i="50" s="1"/>
  <c r="E95" i="50"/>
  <c r="H95" i="50" s="1"/>
  <c r="M95" i="50" s="1"/>
  <c r="E94" i="50"/>
  <c r="J94" i="50" s="1"/>
  <c r="E93" i="50"/>
  <c r="J93" i="50" s="1"/>
  <c r="E92" i="50"/>
  <c r="H92" i="50" s="1"/>
  <c r="M92" i="50" s="1"/>
  <c r="E91" i="50"/>
  <c r="J91" i="50" s="1"/>
  <c r="E90" i="50"/>
  <c r="J90" i="50" s="1"/>
  <c r="E89" i="50"/>
  <c r="H89" i="50" s="1"/>
  <c r="M89" i="50" s="1"/>
  <c r="E88" i="50"/>
  <c r="H88" i="50" s="1"/>
  <c r="M88" i="50" s="1"/>
  <c r="E87" i="50"/>
  <c r="H87" i="50" s="1"/>
  <c r="M87" i="50" s="1"/>
  <c r="E86" i="50"/>
  <c r="H86" i="50" s="1"/>
  <c r="M86" i="50" s="1"/>
  <c r="E85" i="50"/>
  <c r="H85" i="50" s="1"/>
  <c r="M85" i="50" s="1"/>
  <c r="E84" i="50"/>
  <c r="H84" i="50" s="1"/>
  <c r="M84" i="50" s="1"/>
  <c r="E83" i="50"/>
  <c r="J83" i="50" s="1"/>
  <c r="E82" i="50"/>
  <c r="H82" i="50" s="1"/>
  <c r="M82" i="50" s="1"/>
  <c r="E81" i="50"/>
  <c r="E80" i="50"/>
  <c r="J80" i="50" s="1"/>
  <c r="E79" i="50"/>
  <c r="J79" i="50" s="1"/>
  <c r="E78" i="50"/>
  <c r="H78" i="50" s="1"/>
  <c r="M78" i="50" s="1"/>
  <c r="E77" i="50"/>
  <c r="J77" i="50" s="1"/>
  <c r="E76" i="50"/>
  <c r="H76" i="50" s="1"/>
  <c r="M76" i="50" s="1"/>
  <c r="E75" i="50"/>
  <c r="J75" i="50" s="1"/>
  <c r="E74" i="50"/>
  <c r="J74" i="50" s="1"/>
  <c r="E73" i="50"/>
  <c r="H73" i="50" s="1"/>
  <c r="M73" i="50" s="1"/>
  <c r="E72" i="50"/>
  <c r="H72" i="50" s="1"/>
  <c r="M72" i="50" s="1"/>
  <c r="E71" i="50"/>
  <c r="H71" i="50" s="1"/>
  <c r="M71" i="50" s="1"/>
  <c r="E70" i="50"/>
  <c r="H70" i="50" s="1"/>
  <c r="M70" i="50" s="1"/>
  <c r="E69" i="50"/>
  <c r="J69" i="50" s="1"/>
  <c r="E68" i="50"/>
  <c r="H68" i="50" s="1"/>
  <c r="M68" i="50" s="1"/>
  <c r="E67" i="50"/>
  <c r="H67" i="50" s="1"/>
  <c r="M67" i="50" s="1"/>
  <c r="E66" i="50"/>
  <c r="H66" i="50" s="1"/>
  <c r="M66" i="50" s="1"/>
  <c r="E65" i="50"/>
  <c r="J65" i="50" s="1"/>
  <c r="E64" i="50"/>
  <c r="J64" i="50" s="1"/>
  <c r="E63" i="50"/>
  <c r="J63" i="50" s="1"/>
  <c r="E62" i="50"/>
  <c r="H62" i="50" s="1"/>
  <c r="M62" i="50" s="1"/>
  <c r="E61" i="50"/>
  <c r="J61" i="50" s="1"/>
  <c r="E60" i="50"/>
  <c r="J60" i="50" s="1"/>
  <c r="E59" i="50"/>
  <c r="J59" i="50" s="1"/>
  <c r="E58" i="50"/>
  <c r="J58" i="50" s="1"/>
  <c r="E57" i="50"/>
  <c r="J57" i="50" s="1"/>
  <c r="E56" i="50"/>
  <c r="J56" i="50" s="1"/>
  <c r="E55" i="50"/>
  <c r="J55" i="50" s="1"/>
  <c r="E54" i="50"/>
  <c r="J54" i="50" s="1"/>
  <c r="E53" i="50"/>
  <c r="J53" i="50" s="1"/>
  <c r="E52" i="50"/>
  <c r="J52" i="50" s="1"/>
  <c r="E51" i="50"/>
  <c r="J51" i="50" s="1"/>
  <c r="E50" i="50"/>
  <c r="H50" i="50" s="1"/>
  <c r="M50" i="50" s="1"/>
  <c r="E49" i="50"/>
  <c r="J49" i="50" s="1"/>
  <c r="E48" i="50"/>
  <c r="H48" i="50" s="1"/>
  <c r="M48" i="50" s="1"/>
  <c r="E47" i="50"/>
  <c r="H47" i="50" s="1"/>
  <c r="M47" i="50" s="1"/>
  <c r="E46" i="50"/>
  <c r="J46" i="50" s="1"/>
  <c r="E45" i="50"/>
  <c r="H45" i="50" s="1"/>
  <c r="M45" i="50" s="1"/>
  <c r="E44" i="50"/>
  <c r="H44" i="50" s="1"/>
  <c r="M44" i="50" s="1"/>
  <c r="E43" i="50"/>
  <c r="J43" i="50" s="1"/>
  <c r="E42" i="50"/>
  <c r="J42" i="50" s="1"/>
  <c r="E41" i="50"/>
  <c r="J41" i="50" s="1"/>
  <c r="E40" i="50"/>
  <c r="J40" i="50" s="1"/>
  <c r="E39" i="50"/>
  <c r="J39" i="50" s="1"/>
  <c r="E38" i="50"/>
  <c r="J38" i="50" s="1"/>
  <c r="E37" i="50"/>
  <c r="J37" i="50" s="1"/>
  <c r="E36" i="50"/>
  <c r="H36" i="50" s="1"/>
  <c r="M36" i="50" s="1"/>
  <c r="E35" i="50"/>
  <c r="H35" i="50" s="1"/>
  <c r="M35" i="50" s="1"/>
  <c r="E34" i="50"/>
  <c r="H34" i="50" s="1"/>
  <c r="M34" i="50" s="1"/>
  <c r="E33" i="50"/>
  <c r="J33" i="50" s="1"/>
  <c r="E32" i="50"/>
  <c r="J32" i="50" s="1"/>
  <c r="E31" i="50"/>
  <c r="J31" i="50" s="1"/>
  <c r="E30" i="50"/>
  <c r="J30" i="50" s="1"/>
  <c r="E29" i="50"/>
  <c r="H29" i="50" s="1"/>
  <c r="M29" i="50" s="1"/>
  <c r="E28" i="50"/>
  <c r="H28" i="50" s="1"/>
  <c r="M28" i="50" s="1"/>
  <c r="E27" i="50"/>
  <c r="J27" i="50" s="1"/>
  <c r="E26" i="50"/>
  <c r="J26" i="50" s="1"/>
  <c r="E25" i="50"/>
  <c r="H25" i="50" s="1"/>
  <c r="M25" i="50" s="1"/>
  <c r="E24" i="50"/>
  <c r="H24" i="50" s="1"/>
  <c r="M24" i="50" s="1"/>
  <c r="E23" i="50"/>
  <c r="H23" i="50" s="1"/>
  <c r="M23" i="50" s="1"/>
  <c r="E22" i="50"/>
  <c r="H22" i="50" s="1"/>
  <c r="M22" i="50" s="1"/>
  <c r="E21" i="50"/>
  <c r="H21" i="50" s="1"/>
  <c r="M21" i="50" s="1"/>
  <c r="E20" i="50"/>
  <c r="J20" i="50" s="1"/>
  <c r="E19" i="50"/>
  <c r="H19" i="50" s="1"/>
  <c r="M19" i="50" s="1"/>
  <c r="E18" i="50"/>
  <c r="J18" i="50" s="1"/>
  <c r="E17" i="50"/>
  <c r="J17" i="50" s="1"/>
  <c r="E16" i="50"/>
  <c r="J16" i="50" s="1"/>
  <c r="E15" i="50"/>
  <c r="J15" i="50" s="1"/>
  <c r="E14" i="50"/>
  <c r="J14" i="50" s="1"/>
  <c r="E13" i="50"/>
  <c r="J13" i="50" s="1"/>
  <c r="E12" i="50"/>
  <c r="J12" i="50" s="1"/>
  <c r="E11" i="50"/>
  <c r="H11" i="50" s="1"/>
  <c r="M11" i="50" s="1"/>
  <c r="E10" i="50"/>
  <c r="H10" i="50" s="1"/>
  <c r="M10" i="50" s="1"/>
  <c r="E9" i="50"/>
  <c r="E8" i="50"/>
  <c r="J8" i="50" s="1"/>
  <c r="E7" i="50"/>
  <c r="H7" i="50" s="1"/>
  <c r="M7" i="50" s="1"/>
  <c r="E6" i="50"/>
  <c r="J6" i="50" s="1"/>
  <c r="E5" i="50"/>
  <c r="J5" i="50" s="1"/>
  <c r="E4" i="50"/>
  <c r="J4" i="50" s="1"/>
  <c r="E3" i="50"/>
  <c r="J3" i="50" s="1"/>
  <c r="E2" i="50"/>
  <c r="J2" i="50" s="1"/>
  <c r="F60" i="49"/>
  <c r="E60" i="49"/>
  <c r="D60" i="49"/>
  <c r="C60" i="49"/>
  <c r="B59" i="49"/>
  <c r="B58" i="49"/>
  <c r="B57" i="49"/>
  <c r="B56" i="49"/>
  <c r="B55" i="49"/>
  <c r="B54" i="49"/>
  <c r="B53" i="49"/>
  <c r="B52" i="49"/>
  <c r="B51" i="49"/>
  <c r="B50" i="49"/>
  <c r="B49" i="49"/>
  <c r="B48" i="49"/>
  <c r="O6" i="36"/>
  <c r="O13" i="36"/>
  <c r="O14" i="36" s="1"/>
  <c r="C15" i="36"/>
  <c r="O4" i="36" s="1"/>
  <c r="D15" i="36"/>
  <c r="E15" i="36"/>
  <c r="F15" i="36"/>
  <c r="D103" i="35"/>
  <c r="O77" i="35"/>
  <c r="N75" i="35"/>
  <c r="M76" i="35"/>
  <c r="L74" i="35"/>
  <c r="K75" i="35"/>
  <c r="J74" i="35"/>
  <c r="I75" i="35"/>
  <c r="H76" i="35"/>
  <c r="G74" i="35"/>
  <c r="F75" i="35"/>
  <c r="E74" i="35"/>
  <c r="D75" i="35"/>
  <c r="C76" i="35"/>
  <c r="B74" i="35"/>
  <c r="A13" i="16" a="1"/>
  <c r="A13" i="16" s="1"/>
  <c r="B4" i="36"/>
  <c r="B5" i="36"/>
  <c r="B6" i="36"/>
  <c r="B7" i="36"/>
  <c r="B8" i="36"/>
  <c r="B9" i="36"/>
  <c r="B10" i="36"/>
  <c r="B11" i="36"/>
  <c r="B12" i="36"/>
  <c r="B13" i="36"/>
  <c r="B14" i="36"/>
  <c r="B3" i="36"/>
  <c r="D35" i="35"/>
  <c r="D36" i="35"/>
  <c r="D37" i="35"/>
  <c r="D38" i="35"/>
  <c r="D39" i="35"/>
  <c r="D40" i="35"/>
  <c r="D41" i="35"/>
  <c r="D42" i="35"/>
  <c r="D43" i="35"/>
  <c r="D44" i="35"/>
  <c r="D45" i="35"/>
  <c r="D46" i="35"/>
  <c r="E35" i="35"/>
  <c r="E36" i="35"/>
  <c r="E37" i="35"/>
  <c r="E38" i="35"/>
  <c r="E39" i="35"/>
  <c r="E40" i="35"/>
  <c r="E41" i="35"/>
  <c r="E42" i="35"/>
  <c r="E43" i="35"/>
  <c r="E44" i="35"/>
  <c r="E45" i="35"/>
  <c r="E46" i="35"/>
  <c r="C44" i="35"/>
  <c r="C43" i="35"/>
  <c r="C42" i="35"/>
  <c r="C41" i="35"/>
  <c r="C40" i="35"/>
  <c r="C39" i="35"/>
  <c r="C38" i="35"/>
  <c r="C37" i="35"/>
  <c r="C36" i="35"/>
  <c r="C35" i="35"/>
  <c r="B45" i="35"/>
  <c r="B44" i="35"/>
  <c r="B43" i="35"/>
  <c r="B42" i="35"/>
  <c r="B41" i="35"/>
  <c r="B40" i="35"/>
  <c r="B39" i="35"/>
  <c r="B38" i="35"/>
  <c r="B37" i="35"/>
  <c r="B36" i="35"/>
  <c r="B35" i="35"/>
  <c r="C46" i="35"/>
  <c r="C45" i="35"/>
  <c r="B46" i="35"/>
  <c r="E786" i="29"/>
  <c r="E785" i="29"/>
  <c r="E784" i="29"/>
  <c r="E783" i="29"/>
  <c r="E782" i="29"/>
  <c r="E781" i="29"/>
  <c r="E780" i="29"/>
  <c r="E779" i="29"/>
  <c r="E778" i="29"/>
  <c r="E777" i="29"/>
  <c r="E776" i="29"/>
  <c r="E775" i="29"/>
  <c r="E774" i="29"/>
  <c r="E773" i="29"/>
  <c r="E772" i="29"/>
  <c r="E771" i="29"/>
  <c r="E770" i="29"/>
  <c r="E769" i="29"/>
  <c r="E768" i="29"/>
  <c r="E767" i="29"/>
  <c r="E766" i="29"/>
  <c r="E765" i="29"/>
  <c r="E764" i="29"/>
  <c r="E763" i="29"/>
  <c r="E762" i="29"/>
  <c r="E761" i="29"/>
  <c r="E760" i="29"/>
  <c r="E759" i="29"/>
  <c r="E758" i="29"/>
  <c r="E757" i="29"/>
  <c r="E756" i="29"/>
  <c r="E755" i="29"/>
  <c r="E754" i="29"/>
  <c r="E753" i="29"/>
  <c r="E752" i="29"/>
  <c r="E751" i="29"/>
  <c r="E750" i="29"/>
  <c r="E749" i="29"/>
  <c r="E748" i="29"/>
  <c r="E747" i="29"/>
  <c r="E746" i="29"/>
  <c r="E745" i="29"/>
  <c r="E744" i="29"/>
  <c r="E743" i="29"/>
  <c r="E742" i="29"/>
  <c r="E741" i="29"/>
  <c r="E740" i="29"/>
  <c r="E739" i="29"/>
  <c r="E738" i="29"/>
  <c r="E737" i="29"/>
  <c r="E736" i="29"/>
  <c r="E735" i="29"/>
  <c r="E734" i="29"/>
  <c r="E733" i="29"/>
  <c r="E732" i="29"/>
  <c r="E731" i="29"/>
  <c r="E730" i="29"/>
  <c r="E729" i="29"/>
  <c r="E728" i="29"/>
  <c r="E727" i="29"/>
  <c r="E726" i="29"/>
  <c r="E725" i="29"/>
  <c r="E724" i="29"/>
  <c r="E723" i="29"/>
  <c r="E722" i="29"/>
  <c r="E721" i="29"/>
  <c r="E720" i="29"/>
  <c r="E719" i="29"/>
  <c r="E718" i="29"/>
  <c r="E717" i="29"/>
  <c r="E716" i="29"/>
  <c r="E715" i="29"/>
  <c r="E714" i="29"/>
  <c r="E713" i="29"/>
  <c r="E712" i="29"/>
  <c r="E711" i="29"/>
  <c r="E710" i="29"/>
  <c r="E709" i="29"/>
  <c r="E708" i="29"/>
  <c r="E707" i="29"/>
  <c r="E706" i="29"/>
  <c r="E705" i="29"/>
  <c r="E704" i="29"/>
  <c r="E703" i="29"/>
  <c r="E702" i="29"/>
  <c r="E701" i="29"/>
  <c r="E700" i="29"/>
  <c r="E699" i="29"/>
  <c r="E698" i="29"/>
  <c r="E697" i="29"/>
  <c r="E696" i="29"/>
  <c r="E695" i="29"/>
  <c r="E694" i="29"/>
  <c r="E693" i="29"/>
  <c r="E692" i="29"/>
  <c r="E691" i="29"/>
  <c r="E690" i="29"/>
  <c r="E689" i="29"/>
  <c r="E688" i="29"/>
  <c r="E687" i="29"/>
  <c r="E686" i="29"/>
  <c r="E685" i="29"/>
  <c r="E684" i="29"/>
  <c r="E683" i="29"/>
  <c r="E682" i="29"/>
  <c r="E681" i="29"/>
  <c r="E680" i="29"/>
  <c r="E679" i="29"/>
  <c r="E678" i="29"/>
  <c r="E677" i="29"/>
  <c r="E676" i="29"/>
  <c r="E675" i="29"/>
  <c r="E674" i="29"/>
  <c r="E673" i="29"/>
  <c r="E672" i="29"/>
  <c r="E671" i="29"/>
  <c r="E670" i="29"/>
  <c r="E669" i="29"/>
  <c r="E668" i="29"/>
  <c r="E667" i="29"/>
  <c r="E666" i="29"/>
  <c r="E665" i="29"/>
  <c r="E664" i="29"/>
  <c r="E663" i="29"/>
  <c r="E662" i="29"/>
  <c r="E661" i="29"/>
  <c r="E660" i="29"/>
  <c r="E659" i="29"/>
  <c r="E658" i="29"/>
  <c r="E657" i="29"/>
  <c r="E656" i="29"/>
  <c r="E655" i="29"/>
  <c r="E654" i="29"/>
  <c r="E653" i="29"/>
  <c r="E652" i="29"/>
  <c r="E651" i="29"/>
  <c r="E650" i="29"/>
  <c r="E649" i="29"/>
  <c r="E648" i="29"/>
  <c r="E647" i="29"/>
  <c r="E646" i="29"/>
  <c r="E645" i="29"/>
  <c r="E644" i="29"/>
  <c r="E643" i="29"/>
  <c r="E642" i="29"/>
  <c r="E641" i="29"/>
  <c r="E640" i="29"/>
  <c r="E639" i="29"/>
  <c r="E638" i="29"/>
  <c r="E637" i="29"/>
  <c r="E636" i="29"/>
  <c r="E635" i="29"/>
  <c r="E634" i="29"/>
  <c r="E633" i="29"/>
  <c r="E632" i="29"/>
  <c r="E631" i="29"/>
  <c r="E630" i="29"/>
  <c r="E629" i="29"/>
  <c r="E628" i="29"/>
  <c r="E627" i="29"/>
  <c r="E626" i="29"/>
  <c r="E625" i="29"/>
  <c r="E624" i="29"/>
  <c r="E623" i="29"/>
  <c r="E622" i="29"/>
  <c r="E621" i="29"/>
  <c r="E620" i="29"/>
  <c r="E619" i="29"/>
  <c r="E618" i="29"/>
  <c r="E617" i="29"/>
  <c r="E616" i="29"/>
  <c r="E615" i="29"/>
  <c r="E614" i="29"/>
  <c r="E613" i="29"/>
  <c r="E612" i="29"/>
  <c r="E611" i="29"/>
  <c r="E610" i="29"/>
  <c r="E609" i="29"/>
  <c r="E608" i="29"/>
  <c r="E607" i="29"/>
  <c r="E606" i="29"/>
  <c r="E605" i="29"/>
  <c r="E604" i="29"/>
  <c r="E603" i="29"/>
  <c r="E602" i="29"/>
  <c r="E601" i="29"/>
  <c r="E600" i="29"/>
  <c r="E599" i="29"/>
  <c r="E598" i="29"/>
  <c r="E597" i="29"/>
  <c r="E596" i="29"/>
  <c r="E595" i="29"/>
  <c r="E594" i="29"/>
  <c r="E593" i="29"/>
  <c r="E592" i="29"/>
  <c r="E591" i="29"/>
  <c r="E590" i="29"/>
  <c r="E589" i="29"/>
  <c r="E588" i="29"/>
  <c r="E587" i="29"/>
  <c r="E586" i="29"/>
  <c r="E585" i="29"/>
  <c r="E584" i="29"/>
  <c r="E583" i="29"/>
  <c r="E582" i="29"/>
  <c r="E581" i="29"/>
  <c r="E580" i="29"/>
  <c r="E579" i="29"/>
  <c r="E578" i="29"/>
  <c r="E577" i="29"/>
  <c r="E576" i="29"/>
  <c r="E575" i="29"/>
  <c r="E574" i="29"/>
  <c r="E573" i="29"/>
  <c r="E572" i="29"/>
  <c r="E571" i="29"/>
  <c r="E570" i="29"/>
  <c r="E569" i="29"/>
  <c r="E568" i="29"/>
  <c r="E567" i="29"/>
  <c r="E566" i="29"/>
  <c r="E565" i="29"/>
  <c r="E564" i="29"/>
  <c r="E563" i="29"/>
  <c r="E562" i="29"/>
  <c r="E561" i="29"/>
  <c r="E560" i="29"/>
  <c r="E559" i="29"/>
  <c r="E558" i="29"/>
  <c r="E557" i="29"/>
  <c r="E556" i="29"/>
  <c r="E555" i="29"/>
  <c r="E554" i="29"/>
  <c r="E553" i="29"/>
  <c r="E552" i="29"/>
  <c r="E551" i="29"/>
  <c r="E550" i="29"/>
  <c r="E549" i="29"/>
  <c r="E548" i="29"/>
  <c r="E547" i="29"/>
  <c r="E546" i="29"/>
  <c r="E545" i="29"/>
  <c r="E544" i="29"/>
  <c r="E543" i="29"/>
  <c r="E542" i="29"/>
  <c r="E541" i="29"/>
  <c r="E540" i="29"/>
  <c r="E539" i="29"/>
  <c r="E538" i="29"/>
  <c r="E537" i="29"/>
  <c r="E536" i="29"/>
  <c r="E535" i="29"/>
  <c r="E534" i="29"/>
  <c r="E533" i="29"/>
  <c r="E532" i="29"/>
  <c r="E531" i="29"/>
  <c r="E530" i="29"/>
  <c r="E529" i="29"/>
  <c r="E528" i="29"/>
  <c r="E527" i="29"/>
  <c r="E526" i="29"/>
  <c r="E525" i="29"/>
  <c r="E524" i="29"/>
  <c r="E523" i="29"/>
  <c r="E522" i="29"/>
  <c r="E521" i="29"/>
  <c r="E520" i="29"/>
  <c r="E519" i="29"/>
  <c r="E518" i="29"/>
  <c r="E517" i="29"/>
  <c r="E516" i="29"/>
  <c r="E515" i="29"/>
  <c r="E514" i="29"/>
  <c r="E513" i="29"/>
  <c r="E512" i="29"/>
  <c r="E511" i="29"/>
  <c r="E510" i="29"/>
  <c r="E509" i="29"/>
  <c r="E508" i="29"/>
  <c r="E507" i="29"/>
  <c r="E506" i="29"/>
  <c r="E505" i="29"/>
  <c r="E504" i="29"/>
  <c r="E503" i="29"/>
  <c r="E502" i="29"/>
  <c r="E501" i="29"/>
  <c r="E500" i="29"/>
  <c r="E499" i="29"/>
  <c r="E498" i="29"/>
  <c r="E497" i="29"/>
  <c r="E496" i="29"/>
  <c r="E495" i="29"/>
  <c r="E494" i="29"/>
  <c r="E493" i="29"/>
  <c r="E492" i="29"/>
  <c r="E491" i="29"/>
  <c r="E490" i="29"/>
  <c r="E489" i="29"/>
  <c r="E488" i="29"/>
  <c r="E487" i="29"/>
  <c r="E486" i="29"/>
  <c r="E485" i="29"/>
  <c r="E484" i="29"/>
  <c r="E483" i="29"/>
  <c r="E482" i="29"/>
  <c r="E481" i="29"/>
  <c r="E480" i="29"/>
  <c r="E479" i="29"/>
  <c r="E478" i="29"/>
  <c r="E477" i="29"/>
  <c r="E476" i="29"/>
  <c r="E475" i="29"/>
  <c r="E474" i="29"/>
  <c r="E473" i="29"/>
  <c r="E472" i="29"/>
  <c r="E471" i="29"/>
  <c r="E470" i="29"/>
  <c r="E469" i="29"/>
  <c r="E468" i="29"/>
  <c r="E467" i="29"/>
  <c r="E466" i="29"/>
  <c r="E465" i="29"/>
  <c r="E464" i="29"/>
  <c r="E463" i="29"/>
  <c r="E462" i="29"/>
  <c r="E461" i="29"/>
  <c r="E460" i="29"/>
  <c r="E459" i="29"/>
  <c r="E458" i="29"/>
  <c r="E457" i="29"/>
  <c r="E456" i="29"/>
  <c r="E455" i="29"/>
  <c r="E454" i="29"/>
  <c r="E453" i="29"/>
  <c r="E452" i="29"/>
  <c r="E451" i="29"/>
  <c r="E450" i="29"/>
  <c r="E449" i="29"/>
  <c r="E448" i="29"/>
  <c r="E447" i="29"/>
  <c r="E446" i="29"/>
  <c r="E445" i="29"/>
  <c r="E444" i="29"/>
  <c r="E443" i="29"/>
  <c r="E442" i="29"/>
  <c r="E441" i="29"/>
  <c r="E440" i="29"/>
  <c r="E439" i="29"/>
  <c r="E438" i="29"/>
  <c r="E437" i="29"/>
  <c r="E436" i="29"/>
  <c r="E435" i="29"/>
  <c r="E434" i="29"/>
  <c r="E433" i="29"/>
  <c r="E432" i="29"/>
  <c r="E431" i="29"/>
  <c r="E430" i="29"/>
  <c r="E429" i="29"/>
  <c r="E428" i="29"/>
  <c r="E427" i="29"/>
  <c r="E426" i="29"/>
  <c r="E425" i="29"/>
  <c r="E424" i="29"/>
  <c r="E423" i="29"/>
  <c r="E422" i="29"/>
  <c r="E421" i="29"/>
  <c r="E420" i="29"/>
  <c r="E419" i="29"/>
  <c r="E418" i="29"/>
  <c r="E417" i="29"/>
  <c r="E416" i="29"/>
  <c r="E415" i="29"/>
  <c r="E414" i="29"/>
  <c r="E413" i="29"/>
  <c r="E412" i="29"/>
  <c r="E411" i="29"/>
  <c r="E410" i="29"/>
  <c r="E409" i="29"/>
  <c r="E408" i="29"/>
  <c r="E407" i="29"/>
  <c r="E406" i="29"/>
  <c r="E405" i="29"/>
  <c r="E404" i="29"/>
  <c r="E403" i="29"/>
  <c r="E402" i="29"/>
  <c r="E401" i="29"/>
  <c r="E400" i="29"/>
  <c r="E399" i="29"/>
  <c r="E398" i="29"/>
  <c r="E397" i="29"/>
  <c r="E396" i="29"/>
  <c r="E395" i="29"/>
  <c r="E394" i="29"/>
  <c r="E393" i="29"/>
  <c r="E392" i="29"/>
  <c r="E391" i="29"/>
  <c r="E390" i="29"/>
  <c r="E389" i="29"/>
  <c r="E388" i="29"/>
  <c r="E387" i="29"/>
  <c r="E386" i="29"/>
  <c r="E385" i="29"/>
  <c r="E384" i="29"/>
  <c r="E383" i="29"/>
  <c r="E382" i="29"/>
  <c r="E381" i="29"/>
  <c r="E380" i="29"/>
  <c r="E379" i="29"/>
  <c r="E378" i="29"/>
  <c r="E377" i="29"/>
  <c r="E376" i="29"/>
  <c r="E375" i="29"/>
  <c r="E374" i="29"/>
  <c r="E373" i="29"/>
  <c r="E372" i="29"/>
  <c r="E371" i="29"/>
  <c r="E370" i="29"/>
  <c r="E369" i="29"/>
  <c r="E368" i="29"/>
  <c r="E367" i="29"/>
  <c r="E366" i="29"/>
  <c r="E365" i="29"/>
  <c r="E364" i="29"/>
  <c r="E363" i="29"/>
  <c r="E362" i="29"/>
  <c r="E361" i="29"/>
  <c r="E360" i="29"/>
  <c r="E359" i="29"/>
  <c r="E358" i="29"/>
  <c r="E357" i="29"/>
  <c r="E356" i="29"/>
  <c r="E355" i="29"/>
  <c r="E354" i="29"/>
  <c r="E353" i="29"/>
  <c r="E352" i="29"/>
  <c r="E351" i="29"/>
  <c r="E350" i="29"/>
  <c r="E349" i="29"/>
  <c r="E348" i="29"/>
  <c r="E347" i="29"/>
  <c r="E346" i="29"/>
  <c r="E345" i="29"/>
  <c r="E344" i="29"/>
  <c r="E343" i="29"/>
  <c r="E342" i="29"/>
  <c r="E341" i="29"/>
  <c r="E340" i="29"/>
  <c r="E339" i="29"/>
  <c r="E338" i="29"/>
  <c r="E337" i="29"/>
  <c r="E336" i="29"/>
  <c r="E335" i="29"/>
  <c r="E334" i="29"/>
  <c r="E333" i="29"/>
  <c r="E332" i="29"/>
  <c r="E331" i="29"/>
  <c r="E330" i="29"/>
  <c r="E329" i="29"/>
  <c r="E328" i="29"/>
  <c r="E327" i="29"/>
  <c r="E326" i="29"/>
  <c r="E325" i="29"/>
  <c r="E324" i="29"/>
  <c r="E323" i="29"/>
  <c r="E322" i="29"/>
  <c r="E321" i="29"/>
  <c r="E320" i="29"/>
  <c r="E319" i="29"/>
  <c r="E318" i="29"/>
  <c r="E317" i="29"/>
  <c r="E316" i="29"/>
  <c r="E315" i="29"/>
  <c r="E314" i="29"/>
  <c r="E313" i="29"/>
  <c r="E312" i="29"/>
  <c r="E311" i="29"/>
  <c r="E310" i="29"/>
  <c r="E309" i="29"/>
  <c r="E308" i="29"/>
  <c r="E307" i="29"/>
  <c r="E306" i="29"/>
  <c r="E305" i="29"/>
  <c r="E304" i="29"/>
  <c r="E303" i="29"/>
  <c r="E302" i="29"/>
  <c r="E301" i="29"/>
  <c r="E300" i="29"/>
  <c r="E299" i="29"/>
  <c r="E298" i="29"/>
  <c r="E297" i="29"/>
  <c r="E296" i="29"/>
  <c r="E295" i="29"/>
  <c r="E294" i="29"/>
  <c r="E293" i="29"/>
  <c r="E292" i="29"/>
  <c r="E291" i="29"/>
  <c r="E290" i="29"/>
  <c r="E289" i="29"/>
  <c r="E288" i="29"/>
  <c r="E287" i="29"/>
  <c r="E286" i="29"/>
  <c r="E285" i="29"/>
  <c r="E284" i="29"/>
  <c r="E283" i="29"/>
  <c r="E282" i="29"/>
  <c r="E281" i="29"/>
  <c r="E280" i="29"/>
  <c r="E279" i="29"/>
  <c r="E278" i="29"/>
  <c r="E277" i="29"/>
  <c r="E276" i="29"/>
  <c r="E275" i="29"/>
  <c r="E274" i="29"/>
  <c r="E273" i="29"/>
  <c r="E272" i="29"/>
  <c r="E271" i="29"/>
  <c r="E270" i="29"/>
  <c r="E269" i="29"/>
  <c r="E268" i="29"/>
  <c r="E267" i="29"/>
  <c r="E266" i="29"/>
  <c r="E265" i="29"/>
  <c r="E264" i="29"/>
  <c r="E263" i="29"/>
  <c r="E262" i="29"/>
  <c r="E261" i="29"/>
  <c r="E260" i="29"/>
  <c r="E259" i="29"/>
  <c r="E258" i="29"/>
  <c r="E257" i="29"/>
  <c r="E256" i="29"/>
  <c r="E255" i="29"/>
  <c r="E254" i="29"/>
  <c r="E253" i="29"/>
  <c r="E252" i="29"/>
  <c r="E251" i="29"/>
  <c r="E250" i="29"/>
  <c r="E249" i="29"/>
  <c r="E248" i="29"/>
  <c r="E247" i="29"/>
  <c r="E246" i="29"/>
  <c r="E245" i="29"/>
  <c r="E244" i="29"/>
  <c r="E243" i="29"/>
  <c r="E242" i="29"/>
  <c r="E241" i="29"/>
  <c r="E240" i="29"/>
  <c r="E239" i="29"/>
  <c r="E238" i="29"/>
  <c r="E237" i="29"/>
  <c r="E236" i="29"/>
  <c r="E235" i="29"/>
  <c r="E234" i="29"/>
  <c r="E233" i="29"/>
  <c r="E232" i="29"/>
  <c r="E231" i="29"/>
  <c r="E230" i="29"/>
  <c r="E229" i="29"/>
  <c r="E228" i="29"/>
  <c r="E227" i="29"/>
  <c r="E226" i="29"/>
  <c r="E225" i="29"/>
  <c r="E224" i="29"/>
  <c r="E223" i="29"/>
  <c r="E222" i="29"/>
  <c r="E221" i="29"/>
  <c r="E220" i="29"/>
  <c r="E219" i="29"/>
  <c r="E218" i="29"/>
  <c r="E217" i="29"/>
  <c r="E216" i="29"/>
  <c r="E215" i="29"/>
  <c r="E214" i="29"/>
  <c r="E213" i="29"/>
  <c r="E212" i="29"/>
  <c r="E211" i="29"/>
  <c r="E210" i="29"/>
  <c r="E209" i="29"/>
  <c r="E208" i="29"/>
  <c r="E207" i="29"/>
  <c r="E206" i="29"/>
  <c r="E205" i="29"/>
  <c r="E204" i="29"/>
  <c r="E203" i="29"/>
  <c r="E202" i="29"/>
  <c r="E201" i="29"/>
  <c r="E200" i="29"/>
  <c r="E199" i="29"/>
  <c r="E198" i="29"/>
  <c r="E197" i="29"/>
  <c r="E196" i="29"/>
  <c r="E195" i="29"/>
  <c r="E194" i="29"/>
  <c r="E193" i="29"/>
  <c r="E192" i="29"/>
  <c r="E191" i="29"/>
  <c r="E190" i="29"/>
  <c r="E189" i="29"/>
  <c r="E188" i="29"/>
  <c r="E187" i="29"/>
  <c r="E186" i="29"/>
  <c r="E185" i="29"/>
  <c r="E184" i="29"/>
  <c r="E183" i="29"/>
  <c r="E182" i="29"/>
  <c r="E181" i="29"/>
  <c r="E180" i="29"/>
  <c r="E179" i="29"/>
  <c r="E178" i="29"/>
  <c r="E177" i="29"/>
  <c r="E176" i="29"/>
  <c r="E175" i="29"/>
  <c r="E174" i="29"/>
  <c r="E173" i="29"/>
  <c r="E172" i="29"/>
  <c r="E171" i="29"/>
  <c r="E170" i="29"/>
  <c r="E169" i="29"/>
  <c r="E168" i="29"/>
  <c r="E167" i="29"/>
  <c r="E166" i="29"/>
  <c r="E165" i="29"/>
  <c r="E164" i="29"/>
  <c r="E163" i="29"/>
  <c r="E162" i="29"/>
  <c r="E161" i="29"/>
  <c r="E160" i="29"/>
  <c r="E159" i="29"/>
  <c r="E158" i="29"/>
  <c r="E157" i="29"/>
  <c r="E156" i="29"/>
  <c r="E155" i="29"/>
  <c r="E154" i="29"/>
  <c r="E153" i="29"/>
  <c r="E152" i="29"/>
  <c r="E151" i="29"/>
  <c r="E150" i="29"/>
  <c r="E149" i="29"/>
  <c r="E148" i="29"/>
  <c r="E147" i="29"/>
  <c r="E146" i="29"/>
  <c r="E145" i="29"/>
  <c r="E144" i="29"/>
  <c r="E143" i="29"/>
  <c r="E142" i="29"/>
  <c r="E141" i="29"/>
  <c r="E140" i="29"/>
  <c r="E139" i="29"/>
  <c r="E138" i="29"/>
  <c r="E137" i="29"/>
  <c r="E136" i="29"/>
  <c r="E135" i="29"/>
  <c r="E134" i="29"/>
  <c r="E133" i="29"/>
  <c r="E132" i="29"/>
  <c r="E131" i="29"/>
  <c r="E129" i="29"/>
  <c r="E128" i="29"/>
  <c r="E127" i="29"/>
  <c r="E126" i="29"/>
  <c r="E125" i="29"/>
  <c r="E124" i="29"/>
  <c r="E123" i="29"/>
  <c r="E122" i="29"/>
  <c r="E121" i="29"/>
  <c r="E120" i="29"/>
  <c r="E119" i="29"/>
  <c r="E118" i="29"/>
  <c r="E117" i="29"/>
  <c r="E116" i="29"/>
  <c r="E115" i="29"/>
  <c r="E114" i="29"/>
  <c r="E113" i="29"/>
  <c r="E112" i="29"/>
  <c r="E111" i="29"/>
  <c r="E110" i="29"/>
  <c r="E109" i="29"/>
  <c r="E108" i="29"/>
  <c r="E107" i="29"/>
  <c r="E106" i="29"/>
  <c r="E105" i="29"/>
  <c r="E104" i="29"/>
  <c r="E103" i="29"/>
  <c r="E102" i="29"/>
  <c r="E101" i="29"/>
  <c r="E100" i="29"/>
  <c r="E99" i="29"/>
  <c r="E98" i="29"/>
  <c r="E97" i="29"/>
  <c r="E96" i="29"/>
  <c r="E95" i="29"/>
  <c r="E94" i="29"/>
  <c r="E93" i="29"/>
  <c r="E92" i="29"/>
  <c r="E91" i="29"/>
  <c r="E90" i="29"/>
  <c r="E89" i="29"/>
  <c r="E88" i="29"/>
  <c r="E87" i="29"/>
  <c r="E86" i="29"/>
  <c r="E85" i="29"/>
  <c r="E84" i="29"/>
  <c r="E83" i="29"/>
  <c r="E82" i="29"/>
  <c r="E81" i="29"/>
  <c r="E80" i="29"/>
  <c r="E79" i="29"/>
  <c r="E78" i="29"/>
  <c r="E77" i="29"/>
  <c r="E76" i="29"/>
  <c r="E75" i="29"/>
  <c r="E74" i="29"/>
  <c r="E73" i="29"/>
  <c r="E72" i="29"/>
  <c r="E71" i="29"/>
  <c r="E70" i="29"/>
  <c r="E69" i="29"/>
  <c r="E68" i="29"/>
  <c r="E67" i="29"/>
  <c r="E66" i="29"/>
  <c r="E65" i="29"/>
  <c r="E64" i="29"/>
  <c r="E63" i="29"/>
  <c r="E62" i="29"/>
  <c r="E61" i="29"/>
  <c r="E60" i="29"/>
  <c r="E59" i="29"/>
  <c r="E58" i="29"/>
  <c r="E57" i="29"/>
  <c r="E56" i="29"/>
  <c r="E55" i="29"/>
  <c r="E54" i="29"/>
  <c r="E53" i="29"/>
  <c r="E52" i="29"/>
  <c r="E51" i="29"/>
  <c r="E50" i="29"/>
  <c r="E49" i="29"/>
  <c r="E48" i="29"/>
  <c r="E47" i="29"/>
  <c r="E46" i="29"/>
  <c r="E45" i="29"/>
  <c r="E44" i="29"/>
  <c r="E43" i="29"/>
  <c r="E42" i="29"/>
  <c r="E41" i="29"/>
  <c r="E40" i="29"/>
  <c r="E39" i="29"/>
  <c r="E38" i="29"/>
  <c r="E37" i="29"/>
  <c r="E36" i="29"/>
  <c r="E35" i="29"/>
  <c r="E34" i="29"/>
  <c r="E33" i="29"/>
  <c r="E32" i="29"/>
  <c r="E31" i="29"/>
  <c r="E30" i="29"/>
  <c r="E29" i="29"/>
  <c r="E28" i="29"/>
  <c r="E27" i="29"/>
  <c r="E26" i="29"/>
  <c r="E25" i="29"/>
  <c r="E24" i="29"/>
  <c r="E23" i="29"/>
  <c r="E22" i="29"/>
  <c r="E21" i="29"/>
  <c r="E20" i="29"/>
  <c r="E19" i="29"/>
  <c r="E18" i="29"/>
  <c r="E17" i="29"/>
  <c r="E16" i="29"/>
  <c r="E15" i="29"/>
  <c r="E14" i="29"/>
  <c r="E13" i="29"/>
  <c r="E12" i="29"/>
  <c r="E11" i="29"/>
  <c r="E10" i="29"/>
  <c r="E9" i="29"/>
  <c r="E8" i="29"/>
  <c r="E7" i="29"/>
  <c r="E6" i="29"/>
  <c r="E5" i="29"/>
  <c r="E4" i="29"/>
  <c r="E3" i="29"/>
  <c r="E2" i="29"/>
  <c r="E787" i="29"/>
  <c r="E788" i="29"/>
  <c r="E789" i="29"/>
  <c r="E790" i="29"/>
  <c r="E791" i="29"/>
  <c r="E792" i="29"/>
  <c r="E793" i="29"/>
  <c r="E794" i="29"/>
  <c r="E795" i="29"/>
  <c r="E796" i="29"/>
  <c r="E797" i="29"/>
  <c r="E798" i="29"/>
  <c r="E799" i="29"/>
  <c r="E800" i="29"/>
  <c r="E801" i="29"/>
  <c r="E802" i="29"/>
  <c r="E803" i="29"/>
  <c r="E804" i="29"/>
  <c r="E805" i="29"/>
  <c r="E806" i="29"/>
  <c r="E807" i="29"/>
  <c r="E808" i="29"/>
  <c r="E809" i="29"/>
  <c r="E810" i="29"/>
  <c r="E811" i="29"/>
  <c r="E812" i="29"/>
  <c r="E813" i="29"/>
  <c r="E814" i="29"/>
  <c r="E815" i="29"/>
  <c r="E816" i="29"/>
  <c r="E817" i="29"/>
  <c r="E818" i="29"/>
  <c r="E819" i="29"/>
  <c r="E820" i="29"/>
  <c r="E821" i="29"/>
  <c r="E822" i="29"/>
  <c r="E823" i="29"/>
  <c r="E824" i="29"/>
  <c r="E825" i="29"/>
  <c r="E826" i="29"/>
  <c r="E827" i="29"/>
  <c r="E828" i="29"/>
  <c r="E829" i="29"/>
  <c r="E830" i="29"/>
  <c r="E831" i="29"/>
  <c r="E832" i="29"/>
  <c r="E833" i="29"/>
  <c r="E834" i="29"/>
  <c r="E835" i="29"/>
  <c r="E836" i="29"/>
  <c r="E837" i="29"/>
  <c r="E838" i="29"/>
  <c r="E839" i="29"/>
  <c r="E840" i="29"/>
  <c r="E841" i="29"/>
  <c r="E842" i="29"/>
  <c r="E843" i="29"/>
  <c r="E844" i="29"/>
  <c r="E845" i="29"/>
  <c r="E846" i="29"/>
  <c r="E847" i="29"/>
  <c r="E848" i="29"/>
  <c r="E849" i="29"/>
  <c r="E850" i="29"/>
  <c r="E851" i="29"/>
  <c r="E852" i="29"/>
  <c r="E853" i="29"/>
  <c r="E854" i="29"/>
  <c r="E855" i="29"/>
  <c r="E856" i="29"/>
  <c r="E857" i="29"/>
  <c r="E858" i="29"/>
  <c r="E859" i="29"/>
  <c r="E860" i="29"/>
  <c r="E861" i="29"/>
  <c r="E862" i="29"/>
  <c r="E863" i="29"/>
  <c r="E864" i="29"/>
  <c r="E865" i="29"/>
  <c r="E866" i="29"/>
  <c r="E867" i="29"/>
  <c r="E868" i="29"/>
  <c r="E869" i="29"/>
  <c r="E870" i="29"/>
  <c r="E871" i="29"/>
  <c r="E872" i="29"/>
  <c r="E873" i="29"/>
  <c r="E874" i="29"/>
  <c r="E875" i="29"/>
  <c r="E876" i="29"/>
  <c r="E877" i="29"/>
  <c r="E878" i="29"/>
  <c r="E879" i="29"/>
  <c r="E880" i="29"/>
  <c r="E881" i="29"/>
  <c r="E882" i="29"/>
  <c r="E883" i="29"/>
  <c r="E884" i="29"/>
  <c r="E885" i="29"/>
  <c r="E886" i="29"/>
  <c r="E887" i="29"/>
  <c r="E888" i="29"/>
  <c r="E889" i="29"/>
  <c r="E890" i="29"/>
  <c r="E891" i="29"/>
  <c r="E892" i="29"/>
  <c r="E893" i="29"/>
  <c r="E894" i="29"/>
  <c r="E895" i="29"/>
  <c r="E896" i="29"/>
  <c r="E897" i="29"/>
  <c r="E898" i="29"/>
  <c r="E899" i="29"/>
  <c r="E900" i="29"/>
  <c r="E901" i="29"/>
  <c r="E902" i="29"/>
  <c r="E903" i="29"/>
  <c r="E904" i="29"/>
  <c r="E905" i="29"/>
  <c r="E906" i="29"/>
  <c r="E907" i="29"/>
  <c r="E908" i="29"/>
  <c r="E909" i="29"/>
  <c r="E910" i="29"/>
  <c r="E911" i="29"/>
  <c r="E912" i="29"/>
  <c r="E913" i="29"/>
  <c r="E914" i="29"/>
  <c r="E915" i="29"/>
  <c r="E916" i="29"/>
  <c r="E917" i="29"/>
  <c r="E918" i="29"/>
  <c r="E919" i="29"/>
  <c r="E920" i="29"/>
  <c r="E921" i="29"/>
  <c r="E922" i="29"/>
  <c r="E923" i="29"/>
  <c r="E924" i="29"/>
  <c r="E925" i="29"/>
  <c r="E926" i="29"/>
  <c r="E927" i="29"/>
  <c r="E928" i="29"/>
  <c r="E929" i="29"/>
  <c r="E930" i="29"/>
  <c r="E931" i="29"/>
  <c r="E932" i="29"/>
  <c r="E933" i="29"/>
  <c r="E934" i="29"/>
  <c r="E935" i="29"/>
  <c r="E936" i="29"/>
  <c r="E937" i="29"/>
  <c r="E938" i="29"/>
  <c r="E939" i="29"/>
  <c r="E940" i="29"/>
  <c r="E941" i="29"/>
  <c r="E942" i="29"/>
  <c r="E943" i="29"/>
  <c r="E944" i="29"/>
  <c r="E945" i="29"/>
  <c r="E946" i="29"/>
  <c r="E947" i="29"/>
  <c r="E948" i="29"/>
  <c r="E949" i="29"/>
  <c r="E950" i="29"/>
  <c r="E951" i="29"/>
  <c r="E952" i="29"/>
  <c r="E953" i="29"/>
  <c r="E954" i="29"/>
  <c r="E955" i="29"/>
  <c r="E956" i="29"/>
  <c r="E957" i="29"/>
  <c r="E958" i="29"/>
  <c r="E959" i="29"/>
  <c r="E960" i="29"/>
  <c r="E961" i="29"/>
  <c r="E962" i="29"/>
  <c r="E963" i="29"/>
  <c r="E964" i="29"/>
  <c r="E965" i="29"/>
  <c r="E966" i="29"/>
  <c r="E967" i="29"/>
  <c r="E968" i="29"/>
  <c r="E969" i="29"/>
  <c r="E970" i="29"/>
  <c r="E971" i="29"/>
  <c r="E972" i="29"/>
  <c r="E973" i="29"/>
  <c r="E974" i="29"/>
  <c r="E975" i="29"/>
  <c r="E976" i="29"/>
  <c r="E977" i="29"/>
  <c r="E978" i="29"/>
  <c r="E979" i="29"/>
  <c r="E980" i="29"/>
  <c r="E981" i="29"/>
  <c r="E982" i="29"/>
  <c r="E983" i="29"/>
  <c r="E984" i="29"/>
  <c r="E985" i="29"/>
  <c r="E986" i="29"/>
  <c r="E987" i="29"/>
  <c r="E988" i="29"/>
  <c r="E989" i="29"/>
  <c r="E990" i="29"/>
  <c r="E991" i="29"/>
  <c r="E992" i="29"/>
  <c r="E993" i="29"/>
  <c r="E994" i="29"/>
  <c r="E995" i="29"/>
  <c r="E996" i="29"/>
  <c r="E997" i="29"/>
  <c r="E521" i="28"/>
  <c r="E609" i="28"/>
  <c r="E3" i="28"/>
  <c r="E4" i="28"/>
  <c r="E5" i="28"/>
  <c r="E6" i="28"/>
  <c r="E7" i="28"/>
  <c r="E8" i="28"/>
  <c r="E9" i="28"/>
  <c r="E10" i="28"/>
  <c r="E11" i="28"/>
  <c r="E12" i="28"/>
  <c r="E13" i="28"/>
  <c r="E14" i="28"/>
  <c r="E15" i="28"/>
  <c r="E16" i="28"/>
  <c r="E17" i="28"/>
  <c r="E18" i="28"/>
  <c r="E19" i="28"/>
  <c r="E20" i="28"/>
  <c r="E21" i="28"/>
  <c r="E22" i="28"/>
  <c r="E23" i="28"/>
  <c r="E24" i="28"/>
  <c r="E25" i="28"/>
  <c r="E26" i="28"/>
  <c r="E27" i="28"/>
  <c r="E28" i="28"/>
  <c r="E29" i="28"/>
  <c r="E30" i="28"/>
  <c r="E31" i="28"/>
  <c r="E32" i="28"/>
  <c r="E33" i="28"/>
  <c r="E34" i="28"/>
  <c r="E35" i="28"/>
  <c r="E36" i="28"/>
  <c r="E37" i="28"/>
  <c r="E38" i="28"/>
  <c r="E39" i="28"/>
  <c r="E40" i="28"/>
  <c r="E41" i="28"/>
  <c r="E42" i="28"/>
  <c r="E43" i="28"/>
  <c r="E44" i="28"/>
  <c r="E45" i="28"/>
  <c r="E46" i="28"/>
  <c r="E47" i="28"/>
  <c r="E48" i="28"/>
  <c r="E49" i="28"/>
  <c r="E50" i="28"/>
  <c r="E51" i="28"/>
  <c r="E52" i="28"/>
  <c r="E53" i="28"/>
  <c r="E54" i="28"/>
  <c r="E55" i="28"/>
  <c r="E56" i="28"/>
  <c r="E57" i="28"/>
  <c r="E58" i="28"/>
  <c r="E59" i="28"/>
  <c r="E60" i="28"/>
  <c r="E61" i="28"/>
  <c r="E62" i="28"/>
  <c r="E63" i="28"/>
  <c r="E64" i="28"/>
  <c r="E65" i="28"/>
  <c r="E66" i="28"/>
  <c r="E67" i="28"/>
  <c r="E68" i="28"/>
  <c r="E69" i="28"/>
  <c r="E70" i="28"/>
  <c r="E71" i="28"/>
  <c r="E72" i="28"/>
  <c r="E73" i="28"/>
  <c r="E74" i="28"/>
  <c r="E75" i="28"/>
  <c r="E76" i="28"/>
  <c r="E77" i="28"/>
  <c r="E78" i="28"/>
  <c r="E79" i="28"/>
  <c r="E80" i="28"/>
  <c r="E81" i="28"/>
  <c r="E82" i="28"/>
  <c r="E83" i="28"/>
  <c r="E84" i="28"/>
  <c r="E85" i="28"/>
  <c r="E86" i="28"/>
  <c r="E87" i="28"/>
  <c r="E88" i="28"/>
  <c r="E89" i="28"/>
  <c r="E90" i="28"/>
  <c r="E91" i="28"/>
  <c r="E92" i="28"/>
  <c r="E93" i="28"/>
  <c r="E94" i="28"/>
  <c r="E95" i="28"/>
  <c r="E96" i="28"/>
  <c r="E97" i="28"/>
  <c r="E98" i="28"/>
  <c r="E99" i="28"/>
  <c r="E100" i="28"/>
  <c r="E101" i="28"/>
  <c r="E102" i="28"/>
  <c r="E103" i="28"/>
  <c r="E104" i="28"/>
  <c r="E105" i="28"/>
  <c r="E106" i="28"/>
  <c r="E107" i="28"/>
  <c r="E108" i="28"/>
  <c r="E109" i="28"/>
  <c r="E110" i="28"/>
  <c r="E111" i="28"/>
  <c r="E112" i="28"/>
  <c r="E113" i="28"/>
  <c r="E114" i="28"/>
  <c r="E115" i="28"/>
  <c r="E116" i="28"/>
  <c r="E117" i="28"/>
  <c r="E118" i="28"/>
  <c r="E119" i="28"/>
  <c r="E120" i="28"/>
  <c r="E121" i="28"/>
  <c r="E122" i="28"/>
  <c r="E123" i="28"/>
  <c r="E124" i="28"/>
  <c r="E125" i="28"/>
  <c r="E126" i="28"/>
  <c r="E127" i="28"/>
  <c r="E128" i="28"/>
  <c r="E129" i="28"/>
  <c r="E131" i="28"/>
  <c r="E132" i="28"/>
  <c r="E133" i="28"/>
  <c r="E134" i="28"/>
  <c r="E135" i="28"/>
  <c r="E136" i="28"/>
  <c r="E137" i="28"/>
  <c r="E138" i="28"/>
  <c r="E139" i="28"/>
  <c r="E140" i="28"/>
  <c r="E141" i="28"/>
  <c r="E142" i="28"/>
  <c r="E143" i="28"/>
  <c r="E144" i="28"/>
  <c r="E145" i="28"/>
  <c r="E146" i="28"/>
  <c r="E147" i="28"/>
  <c r="E148" i="28"/>
  <c r="E149" i="28"/>
  <c r="E150" i="28"/>
  <c r="E151" i="28"/>
  <c r="E152" i="28"/>
  <c r="E153" i="28"/>
  <c r="E154" i="28"/>
  <c r="E155" i="28"/>
  <c r="E156" i="28"/>
  <c r="E157" i="28"/>
  <c r="E158" i="28"/>
  <c r="E159" i="28"/>
  <c r="E160" i="28"/>
  <c r="E161" i="28"/>
  <c r="E162" i="28"/>
  <c r="E163" i="28"/>
  <c r="E164" i="28"/>
  <c r="E165" i="28"/>
  <c r="E166" i="28"/>
  <c r="E167" i="28"/>
  <c r="E168" i="28"/>
  <c r="E169" i="28"/>
  <c r="E170" i="28"/>
  <c r="E171" i="28"/>
  <c r="E172" i="28"/>
  <c r="E173" i="28"/>
  <c r="E174" i="28"/>
  <c r="E175" i="28"/>
  <c r="E176" i="28"/>
  <c r="E177" i="28"/>
  <c r="E178" i="28"/>
  <c r="E179" i="28"/>
  <c r="E180" i="28"/>
  <c r="E181" i="28"/>
  <c r="E182" i="28"/>
  <c r="E183" i="28"/>
  <c r="E184" i="28"/>
  <c r="E185" i="28"/>
  <c r="E186" i="28"/>
  <c r="E187" i="28"/>
  <c r="E188" i="28"/>
  <c r="E189" i="28"/>
  <c r="E190" i="28"/>
  <c r="E191" i="28"/>
  <c r="E192" i="28"/>
  <c r="E193" i="28"/>
  <c r="E194" i="28"/>
  <c r="E195" i="28"/>
  <c r="E196" i="28"/>
  <c r="E197" i="28"/>
  <c r="E198" i="28"/>
  <c r="E199" i="28"/>
  <c r="E200" i="28"/>
  <c r="E201" i="28"/>
  <c r="E202" i="28"/>
  <c r="E203" i="28"/>
  <c r="E204" i="28"/>
  <c r="E205" i="28"/>
  <c r="E206" i="28"/>
  <c r="E207" i="28"/>
  <c r="E208" i="28"/>
  <c r="E209" i="28"/>
  <c r="E210" i="28"/>
  <c r="E211" i="28"/>
  <c r="E212" i="28"/>
  <c r="E213" i="28"/>
  <c r="E214" i="28"/>
  <c r="E215" i="28"/>
  <c r="E216" i="28"/>
  <c r="E217" i="28"/>
  <c r="E218" i="28"/>
  <c r="E219" i="28"/>
  <c r="E220" i="28"/>
  <c r="E221" i="28"/>
  <c r="E222" i="28"/>
  <c r="E223" i="28"/>
  <c r="E224" i="28"/>
  <c r="E225" i="28"/>
  <c r="E226" i="28"/>
  <c r="E227" i="28"/>
  <c r="E228" i="28"/>
  <c r="E229" i="28"/>
  <c r="E230" i="28"/>
  <c r="E231" i="28"/>
  <c r="E232" i="28"/>
  <c r="E233" i="28"/>
  <c r="E234" i="28"/>
  <c r="E235" i="28"/>
  <c r="E236" i="28"/>
  <c r="E237" i="28"/>
  <c r="E238" i="28"/>
  <c r="E239" i="28"/>
  <c r="E240" i="28"/>
  <c r="E241" i="28"/>
  <c r="E242" i="28"/>
  <c r="E243" i="28"/>
  <c r="E244" i="28"/>
  <c r="E245" i="28"/>
  <c r="E246" i="28"/>
  <c r="E247" i="28"/>
  <c r="E248" i="28"/>
  <c r="E249" i="28"/>
  <c r="E250" i="28"/>
  <c r="E251" i="28"/>
  <c r="E252" i="28"/>
  <c r="E253" i="28"/>
  <c r="E254" i="28"/>
  <c r="E255" i="28"/>
  <c r="E256" i="28"/>
  <c r="E257" i="28"/>
  <c r="E258" i="28"/>
  <c r="E259" i="28"/>
  <c r="E260" i="28"/>
  <c r="E261" i="28"/>
  <c r="E262" i="28"/>
  <c r="E263" i="28"/>
  <c r="E264" i="28"/>
  <c r="E265" i="28"/>
  <c r="E266" i="28"/>
  <c r="E267" i="28"/>
  <c r="E268" i="28"/>
  <c r="E269" i="28"/>
  <c r="E270" i="28"/>
  <c r="E271" i="28"/>
  <c r="E272" i="28"/>
  <c r="E273" i="28"/>
  <c r="E274" i="28"/>
  <c r="E275" i="28"/>
  <c r="E276" i="28"/>
  <c r="E277" i="28"/>
  <c r="E278" i="28"/>
  <c r="E279" i="28"/>
  <c r="E280" i="28"/>
  <c r="E281" i="28"/>
  <c r="E282" i="28"/>
  <c r="E283" i="28"/>
  <c r="E284" i="28"/>
  <c r="E285" i="28"/>
  <c r="E286" i="28"/>
  <c r="E287" i="28"/>
  <c r="E288" i="28"/>
  <c r="E289" i="28"/>
  <c r="E290" i="28"/>
  <c r="E291" i="28"/>
  <c r="E292" i="28"/>
  <c r="E293" i="28"/>
  <c r="E294" i="28"/>
  <c r="E295" i="28"/>
  <c r="E296" i="28"/>
  <c r="E297" i="28"/>
  <c r="E298" i="28"/>
  <c r="E299" i="28"/>
  <c r="E300" i="28"/>
  <c r="E301" i="28"/>
  <c r="E302" i="28"/>
  <c r="E303" i="28"/>
  <c r="E304" i="28"/>
  <c r="E305" i="28"/>
  <c r="E306" i="28"/>
  <c r="E307" i="28"/>
  <c r="E308" i="28"/>
  <c r="E309" i="28"/>
  <c r="E310" i="28"/>
  <c r="E311" i="28"/>
  <c r="E312" i="28"/>
  <c r="E313" i="28"/>
  <c r="E314" i="28"/>
  <c r="E315" i="28"/>
  <c r="E316" i="28"/>
  <c r="E317" i="28"/>
  <c r="E318" i="28"/>
  <c r="E319" i="28"/>
  <c r="E320" i="28"/>
  <c r="E321" i="28"/>
  <c r="E322" i="28"/>
  <c r="E323" i="28"/>
  <c r="E324" i="28"/>
  <c r="E325" i="28"/>
  <c r="E326" i="28"/>
  <c r="E327" i="28"/>
  <c r="E328" i="28"/>
  <c r="E329" i="28"/>
  <c r="E330" i="28"/>
  <c r="E331" i="28"/>
  <c r="E332" i="28"/>
  <c r="E333" i="28"/>
  <c r="E334" i="28"/>
  <c r="E335" i="28"/>
  <c r="E336" i="28"/>
  <c r="E337" i="28"/>
  <c r="E338" i="28"/>
  <c r="E339" i="28"/>
  <c r="E340" i="28"/>
  <c r="E341" i="28"/>
  <c r="E342" i="28"/>
  <c r="E343" i="28"/>
  <c r="E344" i="28"/>
  <c r="E345" i="28"/>
  <c r="E346" i="28"/>
  <c r="E347" i="28"/>
  <c r="E348" i="28"/>
  <c r="E349" i="28"/>
  <c r="E350" i="28"/>
  <c r="E351" i="28"/>
  <c r="E352" i="28"/>
  <c r="E353" i="28"/>
  <c r="E354" i="28"/>
  <c r="E355" i="28"/>
  <c r="E356" i="28"/>
  <c r="E357" i="28"/>
  <c r="E358" i="28"/>
  <c r="E359" i="28"/>
  <c r="E360" i="28"/>
  <c r="E361" i="28"/>
  <c r="E362" i="28"/>
  <c r="E363" i="28"/>
  <c r="E364" i="28"/>
  <c r="E365" i="28"/>
  <c r="E366" i="28"/>
  <c r="E367" i="28"/>
  <c r="E368" i="28"/>
  <c r="E369" i="28"/>
  <c r="E370" i="28"/>
  <c r="E371" i="28"/>
  <c r="E372" i="28"/>
  <c r="E373" i="28"/>
  <c r="E374" i="28"/>
  <c r="E375" i="28"/>
  <c r="E376" i="28"/>
  <c r="E377" i="28"/>
  <c r="E378" i="28"/>
  <c r="E379" i="28"/>
  <c r="E380" i="28"/>
  <c r="E381" i="28"/>
  <c r="E382" i="28"/>
  <c r="E383" i="28"/>
  <c r="E384" i="28"/>
  <c r="E385" i="28"/>
  <c r="E386" i="28"/>
  <c r="E387" i="28"/>
  <c r="E388" i="28"/>
  <c r="E389" i="28"/>
  <c r="E390" i="28"/>
  <c r="E391" i="28"/>
  <c r="E392" i="28"/>
  <c r="E393" i="28"/>
  <c r="E394" i="28"/>
  <c r="E395" i="28"/>
  <c r="E396" i="28"/>
  <c r="E397" i="28"/>
  <c r="E398" i="28"/>
  <c r="E399" i="28"/>
  <c r="E400" i="28"/>
  <c r="E401" i="28"/>
  <c r="E402" i="28"/>
  <c r="E403" i="28"/>
  <c r="E404" i="28"/>
  <c r="E405" i="28"/>
  <c r="E406" i="28"/>
  <c r="E407" i="28"/>
  <c r="E408" i="28"/>
  <c r="E409" i="28"/>
  <c r="E410" i="28"/>
  <c r="E411" i="28"/>
  <c r="E412" i="28"/>
  <c r="E413" i="28"/>
  <c r="E414" i="28"/>
  <c r="E415" i="28"/>
  <c r="E416" i="28"/>
  <c r="E417" i="28"/>
  <c r="E418" i="28"/>
  <c r="E419" i="28"/>
  <c r="E420" i="28"/>
  <c r="E421" i="28"/>
  <c r="E422" i="28"/>
  <c r="E423" i="28"/>
  <c r="E424" i="28"/>
  <c r="E425" i="28"/>
  <c r="E426" i="28"/>
  <c r="E427" i="28"/>
  <c r="E428" i="28"/>
  <c r="E429" i="28"/>
  <c r="E430" i="28"/>
  <c r="E431" i="28"/>
  <c r="E432" i="28"/>
  <c r="E433" i="28"/>
  <c r="E434" i="28"/>
  <c r="E435" i="28"/>
  <c r="E436" i="28"/>
  <c r="E437" i="28"/>
  <c r="E438" i="28"/>
  <c r="E439" i="28"/>
  <c r="E440" i="28"/>
  <c r="E441" i="28"/>
  <c r="E442" i="28"/>
  <c r="E443" i="28"/>
  <c r="E444" i="28"/>
  <c r="E445" i="28"/>
  <c r="E446" i="28"/>
  <c r="E447" i="28"/>
  <c r="E448" i="28"/>
  <c r="E449" i="28"/>
  <c r="E450" i="28"/>
  <c r="E451" i="28"/>
  <c r="E452" i="28"/>
  <c r="E453" i="28"/>
  <c r="E454" i="28"/>
  <c r="E455" i="28"/>
  <c r="E456" i="28"/>
  <c r="E457" i="28"/>
  <c r="E458" i="28"/>
  <c r="E459" i="28"/>
  <c r="E460" i="28"/>
  <c r="E461" i="28"/>
  <c r="E462" i="28"/>
  <c r="E463" i="28"/>
  <c r="E464" i="28"/>
  <c r="E465" i="28"/>
  <c r="E466" i="28"/>
  <c r="E467" i="28"/>
  <c r="E468" i="28"/>
  <c r="E469" i="28"/>
  <c r="E470" i="28"/>
  <c r="E471" i="28"/>
  <c r="E472" i="28"/>
  <c r="E473" i="28"/>
  <c r="E474" i="28"/>
  <c r="E475" i="28"/>
  <c r="E476" i="28"/>
  <c r="E477" i="28"/>
  <c r="E478" i="28"/>
  <c r="E479" i="28"/>
  <c r="E480" i="28"/>
  <c r="E481" i="28"/>
  <c r="E482" i="28"/>
  <c r="E483" i="28"/>
  <c r="E484" i="28"/>
  <c r="E485" i="28"/>
  <c r="E486" i="28"/>
  <c r="E487" i="28"/>
  <c r="E488" i="28"/>
  <c r="E489" i="28"/>
  <c r="E490" i="28"/>
  <c r="E491" i="28"/>
  <c r="E492" i="28"/>
  <c r="E493" i="28"/>
  <c r="E494" i="28"/>
  <c r="E495" i="28"/>
  <c r="E496" i="28"/>
  <c r="E497" i="28"/>
  <c r="E498" i="28"/>
  <c r="E499" i="28"/>
  <c r="E500" i="28"/>
  <c r="E501" i="28"/>
  <c r="E502" i="28"/>
  <c r="E503" i="28"/>
  <c r="E504" i="28"/>
  <c r="E505" i="28"/>
  <c r="E506" i="28"/>
  <c r="E507" i="28"/>
  <c r="E508" i="28"/>
  <c r="E509" i="28"/>
  <c r="E510" i="28"/>
  <c r="E511" i="28"/>
  <c r="E512" i="28"/>
  <c r="E513" i="28"/>
  <c r="E514" i="28"/>
  <c r="E515" i="28"/>
  <c r="E516" i="28"/>
  <c r="E517" i="28"/>
  <c r="E518" i="28"/>
  <c r="E519" i="28"/>
  <c r="E520" i="28"/>
  <c r="E522" i="28"/>
  <c r="E523" i="28"/>
  <c r="E524" i="28"/>
  <c r="E525" i="28"/>
  <c r="E526" i="28"/>
  <c r="E527" i="28"/>
  <c r="E528" i="28"/>
  <c r="E529" i="28"/>
  <c r="E530" i="28"/>
  <c r="E531" i="28"/>
  <c r="E532" i="28"/>
  <c r="E533" i="28"/>
  <c r="E534" i="28"/>
  <c r="E535" i="28"/>
  <c r="E536" i="28"/>
  <c r="E537" i="28"/>
  <c r="E538" i="28"/>
  <c r="E539" i="28"/>
  <c r="E540" i="28"/>
  <c r="E541" i="28"/>
  <c r="E542" i="28"/>
  <c r="E543" i="28"/>
  <c r="E544" i="28"/>
  <c r="E545" i="28"/>
  <c r="E546" i="28"/>
  <c r="E547" i="28"/>
  <c r="E548" i="28"/>
  <c r="E549" i="28"/>
  <c r="E550" i="28"/>
  <c r="E551" i="28"/>
  <c r="E552" i="28"/>
  <c r="E553" i="28"/>
  <c r="E554" i="28"/>
  <c r="E555" i="28"/>
  <c r="E556" i="28"/>
  <c r="E557" i="28"/>
  <c r="E558" i="28"/>
  <c r="E559" i="28"/>
  <c r="E560" i="28"/>
  <c r="E561" i="28"/>
  <c r="E562" i="28"/>
  <c r="E563" i="28"/>
  <c r="E564" i="28"/>
  <c r="E565" i="28"/>
  <c r="E566" i="28"/>
  <c r="E567" i="28"/>
  <c r="E568" i="28"/>
  <c r="E569" i="28"/>
  <c r="E570" i="28"/>
  <c r="E571" i="28"/>
  <c r="E572" i="28"/>
  <c r="E573" i="28"/>
  <c r="E574" i="28"/>
  <c r="E575" i="28"/>
  <c r="E576" i="28"/>
  <c r="E577" i="28"/>
  <c r="E578" i="28"/>
  <c r="E579" i="28"/>
  <c r="E580" i="28"/>
  <c r="E581" i="28"/>
  <c r="E582" i="28"/>
  <c r="E583" i="28"/>
  <c r="E584" i="28"/>
  <c r="E585" i="28"/>
  <c r="E586" i="28"/>
  <c r="E587" i="28"/>
  <c r="E588" i="28"/>
  <c r="E589" i="28"/>
  <c r="E590" i="28"/>
  <c r="E591" i="28"/>
  <c r="E592" i="28"/>
  <c r="E593" i="28"/>
  <c r="E594" i="28"/>
  <c r="E595" i="28"/>
  <c r="E596" i="28"/>
  <c r="E597" i="28"/>
  <c r="E598" i="28"/>
  <c r="E599" i="28"/>
  <c r="E600" i="28"/>
  <c r="E601" i="28"/>
  <c r="E602" i="28"/>
  <c r="E603" i="28"/>
  <c r="E604" i="28"/>
  <c r="E605" i="28"/>
  <c r="E606" i="28"/>
  <c r="E607" i="28"/>
  <c r="E608" i="28"/>
  <c r="E610" i="28"/>
  <c r="E611" i="28"/>
  <c r="E612" i="28"/>
  <c r="E613" i="28"/>
  <c r="E614" i="28"/>
  <c r="E615" i="28"/>
  <c r="E616" i="28"/>
  <c r="E617" i="28"/>
  <c r="E618" i="28"/>
  <c r="E619" i="28"/>
  <c r="E620" i="28"/>
  <c r="E621" i="28"/>
  <c r="E622" i="28"/>
  <c r="E623" i="28"/>
  <c r="E624" i="28"/>
  <c r="E625" i="28"/>
  <c r="E626" i="28"/>
  <c r="E627" i="28"/>
  <c r="E628" i="28"/>
  <c r="E629" i="28"/>
  <c r="E630" i="28"/>
  <c r="E631" i="28"/>
  <c r="E632" i="28"/>
  <c r="E633" i="28"/>
  <c r="E634" i="28"/>
  <c r="E635" i="28"/>
  <c r="E636" i="28"/>
  <c r="E637" i="28"/>
  <c r="E638" i="28"/>
  <c r="E639" i="28"/>
  <c r="E640" i="28"/>
  <c r="E641" i="28"/>
  <c r="E642" i="28"/>
  <c r="E643" i="28"/>
  <c r="E644" i="28"/>
  <c r="E645" i="28"/>
  <c r="E646" i="28"/>
  <c r="E647" i="28"/>
  <c r="E648" i="28"/>
  <c r="E649" i="28"/>
  <c r="E650" i="28"/>
  <c r="E651" i="28"/>
  <c r="E652" i="28"/>
  <c r="E653" i="28"/>
  <c r="E654" i="28"/>
  <c r="E655" i="28"/>
  <c r="E656" i="28"/>
  <c r="E657" i="28"/>
  <c r="E658" i="28"/>
  <c r="E659" i="28"/>
  <c r="E660" i="28"/>
  <c r="E661" i="28"/>
  <c r="E662" i="28"/>
  <c r="E663" i="28"/>
  <c r="E664" i="28"/>
  <c r="E665" i="28"/>
  <c r="E666" i="28"/>
  <c r="E667" i="28"/>
  <c r="E668" i="28"/>
  <c r="E669" i="28"/>
  <c r="E670" i="28"/>
  <c r="E671" i="28"/>
  <c r="E672" i="28"/>
  <c r="E673" i="28"/>
  <c r="E674" i="28"/>
  <c r="E675" i="28"/>
  <c r="E676" i="28"/>
  <c r="E677" i="28"/>
  <c r="E678" i="28"/>
  <c r="E679" i="28"/>
  <c r="E680" i="28"/>
  <c r="E681" i="28"/>
  <c r="E682" i="28"/>
  <c r="E683" i="28"/>
  <c r="E684" i="28"/>
  <c r="E685" i="28"/>
  <c r="E686" i="28"/>
  <c r="E687" i="28"/>
  <c r="E688" i="28"/>
  <c r="E689" i="28"/>
  <c r="E690" i="28"/>
  <c r="E691" i="28"/>
  <c r="E692" i="28"/>
  <c r="E693" i="28"/>
  <c r="E694" i="28"/>
  <c r="E695" i="28"/>
  <c r="E696" i="28"/>
  <c r="E697" i="28"/>
  <c r="E698" i="28"/>
  <c r="E699" i="28"/>
  <c r="E700" i="28"/>
  <c r="E701" i="28"/>
  <c r="E702" i="28"/>
  <c r="E703" i="28"/>
  <c r="E704" i="28"/>
  <c r="E705" i="28"/>
  <c r="E706" i="28"/>
  <c r="E707" i="28"/>
  <c r="E708" i="28"/>
  <c r="E709" i="28"/>
  <c r="E710" i="28"/>
  <c r="E711" i="28"/>
  <c r="E712" i="28"/>
  <c r="E713" i="28"/>
  <c r="E714" i="28"/>
  <c r="E715" i="28"/>
  <c r="E716" i="28"/>
  <c r="E717" i="28"/>
  <c r="E718" i="28"/>
  <c r="E719" i="28"/>
  <c r="E720" i="28"/>
  <c r="E721" i="28"/>
  <c r="E722" i="28"/>
  <c r="E723" i="28"/>
  <c r="E724" i="28"/>
  <c r="E725" i="28"/>
  <c r="E726" i="28"/>
  <c r="E727" i="28"/>
  <c r="E728" i="28"/>
  <c r="E729" i="28"/>
  <c r="E730" i="28"/>
  <c r="E731" i="28"/>
  <c r="E732" i="28"/>
  <c r="E733" i="28"/>
  <c r="E734" i="28"/>
  <c r="E735" i="28"/>
  <c r="E736" i="28"/>
  <c r="E737" i="28"/>
  <c r="E738" i="28"/>
  <c r="E739" i="28"/>
  <c r="E740" i="28"/>
  <c r="E741" i="28"/>
  <c r="E742" i="28"/>
  <c r="E743" i="28"/>
  <c r="E744" i="28"/>
  <c r="E745" i="28"/>
  <c r="E746" i="28"/>
  <c r="E747" i="28"/>
  <c r="E748" i="28"/>
  <c r="E749" i="28"/>
  <c r="E750" i="28"/>
  <c r="E751" i="28"/>
  <c r="E752" i="28"/>
  <c r="E753" i="28"/>
  <c r="E754" i="28"/>
  <c r="E755" i="28"/>
  <c r="E756" i="28"/>
  <c r="E757" i="28"/>
  <c r="E758" i="28"/>
  <c r="E759" i="28"/>
  <c r="E760" i="28"/>
  <c r="E761" i="28"/>
  <c r="E762" i="28"/>
  <c r="E763" i="28"/>
  <c r="E764" i="28"/>
  <c r="E765" i="28"/>
  <c r="E766" i="28"/>
  <c r="E767" i="28"/>
  <c r="E768" i="28"/>
  <c r="E769" i="28"/>
  <c r="E770" i="28"/>
  <c r="E771" i="28"/>
  <c r="E772" i="28"/>
  <c r="E773" i="28"/>
  <c r="E774" i="28"/>
  <c r="E775" i="28"/>
  <c r="E776" i="28"/>
  <c r="E777" i="28"/>
  <c r="E778" i="28"/>
  <c r="E779" i="28"/>
  <c r="E780" i="28"/>
  <c r="E781" i="28"/>
  <c r="E782" i="28"/>
  <c r="E783" i="28"/>
  <c r="E784" i="28"/>
  <c r="E785" i="28"/>
  <c r="E786" i="28"/>
  <c r="E2" i="28"/>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3" i="1"/>
  <c r="G2" i="27"/>
  <c r="G2" i="26"/>
  <c r="G2" i="25"/>
  <c r="G2" i="24"/>
  <c r="G2" i="23"/>
  <c r="G2" i="22"/>
  <c r="G2" i="21"/>
  <c r="G2" i="20"/>
  <c r="G2" i="15"/>
  <c r="G2" i="12"/>
  <c r="G2" i="11"/>
  <c r="G2" i="10"/>
  <c r="G2" i="9"/>
  <c r="G2" i="8"/>
  <c r="G2" i="7"/>
  <c r="G2" i="6"/>
  <c r="G2" i="5"/>
  <c r="G2" i="4"/>
  <c r="G2" i="19"/>
  <c r="G2" i="3"/>
  <c r="G2" i="18"/>
  <c r="G1" i="2"/>
  <c r="G2" i="17"/>
  <c r="G2" i="1"/>
  <c r="J81" i="50" l="1"/>
  <c r="M81" i="50" s="1"/>
  <c r="J117" i="50"/>
  <c r="M117" i="50" s="1"/>
  <c r="J256" i="50"/>
  <c r="M256" i="50" s="1"/>
  <c r="J783" i="50"/>
  <c r="M783" i="50" s="1"/>
  <c r="J711" i="50"/>
  <c r="M711" i="50" s="1"/>
  <c r="J747" i="50"/>
  <c r="M747" i="50" s="1"/>
  <c r="J436" i="50"/>
  <c r="M436" i="50" s="1"/>
  <c r="J112" i="50"/>
  <c r="M112" i="50" s="1"/>
  <c r="J566" i="50"/>
  <c r="M566" i="50" s="1"/>
  <c r="J602" i="50"/>
  <c r="M602" i="50" s="1"/>
  <c r="J674" i="50"/>
  <c r="M674" i="50" s="1"/>
  <c r="I3" i="53"/>
  <c r="G154" i="35"/>
  <c r="G160" i="35"/>
  <c r="G162" i="35"/>
  <c r="G164" i="35"/>
  <c r="G155" i="35"/>
  <c r="G166" i="35"/>
  <c r="G156" i="35"/>
  <c r="G158" i="35"/>
  <c r="G159" i="35"/>
  <c r="M58" i="50"/>
  <c r="M64" i="50"/>
  <c r="M203" i="50"/>
  <c r="M227" i="50"/>
  <c r="M395" i="50"/>
  <c r="M425" i="50"/>
  <c r="M461" i="50"/>
  <c r="M485" i="50"/>
  <c r="M497" i="50"/>
  <c r="M515" i="50"/>
  <c r="M527" i="50"/>
  <c r="M617" i="50"/>
  <c r="M713" i="50"/>
  <c r="M779" i="50"/>
  <c r="M5" i="50"/>
  <c r="M53" i="50"/>
  <c r="M77" i="50"/>
  <c r="M113" i="50"/>
  <c r="M180" i="50"/>
  <c r="M204" i="50"/>
  <c r="M276" i="50"/>
  <c r="M306" i="50"/>
  <c r="M324" i="50"/>
  <c r="M348" i="50"/>
  <c r="M582" i="50"/>
  <c r="M600" i="50"/>
  <c r="M618" i="50"/>
  <c r="M636" i="50"/>
  <c r="M708" i="50"/>
  <c r="M726" i="50"/>
  <c r="M762" i="50"/>
  <c r="M6" i="50"/>
  <c r="M12" i="50"/>
  <c r="M18" i="50"/>
  <c r="M30" i="50"/>
  <c r="M42" i="50"/>
  <c r="M54" i="50"/>
  <c r="M60" i="50"/>
  <c r="M90" i="50"/>
  <c r="M96" i="50"/>
  <c r="M102" i="50"/>
  <c r="M120" i="50"/>
  <c r="M133" i="50"/>
  <c r="M139" i="50"/>
  <c r="M151" i="50"/>
  <c r="M163" i="50"/>
  <c r="M169" i="50"/>
  <c r="M175" i="50"/>
  <c r="M193" i="50"/>
  <c r="M199" i="50"/>
  <c r="M211" i="50"/>
  <c r="M217" i="50"/>
  <c r="M223" i="50"/>
  <c r="M235" i="50"/>
  <c r="M241" i="50"/>
  <c r="M247" i="50"/>
  <c r="M259" i="50"/>
  <c r="M265" i="50"/>
  <c r="M289" i="50"/>
  <c r="M307" i="50"/>
  <c r="M343" i="50"/>
  <c r="M355" i="50"/>
  <c r="M373" i="50"/>
  <c r="M391" i="50"/>
  <c r="M403" i="50"/>
  <c r="M409" i="50"/>
  <c r="M421" i="50"/>
  <c r="M427" i="50"/>
  <c r="M439" i="50"/>
  <c r="M445" i="50"/>
  <c r="M463" i="50"/>
  <c r="M481" i="50"/>
  <c r="M487" i="50"/>
  <c r="M499" i="50"/>
  <c r="M511" i="50"/>
  <c r="M523" i="50"/>
  <c r="M541" i="50"/>
  <c r="M547" i="50"/>
  <c r="M565" i="50"/>
  <c r="M583" i="50"/>
  <c r="M589" i="50"/>
  <c r="M601" i="50"/>
  <c r="M607" i="50"/>
  <c r="M613" i="50"/>
  <c r="M619" i="50"/>
  <c r="M631" i="50"/>
  <c r="M649" i="50"/>
  <c r="M667" i="50"/>
  <c r="M673" i="50"/>
  <c r="M691" i="50"/>
  <c r="M709" i="50"/>
  <c r="M715" i="50"/>
  <c r="M727" i="50"/>
  <c r="M733" i="50"/>
  <c r="M739" i="50"/>
  <c r="M781" i="50"/>
  <c r="M40" i="50"/>
  <c r="M118" i="50"/>
  <c r="M137" i="50"/>
  <c r="M149" i="50"/>
  <c r="M167" i="50"/>
  <c r="M179" i="50"/>
  <c r="M191" i="50"/>
  <c r="M209" i="50"/>
  <c r="M221" i="50"/>
  <c r="M233" i="50"/>
  <c r="M263" i="50"/>
  <c r="M311" i="50"/>
  <c r="M365" i="50"/>
  <c r="M389" i="50"/>
  <c r="M437" i="50"/>
  <c r="M635" i="50"/>
  <c r="M653" i="50"/>
  <c r="M671" i="50"/>
  <c r="M17" i="50"/>
  <c r="M59" i="50"/>
  <c r="M336" i="50"/>
  <c r="M390" i="50"/>
  <c r="M546" i="50"/>
  <c r="M564" i="50"/>
  <c r="M648" i="50"/>
  <c r="M696" i="50"/>
  <c r="M744" i="50"/>
  <c r="M13" i="50"/>
  <c r="M31" i="50"/>
  <c r="M37" i="50"/>
  <c r="M43" i="50"/>
  <c r="M49" i="50"/>
  <c r="M55" i="50"/>
  <c r="M61" i="50"/>
  <c r="M79" i="50"/>
  <c r="M91" i="50"/>
  <c r="M103" i="50"/>
  <c r="M109" i="50"/>
  <c r="M121" i="50"/>
  <c r="M134" i="50"/>
  <c r="M140" i="50"/>
  <c r="M158" i="50"/>
  <c r="M164" i="50"/>
  <c r="M170" i="50"/>
  <c r="M176" i="50"/>
  <c r="M194" i="50"/>
  <c r="M218" i="50"/>
  <c r="M236" i="50"/>
  <c r="M242" i="50"/>
  <c r="M248" i="50"/>
  <c r="M272" i="50"/>
  <c r="M278" i="50"/>
  <c r="M284" i="50"/>
  <c r="M290" i="50"/>
  <c r="M296" i="50"/>
  <c r="M314" i="50"/>
  <c r="M320" i="50"/>
  <c r="M332" i="50"/>
  <c r="M344" i="50"/>
  <c r="M362" i="50"/>
  <c r="M368" i="50"/>
  <c r="M374" i="50"/>
  <c r="M380" i="50"/>
  <c r="M392" i="50"/>
  <c r="M410" i="50"/>
  <c r="M422" i="50"/>
  <c r="M434" i="50"/>
  <c r="M440" i="50"/>
  <c r="M446" i="50"/>
  <c r="M452" i="50"/>
  <c r="M464" i="50"/>
  <c r="M470" i="50"/>
  <c r="M494" i="50"/>
  <c r="M500" i="50"/>
  <c r="M512" i="50"/>
  <c r="M542" i="50"/>
  <c r="M548" i="50"/>
  <c r="M560" i="50"/>
  <c r="M578" i="50"/>
  <c r="M584" i="50"/>
  <c r="M614" i="50"/>
  <c r="M620" i="50"/>
  <c r="M626" i="50"/>
  <c r="M728" i="50"/>
  <c r="M758" i="50"/>
  <c r="M764" i="50"/>
  <c r="M770" i="50"/>
  <c r="M782" i="50"/>
  <c r="M52" i="50"/>
  <c r="M94" i="50"/>
  <c r="M106" i="50"/>
  <c r="M131" i="50"/>
  <c r="M155" i="50"/>
  <c r="M257" i="50"/>
  <c r="M299" i="50"/>
  <c r="M323" i="50"/>
  <c r="M467" i="50"/>
  <c r="M545" i="50"/>
  <c r="M563" i="50"/>
  <c r="M695" i="50"/>
  <c r="M737" i="50"/>
  <c r="M755" i="50"/>
  <c r="M156" i="50"/>
  <c r="M216" i="50"/>
  <c r="M414" i="50"/>
  <c r="M486" i="50"/>
  <c r="M510" i="50"/>
  <c r="M630" i="50"/>
  <c r="M654" i="50"/>
  <c r="M666" i="50"/>
  <c r="M714" i="50"/>
  <c r="M8" i="50"/>
  <c r="M14" i="50"/>
  <c r="M20" i="50"/>
  <c r="M26" i="50"/>
  <c r="M32" i="50"/>
  <c r="M38" i="50"/>
  <c r="M56" i="50"/>
  <c r="M74" i="50"/>
  <c r="M80" i="50"/>
  <c r="M98" i="50"/>
  <c r="M104" i="50"/>
  <c r="M110" i="50"/>
  <c r="M116" i="50"/>
  <c r="M122" i="50"/>
  <c r="M153" i="50"/>
  <c r="M165" i="50"/>
  <c r="M177" i="50"/>
  <c r="M183" i="50"/>
  <c r="M189" i="50"/>
  <c r="M195" i="50"/>
  <c r="M207" i="50"/>
  <c r="M225" i="50"/>
  <c r="M231" i="50"/>
  <c r="M237" i="50"/>
  <c r="M243" i="50"/>
  <c r="M261" i="50"/>
  <c r="M267" i="50"/>
  <c r="M273" i="50"/>
  <c r="M297" i="50"/>
  <c r="M303" i="50"/>
  <c r="M327" i="50"/>
  <c r="M357" i="50"/>
  <c r="M387" i="50"/>
  <c r="M405" i="50"/>
  <c r="M411" i="50"/>
  <c r="M423" i="50"/>
  <c r="M429" i="50"/>
  <c r="M435" i="50"/>
  <c r="M447" i="50"/>
  <c r="M459" i="50"/>
  <c r="M477" i="50"/>
  <c r="M495" i="50"/>
  <c r="M501" i="50"/>
  <c r="M513" i="50"/>
  <c r="M525" i="50"/>
  <c r="M531" i="50"/>
  <c r="M561" i="50"/>
  <c r="M567" i="50"/>
  <c r="M579" i="50"/>
  <c r="M585" i="50"/>
  <c r="M615" i="50"/>
  <c r="M621" i="50"/>
  <c r="M627" i="50"/>
  <c r="M633" i="50"/>
  <c r="M639" i="50"/>
  <c r="M651" i="50"/>
  <c r="M675" i="50"/>
  <c r="M693" i="50"/>
  <c r="M705" i="50"/>
  <c r="M753" i="50"/>
  <c r="M759" i="50"/>
  <c r="M777" i="50"/>
  <c r="M4" i="50"/>
  <c r="M16" i="50"/>
  <c r="M46" i="50"/>
  <c r="M143" i="50"/>
  <c r="M275" i="50"/>
  <c r="M359" i="50"/>
  <c r="M377" i="50"/>
  <c r="M449" i="50"/>
  <c r="M491" i="50"/>
  <c r="M611" i="50"/>
  <c r="M665" i="50"/>
  <c r="M761" i="50"/>
  <c r="M41" i="50"/>
  <c r="M65" i="50"/>
  <c r="M83" i="50"/>
  <c r="M119" i="50"/>
  <c r="M125" i="50"/>
  <c r="M150" i="50"/>
  <c r="M162" i="50"/>
  <c r="M210" i="50"/>
  <c r="M222" i="50"/>
  <c r="M258" i="50"/>
  <c r="M270" i="50"/>
  <c r="M366" i="50"/>
  <c r="M384" i="50"/>
  <c r="M426" i="50"/>
  <c r="M438" i="50"/>
  <c r="M450" i="50"/>
  <c r="M516" i="50"/>
  <c r="M528" i="50"/>
  <c r="M606" i="50"/>
  <c r="M738" i="50"/>
  <c r="M786" i="50"/>
  <c r="M3" i="50"/>
  <c r="M15" i="50"/>
  <c r="M27" i="50"/>
  <c r="M33" i="50"/>
  <c r="M39" i="50"/>
  <c r="M51" i="50"/>
  <c r="M57" i="50"/>
  <c r="M63" i="50"/>
  <c r="M69" i="50"/>
  <c r="M75" i="50"/>
  <c r="M93" i="50"/>
  <c r="M123" i="50"/>
  <c r="M172" i="50"/>
  <c r="M178" i="50"/>
  <c r="M190" i="50"/>
  <c r="M208" i="50"/>
  <c r="M220" i="50"/>
  <c r="M232" i="50"/>
  <c r="M238" i="50"/>
  <c r="M244" i="50"/>
  <c r="M250" i="50"/>
  <c r="M274" i="50"/>
  <c r="M286" i="50"/>
  <c r="M304" i="50"/>
  <c r="M316" i="50"/>
  <c r="M334" i="50"/>
  <c r="M340" i="50"/>
  <c r="M376" i="50"/>
  <c r="M406" i="50"/>
  <c r="M442" i="50"/>
  <c r="M454" i="50"/>
  <c r="M460" i="50"/>
  <c r="M478" i="50"/>
  <c r="M490" i="50"/>
  <c r="M496" i="50"/>
  <c r="M502" i="50"/>
  <c r="M508" i="50"/>
  <c r="M514" i="50"/>
  <c r="M526" i="50"/>
  <c r="M538" i="50"/>
  <c r="M544" i="50"/>
  <c r="M550" i="50"/>
  <c r="M568" i="50"/>
  <c r="M580" i="50"/>
  <c r="M586" i="50"/>
  <c r="M598" i="50"/>
  <c r="M604" i="50"/>
  <c r="M616" i="50"/>
  <c r="M652" i="50"/>
  <c r="M670" i="50"/>
  <c r="M676" i="50"/>
  <c r="M688" i="50"/>
  <c r="M712" i="50"/>
  <c r="M730" i="50"/>
  <c r="M736" i="50"/>
  <c r="M742" i="50"/>
  <c r="M784" i="50"/>
  <c r="D60" i="51"/>
  <c r="E56" i="51"/>
  <c r="E60" i="51"/>
  <c r="D57" i="51"/>
  <c r="D50" i="51"/>
  <c r="D51" i="51"/>
  <c r="D52" i="51"/>
  <c r="D58" i="51"/>
  <c r="D53" i="51"/>
  <c r="D59" i="51"/>
  <c r="D49" i="51"/>
  <c r="D55" i="51"/>
  <c r="D61" i="51"/>
  <c r="B60" i="49"/>
  <c r="G654" i="50"/>
  <c r="G55" i="50"/>
  <c r="G438" i="50"/>
  <c r="G579" i="50"/>
  <c r="G373" i="50"/>
  <c r="G787" i="50"/>
  <c r="G110" i="50"/>
  <c r="G2" i="50"/>
  <c r="G291" i="50"/>
  <c r="G233" i="50"/>
  <c r="O7" i="36"/>
  <c r="O5" i="36"/>
  <c r="B15" i="36"/>
  <c r="O3" i="36" s="1"/>
  <c r="O8" i="36" s="1"/>
  <c r="B48" i="35"/>
  <c r="G291" i="29"/>
  <c r="G2" i="29"/>
  <c r="G110" i="29"/>
  <c r="G233" i="29"/>
  <c r="G373" i="29"/>
  <c r="G654" i="29"/>
  <c r="G438" i="29"/>
  <c r="G55" i="29"/>
  <c r="G579" i="29"/>
  <c r="G2" i="28"/>
  <c r="G787" i="29"/>
  <c r="G654" i="28"/>
  <c r="G438" i="28"/>
  <c r="G579" i="28"/>
  <c r="G291" i="28"/>
  <c r="G373" i="28"/>
  <c r="G233" i="28"/>
  <c r="G110" i="28"/>
  <c r="G55" i="28"/>
  <c r="K2" i="50" l="1"/>
  <c r="M2" i="50"/>
  <c r="I2" i="50"/>
  <c r="L2" i="50"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<sst xmlns="http://schemas.openxmlformats.org/spreadsheetml/2006/main" count="11877" uniqueCount="423">
  <si>
    <t>Row Labels</t>
  </si>
  <si>
    <t>Sum of Hours Worked</t>
  </si>
  <si>
    <t>Jan</t>
  </si>
  <si>
    <t>Feb</t>
  </si>
  <si>
    <t>Mar</t>
  </si>
  <si>
    <t>Apr</t>
  </si>
  <si>
    <t>May</t>
  </si>
  <si>
    <t>Jun</t>
  </si>
  <si>
    <t>Jul</t>
  </si>
  <si>
    <t>Aug</t>
  </si>
  <si>
    <t>Sep</t>
  </si>
  <si>
    <t>Oct</t>
  </si>
  <si>
    <t>Nov</t>
  </si>
  <si>
    <t>Dec</t>
  </si>
  <si>
    <t>Grand Total</t>
  </si>
  <si>
    <t>Month</t>
  </si>
  <si>
    <t>Hours Worked</t>
  </si>
  <si>
    <t>Classes</t>
  </si>
  <si>
    <t>Rental</t>
  </si>
  <si>
    <t>Special Events</t>
  </si>
  <si>
    <t>Internal</t>
  </si>
  <si>
    <t>January</t>
  </si>
  <si>
    <t>Metric</t>
  </si>
  <si>
    <t>Value</t>
  </si>
  <si>
    <t>February</t>
  </si>
  <si>
    <t>Total Hours Worked</t>
  </si>
  <si>
    <t>March</t>
  </si>
  <si>
    <t>Total Hours - Classes</t>
  </si>
  <si>
    <t>April</t>
  </si>
  <si>
    <t>Total Hours - Rental</t>
  </si>
  <si>
    <t>Total Hours - Special Events</t>
  </si>
  <si>
    <t>June</t>
  </si>
  <si>
    <t>Total Hours - Internal</t>
  </si>
  <si>
    <t>July</t>
  </si>
  <si>
    <t>Average Yearly Salary ($20/hr)</t>
  </si>
  <si>
    <t>August</t>
  </si>
  <si>
    <t>Average Monthly Hours</t>
  </si>
  <si>
    <t>September</t>
  </si>
  <si>
    <t>Average Monthly Rate</t>
  </si>
  <si>
    <t>October</t>
  </si>
  <si>
    <t>Highest Month (by Hours)</t>
  </si>
  <si>
    <t>November</t>
  </si>
  <si>
    <t>Lowest Month (by Hours)</t>
  </si>
  <si>
    <t>December</t>
  </si>
  <si>
    <t>AD Classes</t>
  </si>
  <si>
    <t>AD Internal</t>
  </si>
  <si>
    <t>AD Rental</t>
  </si>
  <si>
    <t>CRAC Classes</t>
  </si>
  <si>
    <t>CRAC Rental</t>
  </si>
  <si>
    <t>MCC Classes</t>
  </si>
  <si>
    <t>MCC Classes/Rental</t>
  </si>
  <si>
    <t>MCC Internal</t>
  </si>
  <si>
    <t>MCC Internal Rental</t>
  </si>
  <si>
    <t>MCC Rental</t>
  </si>
  <si>
    <t>MSC Classes</t>
  </si>
  <si>
    <t>MSC Rental</t>
  </si>
  <si>
    <t>MSRC Classes</t>
  </si>
  <si>
    <t>MSRC Internal Rental</t>
  </si>
  <si>
    <t>MSRC Rental</t>
  </si>
  <si>
    <t>notes</t>
  </si>
  <si>
    <t>total hours for each month</t>
  </si>
  <si>
    <t>What a Full End-of-Year Table Should Include:</t>
  </si>
  <si>
    <t>pivot table for each month</t>
  </si>
  <si>
    <t>end of year table</t>
  </si>
  <si>
    <t>Total Hours Worked (Year)</t>
  </si>
  <si>
    <t>(sum of hours)</t>
  </si>
  <si>
    <t>Total Hours by Shift Type</t>
  </si>
  <si>
    <t>Classes: X, Rentals: Y, etc.</t>
  </si>
  <si>
    <t>special events</t>
  </si>
  <si>
    <t>Total Amount Owed to BAs</t>
  </si>
  <si>
    <t>= Total Hours × $20</t>
  </si>
  <si>
    <t>Total ÷ 12</t>
  </si>
  <si>
    <t>include special events for months</t>
  </si>
  <si>
    <t>Highest Month</t>
  </si>
  <si>
    <t>Month + Hours</t>
  </si>
  <si>
    <t>Lowest Month</t>
  </si>
  <si>
    <t>different rentals/classes</t>
  </si>
  <si>
    <t>Notes:</t>
  </si>
  <si>
    <t>-</t>
  </si>
  <si>
    <t xml:space="preserve">hours for bas, </t>
  </si>
  <si>
    <t>=== total amount owed to ba's</t>
  </si>
  <si>
    <t>$20/hr average pay/ for the year</t>
  </si>
  <si>
    <t>monthly rate</t>
  </si>
  <si>
    <t>Date</t>
  </si>
  <si>
    <t>Shift Type (Rental Attendant, MSRC Class, MCC Class, CRAC Class, AD Class)</t>
  </si>
  <si>
    <t>Start Time</t>
  </si>
  <si>
    <t>End Time</t>
  </si>
  <si>
    <t>Lunch Break (if applicable)</t>
  </si>
  <si>
    <t>Looks like 2 rentals, 11 am-3 pm and 5-7:30 pm this is listed as 6 hours of work</t>
  </si>
  <si>
    <t>MSRC Internal</t>
  </si>
  <si>
    <t>on sheets</t>
  </si>
  <si>
    <t xml:space="preserve">MSRC Classes </t>
  </si>
  <si>
    <t xml:space="preserve">MCC Classes </t>
  </si>
  <si>
    <t>Looks like 2 rentals, 11am-3pm and 5-7:30pm this is listed as 6 hours of work</t>
  </si>
  <si>
    <t xml:space="preserve">CRAC Classes </t>
  </si>
  <si>
    <t xml:space="preserve">CRAC Rental </t>
  </si>
  <si>
    <t>Special Event Type</t>
  </si>
  <si>
    <t>Break</t>
  </si>
  <si>
    <t>Lunar New Year Prep (BA 1)</t>
  </si>
  <si>
    <t>9:00am</t>
  </si>
  <si>
    <t>2:00pm</t>
  </si>
  <si>
    <t>Lunar New Year Prep (BA 2)</t>
  </si>
  <si>
    <t>4:00pm</t>
  </si>
  <si>
    <t>30 min</t>
  </si>
  <si>
    <t>11:00am</t>
  </si>
  <si>
    <t>3:00pm</t>
  </si>
  <si>
    <t>Flag Raising (BA 1)</t>
  </si>
  <si>
    <t>9:30pm</t>
  </si>
  <si>
    <t>Flag Raising  (BA 2)</t>
  </si>
  <si>
    <t>Lunar New Year Prep</t>
  </si>
  <si>
    <t>Lunar New Year (BA 1)</t>
  </si>
  <si>
    <t>10:00pm</t>
  </si>
  <si>
    <t>Lunar New Year (BA 2)</t>
  </si>
  <si>
    <t>Lunar New Year (BA 3)</t>
  </si>
  <si>
    <t>Lunar New Year (BA 4)</t>
  </si>
  <si>
    <t>Lunar New Year (BA 5)</t>
  </si>
  <si>
    <t>Lunar New Year (BA 6)</t>
  </si>
  <si>
    <t>Lunar New Year Clean-Up</t>
  </si>
  <si>
    <t>10:00am</t>
  </si>
  <si>
    <t>Special Event Help</t>
  </si>
  <si>
    <t>8:00am</t>
  </si>
  <si>
    <t>5:00pm</t>
  </si>
  <si>
    <t>1 hour</t>
  </si>
  <si>
    <t>Stage Riser Set-Up (BA 1)</t>
  </si>
  <si>
    <t>Stage Riser Set-Up (BA 2)</t>
  </si>
  <si>
    <t>Stage Riser Set-Up (BA 3)</t>
  </si>
  <si>
    <t>1:00pm</t>
  </si>
  <si>
    <t>Stage Riser Break-Down (BA 1)</t>
  </si>
  <si>
    <t>Stage Riser Break-Down (BA 2)</t>
  </si>
  <si>
    <t>Holi Festival (BA 1)</t>
  </si>
  <si>
    <t>7:00am</t>
  </si>
  <si>
    <t>Holi Festival (BA 2)</t>
  </si>
  <si>
    <t>12:00pm</t>
  </si>
  <si>
    <t>Holi Festival (BA 3)</t>
  </si>
  <si>
    <t>Holi Festival (BA 4)</t>
  </si>
  <si>
    <t>Holi Festival (BA 5)</t>
  </si>
  <si>
    <t>Holi Festival (BA 6)</t>
  </si>
  <si>
    <t>Big Bunny Scramble (BA 1)</t>
  </si>
  <si>
    <t>Big Bunny Scramble (BA 2)</t>
  </si>
  <si>
    <t>Big Bunny Scramble (BA 3)</t>
  </si>
  <si>
    <t>Big Bunny Scramble (BA 4)</t>
  </si>
  <si>
    <t>Volunteer Appreciation Picnic</t>
  </si>
  <si>
    <t>5:30pm</t>
  </si>
  <si>
    <t>Earth Day (BA 1)</t>
  </si>
  <si>
    <t>6:30am</t>
  </si>
  <si>
    <t>Earth Day (BA 2)</t>
  </si>
  <si>
    <t>Commisionner's Recognition</t>
  </si>
  <si>
    <t>Bike To Wherever</t>
  </si>
  <si>
    <t>6:00am</t>
  </si>
  <si>
    <t xml:space="preserve">Family Game Night Prep (BA 1) </t>
  </si>
  <si>
    <t xml:space="preserve">Family Game Night Prep (BA 2) </t>
  </si>
  <si>
    <t xml:space="preserve">Family Game Night Prep (BA 3) </t>
  </si>
  <si>
    <t xml:space="preserve">Family Game Night (BA 1) </t>
  </si>
  <si>
    <t xml:space="preserve">Family Game Night (BA 2) </t>
  </si>
  <si>
    <t xml:space="preserve">Family Game Night (BA 3) </t>
  </si>
  <si>
    <t>7:00pm</t>
  </si>
  <si>
    <t xml:space="preserve">Family Game Night (BA 4) </t>
  </si>
  <si>
    <t>1:30pm</t>
  </si>
  <si>
    <t>Veterans Day Rehersal</t>
  </si>
  <si>
    <t>Family Game Night Clean-Up (BA 1)</t>
  </si>
  <si>
    <t>Family Game Night Clean-Up (BA 2)</t>
  </si>
  <si>
    <t>Family Game Night Clean-Up (BA 3)</t>
  </si>
  <si>
    <t>Memorial Day (BA 1)</t>
  </si>
  <si>
    <t>Memorial Day (BA 2)</t>
  </si>
  <si>
    <t>Riser Break Down</t>
  </si>
  <si>
    <t>Rider Break Down</t>
  </si>
  <si>
    <t>8:00pm</t>
  </si>
  <si>
    <t>Flag Raising (BA 2)</t>
  </si>
  <si>
    <t>Flag Raising (BA 3)</t>
  </si>
  <si>
    <t>Family Campout (BA 1)</t>
  </si>
  <si>
    <t>Family Campout (BA 2)</t>
  </si>
  <si>
    <t>Family Campout (BA 3)</t>
  </si>
  <si>
    <t>11:00pm</t>
  </si>
  <si>
    <t>Family Campout (BA 4)</t>
  </si>
  <si>
    <t>Family Campout (Morning) (BA 1)</t>
  </si>
  <si>
    <t>Family Campout (Morning) (BA 2)</t>
  </si>
  <si>
    <t>Hero's Event</t>
  </si>
  <si>
    <t>7:30pm</t>
  </si>
  <si>
    <t>Summer Concert Set-Up (BA 1)</t>
  </si>
  <si>
    <t>Summer Concert Set-Up (BA 2)</t>
  </si>
  <si>
    <t>11:30am</t>
  </si>
  <si>
    <t>3:30pm</t>
  </si>
  <si>
    <t xml:space="preserve">Summer Concert </t>
  </si>
  <si>
    <t>11:30pm</t>
  </si>
  <si>
    <t>State of The City (BA 1)</t>
  </si>
  <si>
    <t>8:30pm</t>
  </si>
  <si>
    <t>State of The City (BA 2)</t>
  </si>
  <si>
    <t>Independence Day Pool Party (BA 1)</t>
  </si>
  <si>
    <t>6:30pm</t>
  </si>
  <si>
    <t>12:00am</t>
  </si>
  <si>
    <t>Independence Day Pool Party (BA 2)</t>
  </si>
  <si>
    <t>4th Of July Prep (BA 1)</t>
  </si>
  <si>
    <t>4th Of July Prep (BA 2)</t>
  </si>
  <si>
    <t>4th Of July Prep (BA 3)</t>
  </si>
  <si>
    <t>4th Of July Prep (BA 4)</t>
  </si>
  <si>
    <t>4th Of July (BA 1)</t>
  </si>
  <si>
    <t>4th Of July (BA 2)</t>
  </si>
  <si>
    <t>4th Of July (BA 3)</t>
  </si>
  <si>
    <t>4th Of July (BA 4)</t>
  </si>
  <si>
    <t>4th Of July (BA 5)</t>
  </si>
  <si>
    <t>4th Of July (BA 6)</t>
  </si>
  <si>
    <t>4th Of July (BA 7)</t>
  </si>
  <si>
    <t>4th Of July (BA 8)</t>
  </si>
  <si>
    <t>4th Of July (BA 9)</t>
  </si>
  <si>
    <t>4th Of July (BA 10)</t>
  </si>
  <si>
    <t>4th Of July (BA 11)</t>
  </si>
  <si>
    <t>4th Of July (BA 12)</t>
  </si>
  <si>
    <t>4th Of July (BA 13)</t>
  </si>
  <si>
    <t>4th Of July Clean Up (BA 1)</t>
  </si>
  <si>
    <t>4th Of July Clean Up (BA 2)</t>
  </si>
  <si>
    <t>4th Of July Clean Up (BA 3)</t>
  </si>
  <si>
    <t>Movie Night (BA 1)</t>
  </si>
  <si>
    <t>Movie Night (BA 2)</t>
  </si>
  <si>
    <t>Summer Concert (BA 1)</t>
  </si>
  <si>
    <t>Summer Concert (BA 2)</t>
  </si>
  <si>
    <t>Stage Riser Set Up (BA 1)</t>
  </si>
  <si>
    <t>Stage Riser Set Up (BA 2)</t>
  </si>
  <si>
    <t>Stage Riser Set Up (BA 3)</t>
  </si>
  <si>
    <t>Stage Riser Set Up (BA 4)</t>
  </si>
  <si>
    <t>6:00pm</t>
  </si>
  <si>
    <t>Movie Night (BA 3)</t>
  </si>
  <si>
    <t>Memorial Day (BA 4)</t>
  </si>
  <si>
    <t>Veterans Luncheon (BA 1)</t>
  </si>
  <si>
    <t>2:30pm</t>
  </si>
  <si>
    <t xml:space="preserve">Veterans Luncheon (BA 2) </t>
  </si>
  <si>
    <t>MCT Assistance / Stage Riser Break Down (BA 1)</t>
  </si>
  <si>
    <t>1:00am</t>
  </si>
  <si>
    <t>MCT Assistance / Stage Riser Break Down (BA 2)</t>
  </si>
  <si>
    <t>MCT Assistance / Stage Riser Break Down (BA 3)</t>
  </si>
  <si>
    <t>MCT Assistance / Stage Riser Break Down (BA 4)</t>
  </si>
  <si>
    <t>MCT Assistance / Stage Riser Break Down (BA 5)</t>
  </si>
  <si>
    <t>Movie Night (BA2)</t>
  </si>
  <si>
    <t xml:space="preserve">Lantern Prep (BA 1) </t>
  </si>
  <si>
    <t xml:space="preserve">10:00am </t>
  </si>
  <si>
    <t xml:space="preserve">Lantern Prep (BA 2) </t>
  </si>
  <si>
    <t xml:space="preserve">Lantern Prep (BA 3) </t>
  </si>
  <si>
    <t xml:space="preserve">Lantern Festival (BA 1) </t>
  </si>
  <si>
    <t xml:space="preserve">Lantern Festival (BA 2) </t>
  </si>
  <si>
    <t xml:space="preserve">Lantern Festival (BA 3) </t>
  </si>
  <si>
    <t xml:space="preserve">Lantern Festival (BA 4) </t>
  </si>
  <si>
    <t xml:space="preserve">Lantern Festival (BA 5) </t>
  </si>
  <si>
    <t xml:space="preserve">Lantern Festival (BA 6) </t>
  </si>
  <si>
    <t xml:space="preserve">Fiesta Prep </t>
  </si>
  <si>
    <t xml:space="preserve">Mipitas Fiesta (BA 1) </t>
  </si>
  <si>
    <t>Milpitas Fiesta (BA2)</t>
  </si>
  <si>
    <t xml:space="preserve">Milpitas Fiesta (BA 3) </t>
  </si>
  <si>
    <t>Tech Booth Set-Up (Start Risers) (BA1)</t>
  </si>
  <si>
    <t>Tech Booth Set-Up (Start Risers) (BA 2)</t>
  </si>
  <si>
    <t>Tech Booth Set-Up (Start Risers) (BA 3)</t>
  </si>
  <si>
    <t>Riser Set-Up (BA 1)</t>
  </si>
  <si>
    <t>Riser Set-Up (BA 2)</t>
  </si>
  <si>
    <t>Riser Set-Up (BA 3)</t>
  </si>
  <si>
    <t>Riser Set-Up (BA 4)</t>
  </si>
  <si>
    <t>Riser Set-Up (BA 5)</t>
  </si>
  <si>
    <t>Willy Wonka Strike (MCC) (BA 1)</t>
  </si>
  <si>
    <t>10:30pm</t>
  </si>
  <si>
    <t xml:space="preserve">Willy Wonka Strike (MCC) (BA 2) </t>
  </si>
  <si>
    <t>Riser Breakdown (BA1)</t>
  </si>
  <si>
    <t>Riser Breakdown (BA 2)</t>
  </si>
  <si>
    <t>Riser Breakdown (BA 3)</t>
  </si>
  <si>
    <t xml:space="preserve">Riser Breakdown (BA 4) </t>
  </si>
  <si>
    <t>Pumpkins in the Park (BA 1)</t>
  </si>
  <si>
    <t>Pumpkins in the Park (BA 2)</t>
  </si>
  <si>
    <t>Pumpkins in the Park (BA 3)</t>
  </si>
  <si>
    <t>Pumpkins in the Park (BA 4)</t>
  </si>
  <si>
    <t>Pumpkins in the Park (BA 5)</t>
  </si>
  <si>
    <t>Haunted House Assistance</t>
  </si>
  <si>
    <t>Haunted House Assistance (BA 1)</t>
  </si>
  <si>
    <t>Haunted House Assistance (BA 2)</t>
  </si>
  <si>
    <t>9:00pm</t>
  </si>
  <si>
    <t>Dia De Los Muertos (BA 1)</t>
  </si>
  <si>
    <t xml:space="preserve"> Dia De Los Muertos (BA 2)</t>
  </si>
  <si>
    <t>Dia De Los Muertos (BA 3)</t>
  </si>
  <si>
    <t>Dia De Los Muertos (BA 4)</t>
  </si>
  <si>
    <t>Skate Park Mural (BA 1)</t>
  </si>
  <si>
    <t>Skate Park Mural (BA 2)</t>
  </si>
  <si>
    <t>Skate Park Mural (BA 3)</t>
  </si>
  <si>
    <t>MSRC Flapjack Feast (BA 1)</t>
  </si>
  <si>
    <t xml:space="preserve"> MSRC Flapjack Feast (BA 2)</t>
  </si>
  <si>
    <t>Veterans Day (BA 1)</t>
  </si>
  <si>
    <t>Veterans Day (BA 2)</t>
  </si>
  <si>
    <t>Tree Lighting Prep (BA 1)</t>
  </si>
  <si>
    <t>Tree Lighting Prep (BA 2)</t>
  </si>
  <si>
    <t>Tree Lighting Prep (BA 3)</t>
  </si>
  <si>
    <t>Tree Lighting (BA 1)</t>
  </si>
  <si>
    <t>Tree Lighting (BA 2)</t>
  </si>
  <si>
    <t>Tree Lighting (BA 3)</t>
  </si>
  <si>
    <t>Tree Lighting (BA 4)</t>
  </si>
  <si>
    <t>Tree Lighting (BA 5)</t>
  </si>
  <si>
    <t>Tree Lighting (BA 6)</t>
  </si>
  <si>
    <t>Tree Lighting (BA 7)</t>
  </si>
  <si>
    <t>Tree Lighting Breakdown (BA 1)</t>
  </si>
  <si>
    <t>Tree Lighting Breakdown (BA 2)</t>
  </si>
  <si>
    <t>Winter Wonderland Ball</t>
  </si>
  <si>
    <t>Tree Lighting Breakdown (BA 3)</t>
  </si>
  <si>
    <t>7:45am</t>
  </si>
  <si>
    <t>4:30pm</t>
  </si>
  <si>
    <t>7:30am</t>
  </si>
  <si>
    <t>9:30am</t>
  </si>
  <si>
    <t>29-Feb</t>
  </si>
  <si>
    <t xml:space="preserve">4:00pm </t>
  </si>
  <si>
    <t>12:30pm</t>
  </si>
  <si>
    <t>12:30am</t>
  </si>
  <si>
    <t>8:30am</t>
  </si>
  <si>
    <t>9:00p</t>
  </si>
  <si>
    <t xml:space="preserve">6:00pm </t>
  </si>
  <si>
    <t>1:30am</t>
  </si>
  <si>
    <t>1.5 hour</t>
  </si>
  <si>
    <t xml:space="preserve">8:00am </t>
  </si>
  <si>
    <t>6:45am</t>
  </si>
  <si>
    <t xml:space="preserve">6:30pm </t>
  </si>
  <si>
    <t>30  min</t>
  </si>
  <si>
    <t>3:45pm</t>
  </si>
  <si>
    <t>HR limit</t>
  </si>
  <si>
    <t>AVG 18 hrs a week - PT</t>
  </si>
  <si>
    <t>20 hrs a week considering holidays</t>
  </si>
  <si>
    <t>2024 BA Month Hours Worked by Shift Type</t>
  </si>
  <si>
    <t>july most utilized month for ba ours almost half was spent on special events</t>
  </si>
  <si>
    <t>20*980</t>
  </si>
  <si>
    <t>Hours</t>
  </si>
  <si>
    <t>4th Of July</t>
  </si>
  <si>
    <t>Big Bunny Scramble</t>
  </si>
  <si>
    <t>Sum of Hours</t>
  </si>
  <si>
    <t>Dia De Los Muertos</t>
  </si>
  <si>
    <t>MSRC Flapjack Feast</t>
  </si>
  <si>
    <t>Earth Day</t>
  </si>
  <si>
    <t>Family Campout</t>
  </si>
  <si>
    <t>Family Game Night</t>
  </si>
  <si>
    <t>Flag Raising</t>
  </si>
  <si>
    <t>Holi Festival</t>
  </si>
  <si>
    <t>Independence Day Pool Party</t>
  </si>
  <si>
    <t>Lantern Festival</t>
  </si>
  <si>
    <t>Lunar New Year</t>
  </si>
  <si>
    <t>Memorial Day</t>
  </si>
  <si>
    <t>Milpitas Fiesta</t>
  </si>
  <si>
    <t>Mipitas Fiesta</t>
  </si>
  <si>
    <t>Movie Night</t>
  </si>
  <si>
    <t>Pumpkins in the Park</t>
  </si>
  <si>
    <t>Skate Park Mural</t>
  </si>
  <si>
    <t>State of The City</t>
  </si>
  <si>
    <t>Summer Concert</t>
  </si>
  <si>
    <t>Tree Lighting</t>
  </si>
  <si>
    <t>Veterans Day</t>
  </si>
  <si>
    <t>Veterans Luncheon</t>
  </si>
  <si>
    <t>Willy Wonka Strike (MCC)</t>
  </si>
  <si>
    <t>Fiesta</t>
  </si>
  <si>
    <t>Lantern</t>
  </si>
  <si>
    <t>MCT Assistance</t>
  </si>
  <si>
    <t>Rider</t>
  </si>
  <si>
    <t>Riser</t>
  </si>
  <si>
    <t>Stage Riser</t>
  </si>
  <si>
    <t>Tech Booth</t>
  </si>
  <si>
    <t>Stage Stage Riser</t>
  </si>
  <si>
    <t>Average</t>
  </si>
  <si>
    <t>Special Event Breakdown</t>
  </si>
  <si>
    <t>Event Name</t>
  </si>
  <si>
    <t>Average Hours</t>
  </si>
  <si>
    <t>End-of-Year Summary 2024</t>
  </si>
  <si>
    <t>Total BA Hours</t>
  </si>
  <si>
    <t>Adobe</t>
  </si>
  <si>
    <t>Sal Cracolice</t>
  </si>
  <si>
    <t>Community Center</t>
  </si>
  <si>
    <t>Sports Center</t>
  </si>
  <si>
    <t>Senior Center</t>
  </si>
  <si>
    <t>Shift Type Breakdown (Excluding Special Events)</t>
  </si>
  <si>
    <t>2024 Building Attendant Hours Dashboard</t>
  </si>
  <si>
    <t>Total Hours</t>
  </si>
  <si>
    <t>July - 685.75</t>
  </si>
  <si>
    <t>January - 333</t>
  </si>
  <si>
    <t>BA Average Monthly Rate</t>
  </si>
  <si>
    <t>`````````\</t>
  </si>
  <si>
    <t>change rate to average hourly</t>
  </si>
  <si>
    <t>take out shift type hours: include clickable links to go through charts/tables, summary</t>
  </si>
  <si>
    <t>add 2 hours to the days that have hours except for weekends</t>
  </si>
  <si>
    <t>ask ben what he added on the top, yearly spent.</t>
  </si>
  <si>
    <t>calculating budgets</t>
  </si>
  <si>
    <t>Added Hours Worked</t>
  </si>
  <si>
    <t>Total Added Hours</t>
  </si>
  <si>
    <t>BA Average Hourly Rate</t>
  </si>
  <si>
    <t>Charts</t>
  </si>
  <si>
    <t>Tables</t>
  </si>
  <si>
    <t>Table</t>
  </si>
  <si>
    <t>Chart</t>
  </si>
  <si>
    <t>Veterans Day Rehearsal</t>
  </si>
  <si>
    <t>AVG</t>
  </si>
  <si>
    <t>Sum of Added Hours Worked</t>
  </si>
  <si>
    <t>2024 Hours</t>
  </si>
  <si>
    <t xml:space="preserve">2025 Extended Hours </t>
  </si>
  <si>
    <t>Months</t>
  </si>
  <si>
    <t>2024 Budget</t>
  </si>
  <si>
    <t>2025 Project Budget</t>
  </si>
  <si>
    <t>Difference - Hours</t>
  </si>
  <si>
    <t>Difference - Budget</t>
  </si>
  <si>
    <t>2024 Actual vs 2025 Projected: Hours and Budget</t>
  </si>
  <si>
    <t>Total Budget</t>
  </si>
  <si>
    <t>2024 Actual vs 2025 Projected: Extended Hours</t>
  </si>
  <si>
    <t>2024 Actual vs 2025 Projected: Budget</t>
  </si>
  <si>
    <t>Change</t>
  </si>
  <si>
    <t>% Change</t>
  </si>
  <si>
    <t>2025 Projected Building Attendant Hours Dashboard</t>
  </si>
  <si>
    <t>Change (Hours)</t>
  </si>
  <si>
    <t>Change (Budget)</t>
  </si>
  <si>
    <t>Looks great, can you make one more adjustment? Basically like you did with adding 2 extra hours for the room flips can you also pull 2 hours out of the budget as a (lunch program 162 budget) basically for each of the MSRC Classes that occurs between Mon-Fri from 8am-2pm, for those shifts, 2 of the hours are from senior centers budget, i forgot to mention that initially, if we can sort of pull the 2 hours out from each of those shifts (basically 2 hours from 5 days out of 52 weeks in the year) and label it 'Senior Center Lunch Program' then that would be perfect. Thats the last thing from my end then you can finish it off.</t>
  </si>
  <si>
    <t>use SQL</t>
  </si>
  <si>
    <t>Total Removed Hours MSRC Classes</t>
  </si>
  <si>
    <t>Total Removed Hours</t>
  </si>
  <si>
    <t xml:space="preserve">Total Hours </t>
  </si>
  <si>
    <t>Updated Hours (Combined)</t>
  </si>
  <si>
    <t>c</t>
  </si>
  <si>
    <t>Sum of Updated Hours (Combined)</t>
  </si>
  <si>
    <t>Sum of Total Removed Hours MSRC Classes</t>
  </si>
  <si>
    <t>2025 Projected Hours</t>
  </si>
  <si>
    <t>2024 Actual vs 2025 Projected: Updated Hours</t>
  </si>
  <si>
    <t>2025 Extended Shifts (+2hrs)</t>
  </si>
  <si>
    <t>Senior Center Lunch Program</t>
  </si>
  <si>
    <t>2025 Projected Budget</t>
  </si>
  <si>
    <t>2025 Reduced Shifts (-2hrs)</t>
  </si>
  <si>
    <t>Extended Weekday Shift Hours</t>
  </si>
  <si>
    <t>Summary</t>
  </si>
  <si>
    <t>Updated Weekday Shifts</t>
  </si>
  <si>
    <t>Total Removed Hours Senior Center Lunch Program</t>
  </si>
  <si>
    <t>Clickable Sections</t>
  </si>
  <si>
    <t>Shift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</si>
</sst>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164" formatCode="[$-409]d\-mmm;@"/>
    <numFmt numFmtId="165" formatCode="[$-409]h:mm\ AM/PM;@"/>
    <numFmt numFmtId="166" formatCode="&quot;$&quot;#,##0.00"/>
    <numFmt numFmtId="167" formatCode="[$-F800]dddd\,\ mmmm\ dd\,\ yyyy"/>
    <numFmt numFmtId="168" formatCode="0.0"/>
    <numFmt numFmtId="169" formatCode="\+0.0%;\-0.0%;0.0%"/>
    <numFmt numFmtId="170" formatCode="\+0;\-0;0"/>
  </numFmts>
  <fonts count="11" x14ac:knownFonts="1">
    <font>
      <sz val="11"/>
      <color theme="1"/>
      <name val="Calibri"/>
      <family val="2"/>
      <scheme val="minor"/>
    </font>
    <font>
      <b/>
      <sz val="11"/>
      <color theme="1"/>
      <name val="Calibri"/>
      <family val="2"/>
      <scheme val="minor"/>
    </font>
    <font>
      <sz val="11"/>
      <color rgb="FF000000"/>
      <name val="Calibri"/>
      <charset val="1"/>
    </font>
    <font>
      <b/>
      <sz val="12"/>
      <color theme="1"/>
      <name val="Calibri"/>
      <family val="2"/>
      <scheme val="minor"/>
    </font>
    <font>
      <sz val="12"/>
      <color theme="1"/>
      <name val="Calibri"/>
      <family val="2"/>
      <scheme val="minor"/>
    </font>
    <font>
      <b/>
      <sz val="13.5"/>
      <color theme="1"/>
      <name val="Calibri"/>
      <family val="2"/>
      <scheme val="minor"/>
    </font>
    <font>
      <sz val="8"/>
      <name val="Calibri"/>
      <family val="2"/>
      <scheme val="minor"/>
    </font>
    <font>
      <sz val="11"/>
      <color theme="1"/>
      <name val="Calibri"/>
      <family val="2"/>
      <scheme val="minor"/>
    </font>
    <font>
      <u/>
      <sz val="11"/>
      <color theme="10"/>
      <name val="Calibri"/>
      <family val="2"/>
      <scheme val="minor"/>
    </font>
    <font>
      <b/>
      <sz val="22"/>
      <color theme="1"/>
      <name val="Calibri"/>
      <family val="2"/>
      <scheme val="minor"/>
    </font>
    <font>
      <sz val="1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79998168889431442"/>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s>
  <cellStyleXfs count="4">
    <xf numFmtId="0" fontId="0" fillId="0" borderId="0"/>
    <xf numFmtId="44" fontId="7" fillId="0" borderId="0" applyFont="0" applyFill="0" applyBorder="0" applyAlignment="0" applyProtection="0"/>
    <xf numFmtId="0" fontId="8" fillId="0" borderId="0" applyNumberFormat="0" applyFill="0" applyBorder="0" applyAlignment="0" applyProtection="0"/>
    <xf numFmtId="9" fontId="7" fillId="0" borderId="0" applyFont="0" applyFill="0" applyBorder="0" applyAlignment="0" applyProtection="0"/>
  </cellStyleXfs>
  <cellXfs count="188">
    <xf numFmtId="0" fontId="0" fillId="0" borderId="0" xfId="0"/>
    <xf numFmtId="16" fontId="0" fillId="0" borderId="0" xfId="0" applyNumberFormat="1"/>
    <xf numFmtId="164" fontId="0" fillId="0" borderId="0" xfId="0" applyNumberFormat="1"/>
    <xf numFmtId="0" fontId="1" fillId="0" borderId="0" xfId="0" applyFont="1"/>
    <xf numFmtId="20" fontId="0" fillId="0" borderId="0" xfId="0" applyNumberFormat="1"/>
    <xf numFmtId="18" fontId="0" fillId="0" borderId="0" xfId="0" applyNumberFormat="1"/>
    <xf numFmtId="0" fontId="2" fillId="0" borderId="0" xfId="0" applyFont="1"/>
    <xf numFmtId="0" fontId="0" fillId="2" borderId="0" xfId="0" applyFill="1"/>
    <xf numFmtId="164" fontId="1" fillId="0" borderId="1" xfId="0" applyNumberFormat="1" applyFont="1" applyBorder="1" applyAlignment="1">
      <alignment horizontal="center" vertical="top"/>
    </xf>
    <xf numFmtId="0" fontId="1" fillId="0" borderId="1" xfId="0" applyFont="1" applyBorder="1" applyAlignment="1">
      <alignment horizontal="center" vertical="top"/>
    </xf>
    <xf numFmtId="164" fontId="0" fillId="0" borderId="1" xfId="0" applyNumberFormat="1" applyBorder="1"/>
    <xf numFmtId="0" fontId="0" fillId="0" borderId="1" xfId="0" applyBorder="1"/>
    <xf numFmtId="0" fontId="1" fillId="0" borderId="1" xfId="0" applyFont="1" applyBorder="1"/>
    <xf numFmtId="16" fontId="0" fillId="0" borderId="1" xfId="0" applyNumberFormat="1" applyBorder="1"/>
    <xf numFmtId="17" fontId="0" fillId="0" borderId="1" xfId="0" applyNumberFormat="1" applyBorder="1" applyAlignment="1">
      <alignment horizontal="right"/>
    </xf>
    <xf numFmtId="164" fontId="0" fillId="0" borderId="2" xfId="0" applyNumberFormat="1" applyBorder="1"/>
    <xf numFmtId="0" fontId="0" fillId="0" borderId="2" xfId="0" applyBorder="1"/>
    <xf numFmtId="17" fontId="0" fillId="0" borderId="2" xfId="0" applyNumberFormat="1" applyBorder="1" applyAlignment="1">
      <alignment horizontal="right"/>
    </xf>
    <xf numFmtId="16" fontId="0" fillId="0" borderId="2" xfId="0" applyNumberFormat="1" applyBorder="1"/>
    <xf numFmtId="20" fontId="0" fillId="0" borderId="1" xfId="0" applyNumberFormat="1" applyBorder="1"/>
    <xf numFmtId="16" fontId="0" fillId="2" borderId="1" xfId="0" applyNumberFormat="1" applyFill="1" applyBorder="1"/>
    <xf numFmtId="0" fontId="0" fillId="2" borderId="1" xfId="0" applyFill="1" applyBorder="1"/>
    <xf numFmtId="16" fontId="0" fillId="0" borderId="1" xfId="0" applyNumberFormat="1" applyBorder="1" applyAlignment="1">
      <alignment horizontal="right" vertical="top"/>
    </xf>
    <xf numFmtId="0" fontId="0" fillId="0" borderId="1" xfId="0" applyBorder="1" applyAlignment="1">
      <alignment horizontal="left" vertical="top"/>
    </xf>
    <xf numFmtId="0" fontId="0" fillId="0" borderId="1" xfId="0" applyBorder="1" applyAlignment="1">
      <alignment horizontal="right" vertical="top"/>
    </xf>
    <xf numFmtId="0" fontId="0" fillId="0" borderId="1" xfId="0" applyBorder="1" applyAlignment="1">
      <alignment horizontal="left"/>
    </xf>
    <xf numFmtId="0" fontId="2" fillId="0" borderId="1" xfId="0" applyFont="1" applyBorder="1"/>
    <xf numFmtId="165" fontId="1" fillId="0" borderId="1" xfId="0" applyNumberFormat="1" applyFont="1" applyBorder="1" applyAlignment="1">
      <alignment horizontal="center" vertical="top"/>
    </xf>
    <xf numFmtId="165" fontId="0" fillId="0" borderId="1" xfId="0" applyNumberFormat="1" applyBorder="1"/>
    <xf numFmtId="165" fontId="0" fillId="0" borderId="0" xfId="0" applyNumberFormat="1"/>
    <xf numFmtId="2" fontId="0" fillId="0" borderId="1" xfId="0" applyNumberFormat="1" applyBorder="1"/>
    <xf numFmtId="18" fontId="0" fillId="0" borderId="1" xfId="0" applyNumberFormat="1" applyBorder="1"/>
    <xf numFmtId="18" fontId="0" fillId="0" borderId="2" xfId="0" applyNumberFormat="1" applyBorder="1"/>
    <xf numFmtId="18" fontId="0" fillId="0" borderId="1" xfId="0" applyNumberFormat="1" applyBorder="1" applyAlignment="1">
      <alignment horizontal="right" vertical="top"/>
    </xf>
    <xf numFmtId="2" fontId="0" fillId="0" borderId="1" xfId="0" applyNumberFormat="1" applyBorder="1" applyAlignment="1">
      <alignment horizontal="right"/>
    </xf>
    <xf numFmtId="18" fontId="0" fillId="2" borderId="1" xfId="0" applyNumberFormat="1" applyFill="1" applyBorder="1"/>
    <xf numFmtId="2" fontId="0" fillId="2" borderId="1" xfId="0" applyNumberFormat="1" applyFill="1" applyBorder="1"/>
    <xf numFmtId="0" fontId="1" fillId="0" borderId="3" xfId="0" applyFont="1" applyBorder="1" applyAlignment="1">
      <alignment horizontal="center" vertical="top"/>
    </xf>
    <xf numFmtId="0" fontId="0" fillId="0" borderId="3" xfId="0" applyBorder="1"/>
    <xf numFmtId="0" fontId="0" fillId="0" borderId="4" xfId="0" applyBorder="1"/>
    <xf numFmtId="0" fontId="0" fillId="2" borderId="3" xfId="0" applyFill="1" applyBorder="1"/>
    <xf numFmtId="0" fontId="0" fillId="0" borderId="3" xfId="0" applyBorder="1" applyAlignment="1">
      <alignment horizontal="right" vertical="top"/>
    </xf>
    <xf numFmtId="2" fontId="1" fillId="0" borderId="1" xfId="0" applyNumberFormat="1" applyFont="1" applyBorder="1"/>
    <xf numFmtId="14" fontId="0" fillId="0" borderId="0" xfId="0" applyNumberFormat="1"/>
    <xf numFmtId="14" fontId="0" fillId="0" borderId="1" xfId="0" applyNumberFormat="1" applyBorder="1"/>
    <xf numFmtId="14" fontId="0" fillId="0" borderId="2" xfId="0" applyNumberFormat="1" applyBorder="1" applyAlignment="1">
      <alignment horizontal="right"/>
    </xf>
    <xf numFmtId="14" fontId="1" fillId="0" borderId="1" xfId="0" applyNumberFormat="1" applyFont="1" applyBorder="1" applyAlignment="1">
      <alignment horizontal="center" vertical="top"/>
    </xf>
    <xf numFmtId="14" fontId="0" fillId="2" borderId="1" xfId="0" applyNumberFormat="1" applyFill="1" applyBorder="1"/>
    <xf numFmtId="14" fontId="0" fillId="0" borderId="1" xfId="0" applyNumberFormat="1" applyBorder="1" applyAlignment="1">
      <alignment horizontal="right" vertical="top"/>
    </xf>
    <xf numFmtId="14" fontId="0" fillId="0" borderId="2" xfId="0" applyNumberFormat="1" applyBorder="1"/>
    <xf numFmtId="0" fontId="0" fillId="0" borderId="5" xfId="0" pivotButton="1" applyBorder="1"/>
    <xf numFmtId="0" fontId="0" fillId="0" borderId="5" xfId="0" applyBorder="1"/>
    <xf numFmtId="0" fontId="0" fillId="0" borderId="5" xfId="0" applyBorder="1" applyAlignment="1">
      <alignment horizontal="left"/>
    </xf>
    <xf numFmtId="2" fontId="0" fillId="0" borderId="5" xfId="0" applyNumberFormat="1" applyBorder="1"/>
    <xf numFmtId="0" fontId="0" fillId="3" borderId="5" xfId="0" applyFill="1" applyBorder="1" applyAlignment="1">
      <alignment horizontal="center"/>
    </xf>
    <xf numFmtId="0" fontId="1" fillId="0" borderId="5" xfId="0" applyFont="1" applyBorder="1"/>
    <xf numFmtId="0" fontId="1" fillId="0" borderId="5" xfId="0" applyFont="1" applyBorder="1" applyAlignment="1">
      <alignment horizontal="center" vertical="top"/>
    </xf>
    <xf numFmtId="0" fontId="0" fillId="3" borderId="1" xfId="0" applyFill="1" applyBorder="1"/>
    <xf numFmtId="0" fontId="0" fillId="4" borderId="1" xfId="0" applyFill="1" applyBorder="1"/>
    <xf numFmtId="0" fontId="1" fillId="4" borderId="1" xfId="0" applyFont="1" applyFill="1" applyBorder="1"/>
    <xf numFmtId="0" fontId="3" fillId="4" borderId="1" xfId="0" applyFont="1" applyFill="1" applyBorder="1"/>
    <xf numFmtId="0" fontId="4" fillId="3" borderId="1" xfId="0" applyFont="1" applyFill="1" applyBorder="1"/>
    <xf numFmtId="0" fontId="4" fillId="0" borderId="1" xfId="0" applyFont="1" applyBorder="1"/>
    <xf numFmtId="0" fontId="4" fillId="4" borderId="1" xfId="0" applyFont="1" applyFill="1" applyBorder="1"/>
    <xf numFmtId="0" fontId="0" fillId="0" borderId="0" xfId="0" applyAlignment="1">
      <alignment horizontal="center"/>
    </xf>
    <xf numFmtId="0" fontId="3" fillId="4" borderId="1" xfId="0" applyFont="1" applyFill="1" applyBorder="1" applyAlignment="1">
      <alignment horizontal="center"/>
    </xf>
    <xf numFmtId="0" fontId="4" fillId="0" borderId="1" xfId="0" applyFont="1" applyBorder="1" applyAlignment="1">
      <alignment horizontal="center"/>
    </xf>
    <xf numFmtId="0" fontId="4" fillId="4" borderId="1" xfId="0" applyFont="1" applyFill="1" applyBorder="1" applyAlignment="1">
      <alignment horizontal="center"/>
    </xf>
    <xf numFmtId="0" fontId="4" fillId="0" borderId="0" xfId="0" applyFont="1"/>
    <xf numFmtId="0" fontId="0" fillId="0" borderId="1" xfId="0" applyBorder="1" applyAlignment="1">
      <alignment horizontal="center"/>
    </xf>
    <xf numFmtId="0" fontId="3" fillId="4" borderId="3" xfId="0" applyFont="1" applyFill="1" applyBorder="1"/>
    <xf numFmtId="0" fontId="4" fillId="0" borderId="3" xfId="0" applyFont="1" applyBorder="1"/>
    <xf numFmtId="0" fontId="3" fillId="0" borderId="0" xfId="0" applyFont="1"/>
    <xf numFmtId="0" fontId="4" fillId="0" borderId="2" xfId="0" applyFont="1" applyBorder="1" applyAlignment="1">
      <alignment horizontal="center"/>
    </xf>
    <xf numFmtId="0" fontId="4" fillId="0" borderId="2" xfId="0" applyFont="1" applyBorder="1"/>
    <xf numFmtId="0" fontId="4" fillId="0" borderId="4" xfId="0" applyFont="1" applyBorder="1"/>
    <xf numFmtId="0" fontId="0" fillId="0" borderId="8" xfId="0" applyBorder="1"/>
    <xf numFmtId="0" fontId="0" fillId="0" borderId="8" xfId="0" applyBorder="1" applyAlignment="1">
      <alignment horizontal="center"/>
    </xf>
    <xf numFmtId="0" fontId="0" fillId="0" borderId="9" xfId="0" applyBorder="1"/>
    <xf numFmtId="0" fontId="3" fillId="4" borderId="6" xfId="0" applyFont="1" applyFill="1" applyBorder="1"/>
    <xf numFmtId="0" fontId="5" fillId="0" borderId="0" xfId="0" applyFont="1"/>
    <xf numFmtId="0" fontId="0" fillId="0" borderId="0" xfId="0" quotePrefix="1"/>
    <xf numFmtId="0" fontId="1" fillId="4" borderId="7" xfId="0" applyFont="1" applyFill="1" applyBorder="1"/>
    <xf numFmtId="0" fontId="3" fillId="4" borderId="5" xfId="0" applyFont="1" applyFill="1" applyBorder="1" applyAlignment="1">
      <alignment horizontal="center"/>
    </xf>
    <xf numFmtId="0" fontId="1" fillId="4" borderId="5" xfId="0" applyFont="1" applyFill="1" applyBorder="1"/>
    <xf numFmtId="0" fontId="0" fillId="0" borderId="5" xfId="0" applyBorder="1" applyAlignment="1">
      <alignment horizontal="center"/>
    </xf>
    <xf numFmtId="0" fontId="3" fillId="4" borderId="5" xfId="0" applyFont="1" applyFill="1" applyBorder="1"/>
    <xf numFmtId="0" fontId="0" fillId="0" borderId="0" xfId="0" pivotButton="1"/>
    <xf numFmtId="0" fontId="0" fillId="0" borderId="0" xfId="0" applyAlignment="1">
      <alignment horizontal="left"/>
    </xf>
    <xf numFmtId="0" fontId="1" fillId="0" borderId="0" xfId="0" applyFont="1" applyAlignment="1">
      <alignment horizontal="center"/>
    </xf>
    <xf numFmtId="0" fontId="1" fillId="4" borderId="5" xfId="0" applyFont="1" applyFill="1" applyBorder="1" applyAlignment="1">
      <alignment horizontal="center"/>
    </xf>
    <xf numFmtId="0" fontId="0" fillId="4" borderId="5" xfId="0" applyFill="1" applyBorder="1"/>
    <xf numFmtId="0" fontId="4" fillId="0" borderId="5" xfId="0" applyFont="1" applyBorder="1"/>
    <xf numFmtId="0" fontId="4" fillId="0" borderId="5" xfId="0" applyFont="1" applyBorder="1" applyAlignment="1">
      <alignment horizontal="right"/>
    </xf>
    <xf numFmtId="166" fontId="4" fillId="0" borderId="5" xfId="1" applyNumberFormat="1" applyFont="1" applyBorder="1" applyAlignment="1">
      <alignment horizontal="right"/>
    </xf>
    <xf numFmtId="0" fontId="4" fillId="0" borderId="0" xfId="0" applyFont="1" applyAlignment="1">
      <alignment horizontal="right"/>
    </xf>
    <xf numFmtId="0" fontId="4" fillId="0" borderId="10" xfId="0" applyFont="1" applyBorder="1"/>
    <xf numFmtId="0" fontId="4" fillId="0" borderId="13" xfId="0" applyFont="1" applyBorder="1" applyAlignment="1">
      <alignment horizontal="right"/>
    </xf>
    <xf numFmtId="2" fontId="4" fillId="0" borderId="14" xfId="0" applyNumberFormat="1" applyFont="1" applyBorder="1" applyAlignment="1">
      <alignment horizontal="right"/>
    </xf>
    <xf numFmtId="0" fontId="1" fillId="5" borderId="5" xfId="0" applyFont="1" applyFill="1" applyBorder="1"/>
    <xf numFmtId="0" fontId="0" fillId="5" borderId="5" xfId="0" applyFill="1" applyBorder="1"/>
    <xf numFmtId="3" fontId="0" fillId="5" borderId="5" xfId="0" applyNumberFormat="1" applyFill="1" applyBorder="1"/>
    <xf numFmtId="166" fontId="0" fillId="5" borderId="5" xfId="0" applyNumberFormat="1" applyFill="1" applyBorder="1"/>
    <xf numFmtId="167" fontId="1" fillId="0" borderId="1" xfId="0" applyNumberFormat="1" applyFont="1" applyBorder="1" applyAlignment="1">
      <alignment horizontal="center" vertical="top"/>
    </xf>
    <xf numFmtId="167" fontId="0" fillId="0" borderId="1" xfId="0" applyNumberFormat="1" applyBorder="1"/>
    <xf numFmtId="167" fontId="0" fillId="0" borderId="2" xfId="0" applyNumberFormat="1" applyBorder="1" applyAlignment="1">
      <alignment horizontal="right"/>
    </xf>
    <xf numFmtId="167" fontId="0" fillId="2" borderId="1" xfId="0" applyNumberFormat="1" applyFill="1" applyBorder="1"/>
    <xf numFmtId="167" fontId="0" fillId="0" borderId="1" xfId="0" applyNumberFormat="1" applyBorder="1" applyAlignment="1">
      <alignment horizontal="right" vertical="top"/>
    </xf>
    <xf numFmtId="167" fontId="0" fillId="0" borderId="2" xfId="0" applyNumberFormat="1" applyBorder="1"/>
    <xf numFmtId="167" fontId="0" fillId="0" borderId="0" xfId="0" applyNumberFormat="1"/>
    <xf numFmtId="0" fontId="8" fillId="5" borderId="5" xfId="2" applyFill="1" applyBorder="1"/>
    <xf numFmtId="0" fontId="10" fillId="0" borderId="0" xfId="0" quotePrefix="1" applyFont="1"/>
    <xf numFmtId="0" fontId="1" fillId="3" borderId="5" xfId="0" applyFont="1" applyFill="1" applyBorder="1"/>
    <xf numFmtId="168" fontId="0" fillId="3" borderId="5" xfId="0" applyNumberFormat="1" applyFill="1" applyBorder="1"/>
    <xf numFmtId="44" fontId="0" fillId="0" borderId="0" xfId="1" applyFont="1"/>
    <xf numFmtId="0" fontId="0" fillId="3" borderId="5" xfId="0" applyFill="1" applyBorder="1"/>
    <xf numFmtId="44" fontId="0" fillId="0" borderId="5" xfId="1" applyFont="1" applyBorder="1"/>
    <xf numFmtId="0" fontId="3" fillId="3" borderId="10" xfId="0" applyFont="1" applyFill="1" applyBorder="1"/>
    <xf numFmtId="0" fontId="3" fillId="3" borderId="12" xfId="0" applyFont="1" applyFill="1" applyBorder="1"/>
    <xf numFmtId="0" fontId="3" fillId="3" borderId="11" xfId="0" applyFont="1" applyFill="1" applyBorder="1"/>
    <xf numFmtId="44" fontId="1" fillId="4" borderId="5" xfId="1" applyFont="1" applyFill="1" applyBorder="1"/>
    <xf numFmtId="44" fontId="0" fillId="0" borderId="0" xfId="1" applyFont="1" applyFill="1" applyBorder="1"/>
    <xf numFmtId="44" fontId="1" fillId="0" borderId="0" xfId="1" applyFont="1" applyFill="1" applyBorder="1"/>
    <xf numFmtId="168" fontId="0" fillId="0" borderId="0" xfId="0" applyNumberFormat="1"/>
    <xf numFmtId="169" fontId="0" fillId="0" borderId="5" xfId="3" applyNumberFormat="1" applyFont="1" applyBorder="1"/>
    <xf numFmtId="169" fontId="1" fillId="4" borderId="5" xfId="3" applyNumberFormat="1" applyFont="1" applyFill="1" applyBorder="1"/>
    <xf numFmtId="170" fontId="0" fillId="0" borderId="5" xfId="0" applyNumberFormat="1" applyBorder="1"/>
    <xf numFmtId="170" fontId="1" fillId="4" borderId="5" xfId="0" applyNumberFormat="1" applyFont="1" applyFill="1" applyBorder="1"/>
    <xf numFmtId="1" fontId="0" fillId="5" borderId="5" xfId="0" applyNumberFormat="1" applyFill="1" applyBorder="1"/>
    <xf numFmtId="170" fontId="0" fillId="5" borderId="5" xfId="0" applyNumberFormat="1" applyFill="1" applyBorder="1"/>
    <xf numFmtId="44" fontId="0" fillId="5" borderId="5" xfId="0" applyNumberFormat="1" applyFill="1" applyBorder="1"/>
    <xf numFmtId="167" fontId="1" fillId="0" borderId="5" xfId="0" applyNumberFormat="1" applyFont="1" applyBorder="1" applyAlignment="1">
      <alignment horizontal="center" vertical="top"/>
    </xf>
    <xf numFmtId="165" fontId="1" fillId="0" borderId="5" xfId="0" applyNumberFormat="1" applyFont="1" applyBorder="1" applyAlignment="1">
      <alignment horizontal="center" vertical="top"/>
    </xf>
    <xf numFmtId="167" fontId="0" fillId="0" borderId="5" xfId="0" applyNumberFormat="1" applyBorder="1"/>
    <xf numFmtId="165" fontId="0" fillId="0" borderId="5" xfId="0" applyNumberFormat="1" applyBorder="1"/>
    <xf numFmtId="18" fontId="0" fillId="0" borderId="5" xfId="0" applyNumberFormat="1" applyBorder="1"/>
    <xf numFmtId="167" fontId="0" fillId="0" borderId="5" xfId="0" applyNumberFormat="1" applyBorder="1" applyAlignment="1">
      <alignment horizontal="right"/>
    </xf>
    <xf numFmtId="167" fontId="0" fillId="2" borderId="5" xfId="0" applyNumberFormat="1" applyFill="1" applyBorder="1"/>
    <xf numFmtId="18" fontId="0" fillId="2" borderId="5" xfId="0" applyNumberFormat="1" applyFill="1" applyBorder="1"/>
    <xf numFmtId="2" fontId="0" fillId="2" borderId="5" xfId="0" applyNumberFormat="1" applyFill="1" applyBorder="1"/>
    <xf numFmtId="0" fontId="0" fillId="2" borderId="5" xfId="0" applyFill="1" applyBorder="1"/>
    <xf numFmtId="20" fontId="0" fillId="0" borderId="5" xfId="0" applyNumberFormat="1" applyBorder="1"/>
    <xf numFmtId="167" fontId="0" fillId="0" borderId="5" xfId="0" applyNumberFormat="1" applyBorder="1" applyAlignment="1">
      <alignment horizontal="right" vertical="top"/>
    </xf>
    <xf numFmtId="18" fontId="0" fillId="0" borderId="5" xfId="0" applyNumberFormat="1" applyBorder="1" applyAlignment="1">
      <alignment horizontal="right" vertical="top"/>
    </xf>
    <xf numFmtId="2" fontId="0" fillId="0" borderId="5" xfId="0" applyNumberFormat="1" applyBorder="1" applyAlignment="1">
      <alignment horizontal="right"/>
    </xf>
    <xf numFmtId="0" fontId="0" fillId="0" borderId="5" xfId="0" applyBorder="1" applyAlignment="1">
      <alignment horizontal="right" vertical="top"/>
    </xf>
    <xf numFmtId="2" fontId="1" fillId="0" borderId="5" xfId="0" applyNumberFormat="1" applyFont="1" applyBorder="1"/>
    <xf numFmtId="18" fontId="2" fillId="0" borderId="5" xfId="0" applyNumberFormat="1" applyFont="1" applyBorder="1"/>
    <xf numFmtId="166" fontId="0" fillId="0" borderId="5" xfId="1" applyNumberFormat="1" applyFont="1" applyBorder="1"/>
    <xf numFmtId="170" fontId="0" fillId="0" borderId="5" xfId="1" applyNumberFormat="1" applyFont="1" applyBorder="1"/>
    <xf numFmtId="170" fontId="1" fillId="4" borderId="5" xfId="1" applyNumberFormat="1" applyFont="1" applyFill="1" applyBorder="1"/>
    <xf numFmtId="170" fontId="0" fillId="0" borderId="5" xfId="1" applyNumberFormat="1" applyFont="1" applyBorder="1" applyAlignment="1">
      <alignment horizontal="right"/>
    </xf>
    <xf numFmtId="170" fontId="1" fillId="4" borderId="5" xfId="1" applyNumberFormat="1" applyFont="1" applyFill="1" applyBorder="1" applyAlignment="1">
      <alignment horizontal="right"/>
    </xf>
    <xf numFmtId="166" fontId="0" fillId="0" borderId="0" xfId="1" applyNumberFormat="1" applyFont="1"/>
    <xf numFmtId="0" fontId="1" fillId="4" borderId="5" xfId="1" applyNumberFormat="1" applyFont="1" applyFill="1" applyBorder="1" applyAlignment="1">
      <alignment horizontal="right"/>
    </xf>
    <xf numFmtId="0" fontId="1" fillId="4" borderId="5" xfId="1" applyNumberFormat="1" applyFont="1" applyFill="1" applyBorder="1"/>
    <xf numFmtId="165" fontId="0" fillId="2" borderId="5" xfId="0" applyNumberFormat="1" applyFill="1" applyBorder="1"/>
    <xf numFmtId="165" fontId="0" fillId="0" borderId="5" xfId="0" applyNumberFormat="1" applyBorder="1" applyAlignment="1">
      <alignment horizontal="right" vertical="top"/>
    </xf>
    <xf numFmtId="165" fontId="2" fillId="0" borderId="5" xfId="0" applyNumberFormat="1" applyFont="1" applyBorder="1"/>
    <xf numFmtId="165" fontId="0" fillId="0" borderId="2" xfId="0" applyNumberFormat="1" applyBorder="1"/>
    <xf numFmtId="165" fontId="0" fillId="2" borderId="1" xfId="0" applyNumberFormat="1" applyFill="1" applyBorder="1"/>
    <xf numFmtId="165" fontId="0" fillId="0" borderId="1" xfId="0" applyNumberFormat="1" applyBorder="1" applyAlignment="1">
      <alignment horizontal="right" vertical="top"/>
    </xf>
    <xf numFmtId="165" fontId="2" fillId="0" borderId="1" xfId="0" applyNumberFormat="1" applyFont="1" applyBorder="1"/>
    <xf numFmtId="170" fontId="1" fillId="0" borderId="0" xfId="1" applyNumberFormat="1" applyFont="1" applyFill="1" applyBorder="1" applyAlignment="1">
      <alignment horizontal="right"/>
    </xf>
    <xf numFmtId="169" fontId="1" fillId="0" borderId="0" xfId="3" applyNumberFormat="1" applyFont="1" applyFill="1" applyBorder="1"/>
    <xf numFmtId="170" fontId="1" fillId="0" borderId="0" xfId="1" applyNumberFormat="1" applyFont="1" applyFill="1" applyBorder="1"/>
    <xf numFmtId="166" fontId="0" fillId="0" borderId="5" xfId="0" applyNumberFormat="1" applyBorder="1"/>
    <xf numFmtId="166" fontId="0" fillId="0" borderId="5" xfId="1" applyNumberFormat="1" applyFont="1" applyFill="1" applyBorder="1"/>
    <xf numFmtId="166" fontId="1" fillId="5" borderId="5" xfId="1" applyNumberFormat="1" applyFont="1" applyFill="1" applyBorder="1"/>
    <xf numFmtId="166" fontId="1" fillId="5" borderId="5" xfId="0" applyNumberFormat="1" applyFont="1" applyFill="1" applyBorder="1"/>
    <xf numFmtId="166" fontId="7" fillId="0" borderId="5" xfId="1" applyNumberFormat="1" applyFont="1" applyFill="1" applyBorder="1"/>
    <xf numFmtId="166" fontId="0" fillId="5" borderId="5" xfId="1" applyNumberFormat="1" applyFont="1" applyFill="1" applyBorder="1"/>
    <xf numFmtId="0" fontId="8" fillId="5" borderId="5" xfId="2" applyFill="1" applyBorder="1" applyAlignment="1">
      <alignment horizontal="center"/>
    </xf>
    <xf numFmtId="0" fontId="8" fillId="5" borderId="5" xfId="2" quotePrefix="1" applyFill="1" applyBorder="1" applyAlignment="1">
      <alignment horizontal="center"/>
    </xf>
    <xf numFmtId="166" fontId="8" fillId="5" borderId="5" xfId="2" applyNumberFormat="1" applyFill="1" applyBorder="1" applyAlignment="1">
      <alignment horizontal="center"/>
    </xf>
    <xf numFmtId="0" fontId="1" fillId="0" borderId="0" xfId="0" applyFont="1" applyAlignment="1">
      <alignment horizontal="center"/>
    </xf>
    <xf numFmtId="0" fontId="3" fillId="3" borderId="0" xfId="0" applyFont="1" applyFill="1" applyAlignment="1">
      <alignment horizontal="center"/>
    </xf>
    <xf numFmtId="0" fontId="3" fillId="3" borderId="15" xfId="0" applyFont="1" applyFill="1" applyBorder="1" applyAlignment="1">
      <alignment horizontal="center"/>
    </xf>
    <xf numFmtId="0" fontId="9" fillId="3" borderId="5" xfId="0" applyFont="1" applyFill="1" applyBorder="1" applyAlignment="1">
      <alignment horizontal="center"/>
    </xf>
    <xf numFmtId="0" fontId="1" fillId="5" borderId="10" xfId="0" applyFont="1" applyFill="1" applyBorder="1" applyAlignment="1">
      <alignment horizontal="center"/>
    </xf>
    <xf numFmtId="0" fontId="1" fillId="5" borderId="12" xfId="0" applyFont="1" applyFill="1" applyBorder="1" applyAlignment="1">
      <alignment horizontal="center"/>
    </xf>
    <xf numFmtId="0" fontId="1" fillId="5" borderId="11" xfId="0" applyFont="1" applyFill="1" applyBorder="1" applyAlignment="1">
      <alignment horizontal="center"/>
    </xf>
    <xf numFmtId="0" fontId="3" fillId="3" borderId="10" xfId="0" applyFont="1" applyFill="1" applyBorder="1" applyAlignment="1">
      <alignment horizontal="center"/>
    </xf>
    <xf numFmtId="0" fontId="3" fillId="3" borderId="12" xfId="0" applyFont="1" applyFill="1" applyBorder="1" applyAlignment="1">
      <alignment horizontal="center"/>
    </xf>
    <xf numFmtId="0" fontId="3" fillId="3" borderId="11" xfId="0" applyFont="1" applyFill="1" applyBorder="1" applyAlignment="1">
      <alignment horizontal="center"/>
    </xf>
    <xf numFmtId="0" fontId="3" fillId="3" borderId="5" xfId="0" applyFont="1" applyFill="1" applyBorder="1" applyAlignment="1">
      <alignment horizontal="center"/>
    </xf>
    <xf numFmtId="0" fontId="0" fillId="0" borderId="0" xfId="0" applyNumberFormat="1"/>
    <xf numFmtId="166" fontId="0" fillId="0" borderId="0" xfId="0" applyNumberFormat="1"/>
  </cellXfs>
  <cellStyles count="4">
    <cellStyle name="Currency" xfId="1" builtinId="4"/>
    <cellStyle name="Hyperlink" xfId="2" builtinId="8"/>
    <cellStyle name="Normal" xfId="0" builtinId="0"/>
    <cellStyle name="Percent" xfId="3" builtinId="5"/>
  </cellStyles>
  <dxfs count="19">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3" tint="0.59999389629810485"/>
        </patternFill>
      </fill>
    </dxf>
    <dxf>
      <fill>
        <patternFill patternType="solid">
          <bgColor theme="4" tint="0.79998168889431442"/>
        </patternFill>
      </fill>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colors>
    <mruColors>
      <color rgb="FFFFEF9C"/>
      <color rgb="FFF3F7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pivotCacheDefinition" Target="pivotCache/pivotCacheDefinition1.xml"/><Relationship Id="rId47" Type="http://schemas.openxmlformats.org/officeDocument/2006/relationships/pivotCacheDefinition" Target="pivotCache/pivotCacheDefinition6.xml"/><Relationship Id="rId50" Type="http://schemas.openxmlformats.org/officeDocument/2006/relationships/sharedStrings" Target="sharedStrings.xml"/><Relationship Id="rId55"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pivotCacheDefinition" Target="pivotCache/pivotCacheDefinition4.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pivotCacheDefinition" Target="pivotCache/pivotCacheDefinition3.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pivotCacheDefinition" Target="pivotCache/pivotCacheDefinition2.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sheetMetadata" Target="metadata.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pivotCacheDefinition" Target="pivotCache/pivotCacheDefinition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0"/>
              <a:t>2024 BA Monthly Hours Worked by Shift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1"/>
          <c:tx>
            <c:strRef>
              <c:f>'Dashboard - Monthly'!$C$2</c:f>
              <c:strCache>
                <c:ptCount val="1"/>
                <c:pt idx="0">
                  <c:v>Classes</c:v>
                </c:pt>
              </c:strCache>
            </c:strRef>
          </c:tx>
          <c:spPr>
            <a:solidFill>
              <a:schemeClr val="accent2"/>
            </a:solidFill>
            <a:ln>
              <a:noFill/>
            </a:ln>
            <a:effectLst/>
          </c:spPr>
          <c:invertIfNegative val="0"/>
          <c:dLbls>
            <c:delete val="1"/>
          </c:dLbls>
          <c:cat>
            <c:strRef>
              <c:f>'Dashboard - Monthly'!$A$3:$A$14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 - Monthly'!$C$3:$C$14</c:f>
              <c:numCache>
                <c:formatCode>General</c:formatCode>
                <c:ptCount val="12"/>
                <c:pt idx="0">
                  <c:v>181.25</c:v>
                </c:pt>
                <c:pt idx="1">
                  <c:v>203.25</c:v>
                </c:pt>
                <c:pt idx="2">
                  <c:v>188</c:v>
                </c:pt>
                <c:pt idx="3">
                  <c:v>178</c:v>
                </c:pt>
                <c:pt idx="4">
                  <c:v>193</c:v>
                </c:pt>
                <c:pt idx="5">
                  <c:v>284.5</c:v>
                </c:pt>
                <c:pt idx="6">
                  <c:v>221.75</c:v>
                </c:pt>
                <c:pt idx="7">
                  <c:v>236.5</c:v>
                </c:pt>
                <c:pt idx="8">
                  <c:v>209.5</c:v>
                </c:pt>
                <c:pt idx="9">
                  <c:v>253.5</c:v>
                </c:pt>
                <c:pt idx="10">
                  <c:v>201</c:v>
                </c:pt>
                <c:pt idx="11">
                  <c:v>166.5</c:v>
                </c:pt>
              </c:numCache>
            </c:numRef>
          </c:val>
          <c:extLst>
            <c:ext xmlns:c16="http://schemas.microsoft.com/office/drawing/2014/chart" uri="{C3380CC4-5D6E-409C-BE32-E72D297353CC}">
              <c16:uniqueId val="{00000000-16DB-49C4-A4A0-4575D71E797C}"/>
            </c:ext>
          </c:extLst>
        </c:ser>
        <c:ser>
          <c:idx val="2"/>
          <c:order val="2"/>
          <c:tx>
            <c:strRef>
              <c:f>'Dashboard - Monthly'!$D$2</c:f>
              <c:strCache>
                <c:ptCount val="1"/>
                <c:pt idx="0">
                  <c:v>Rental</c:v>
                </c:pt>
              </c:strCache>
            </c:strRef>
          </c:tx>
          <c:spPr>
            <a:solidFill>
              <a:schemeClr val="accent3"/>
            </a:solidFill>
            <a:ln>
              <a:noFill/>
            </a:ln>
            <a:effectLst/>
          </c:spPr>
          <c:invertIfNegative val="0"/>
          <c:dLbls>
            <c:delete val="1"/>
          </c:dLbls>
          <c:cat>
            <c:strRef>
              <c:f>'Dashboard - Monthly'!$A$3:$A$14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 - Monthly'!$D$3:$D$14</c:f>
              <c:numCache>
                <c:formatCode>General</c:formatCode>
                <c:ptCount val="12"/>
                <c:pt idx="0">
                  <c:v>119.75</c:v>
                </c:pt>
                <c:pt idx="1">
                  <c:v>100.5</c:v>
                </c:pt>
                <c:pt idx="2">
                  <c:v>174</c:v>
                </c:pt>
                <c:pt idx="3">
                  <c:v>134.5</c:v>
                </c:pt>
                <c:pt idx="4">
                  <c:v>76.5</c:v>
                </c:pt>
                <c:pt idx="5">
                  <c:v>218</c:v>
                </c:pt>
                <c:pt idx="6">
                  <c:v>146.5</c:v>
                </c:pt>
                <c:pt idx="7">
                  <c:v>128.5</c:v>
                </c:pt>
                <c:pt idx="8">
                  <c:v>161</c:v>
                </c:pt>
                <c:pt idx="9">
                  <c:v>133</c:v>
                </c:pt>
                <c:pt idx="10">
                  <c:v>215.5</c:v>
                </c:pt>
                <c:pt idx="11">
                  <c:v>96.5</c:v>
                </c:pt>
              </c:numCache>
            </c:numRef>
          </c:val>
          <c:extLst>
            <c:ext xmlns:c16="http://schemas.microsoft.com/office/drawing/2014/chart" uri="{C3380CC4-5D6E-409C-BE32-E72D297353CC}">
              <c16:uniqueId val="{00000001-16DB-49C4-A4A0-4575D71E797C}"/>
            </c:ext>
          </c:extLst>
        </c:ser>
        <c:ser>
          <c:idx val="3"/>
          <c:order val="3"/>
          <c:tx>
            <c:strRef>
              <c:f>'Dashboard - Monthly'!$E$2</c:f>
              <c:strCache>
                <c:ptCount val="1"/>
                <c:pt idx="0">
                  <c:v>Internal</c:v>
                </c:pt>
              </c:strCache>
            </c:strRef>
          </c:tx>
          <c:spPr>
            <a:solidFill>
              <a:schemeClr val="accent4"/>
            </a:solidFill>
            <a:ln>
              <a:noFill/>
            </a:ln>
            <a:effectLst/>
          </c:spPr>
          <c:invertIfNegative val="0"/>
          <c:dLbls>
            <c:delete val="1"/>
          </c:dLbls>
          <c:cat>
            <c:strRef>
              <c:f>'Dashboard - Monthly'!$A$3:$A$14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 - Monthly'!$E$3:$E$14</c:f>
              <c:numCache>
                <c:formatCode>General</c:formatCode>
                <c:ptCount val="12"/>
                <c:pt idx="0">
                  <c:v>9</c:v>
                </c:pt>
                <c:pt idx="1">
                  <c:v>0</c:v>
                </c:pt>
                <c:pt idx="2">
                  <c:v>13.5</c:v>
                </c:pt>
                <c:pt idx="3">
                  <c:v>0</c:v>
                </c:pt>
                <c:pt idx="4">
                  <c:v>19.999999999999996</c:v>
                </c:pt>
                <c:pt idx="5">
                  <c:v>0</c:v>
                </c:pt>
                <c:pt idx="6">
                  <c:v>0</c:v>
                </c:pt>
                <c:pt idx="7">
                  <c:v>9.5</c:v>
                </c:pt>
                <c:pt idx="8">
                  <c:v>7.5</c:v>
                </c:pt>
                <c:pt idx="9">
                  <c:v>0</c:v>
                </c:pt>
                <c:pt idx="10">
                  <c:v>4.9999999999999991</c:v>
                </c:pt>
                <c:pt idx="11">
                  <c:v>0</c:v>
                </c:pt>
              </c:numCache>
            </c:numRef>
          </c:val>
          <c:extLst>
            <c:ext xmlns:c16="http://schemas.microsoft.com/office/drawing/2014/chart" uri="{C3380CC4-5D6E-409C-BE32-E72D297353CC}">
              <c16:uniqueId val="{00000002-16DB-49C4-A4A0-4575D71E797C}"/>
            </c:ext>
          </c:extLst>
        </c:ser>
        <c:ser>
          <c:idx val="4"/>
          <c:order val="4"/>
          <c:tx>
            <c:strRef>
              <c:f>'Dashboard - Monthly'!$F$2</c:f>
              <c:strCache>
                <c:ptCount val="1"/>
                <c:pt idx="0">
                  <c:v>Special Events</c:v>
                </c:pt>
              </c:strCache>
            </c:strRef>
          </c:tx>
          <c:spPr>
            <a:solidFill>
              <a:schemeClr val="accent5"/>
            </a:solidFill>
            <a:ln>
              <a:noFill/>
            </a:ln>
            <a:effectLst/>
          </c:spPr>
          <c:invertIfNegative val="0"/>
          <c:dLbls>
            <c:delete val="1"/>
          </c:dLbls>
          <c:cat>
            <c:strRef>
              <c:f>'Dashboard - Monthly'!$A$3:$A$14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 - Monthly'!$F$3:$F$14</c:f>
              <c:numCache>
                <c:formatCode>General</c:formatCode>
                <c:ptCount val="12"/>
                <c:pt idx="0">
                  <c:v>23</c:v>
                </c:pt>
                <c:pt idx="1">
                  <c:v>88.5</c:v>
                </c:pt>
                <c:pt idx="2">
                  <c:v>89</c:v>
                </c:pt>
                <c:pt idx="3">
                  <c:v>25</c:v>
                </c:pt>
                <c:pt idx="4">
                  <c:v>84.5</c:v>
                </c:pt>
                <c:pt idx="5">
                  <c:v>98</c:v>
                </c:pt>
                <c:pt idx="6">
                  <c:v>317.5</c:v>
                </c:pt>
                <c:pt idx="7">
                  <c:v>138.5</c:v>
                </c:pt>
                <c:pt idx="8">
                  <c:v>0</c:v>
                </c:pt>
                <c:pt idx="9">
                  <c:v>185</c:v>
                </c:pt>
                <c:pt idx="10">
                  <c:v>70</c:v>
                </c:pt>
                <c:pt idx="11">
                  <c:v>115.5</c:v>
                </c:pt>
              </c:numCache>
            </c:numRef>
          </c:val>
          <c:extLst>
            <c:ext xmlns:c16="http://schemas.microsoft.com/office/drawing/2014/chart" uri="{C3380CC4-5D6E-409C-BE32-E72D297353CC}">
              <c16:uniqueId val="{00000003-16DB-49C4-A4A0-4575D71E797C}"/>
            </c:ext>
          </c:extLst>
        </c:ser>
        <c:dLbls>
          <c:showLegendKey val="0"/>
          <c:showVal val="1"/>
          <c:showCatName val="0"/>
          <c:showSerName val="0"/>
          <c:showPercent val="0"/>
          <c:showBubbleSize val="0"/>
        </c:dLbls>
        <c:gapWidth val="150"/>
        <c:overlap val="100"/>
        <c:axId val="545302536"/>
        <c:axId val="729507336"/>
      </c:barChart>
      <c:lineChart>
        <c:grouping val="standard"/>
        <c:varyColors val="0"/>
        <c:ser>
          <c:idx val="0"/>
          <c:order val="0"/>
          <c:tx>
            <c:strRef>
              <c:f>'Dashboard - Monthly'!$B$2</c:f>
              <c:strCache>
                <c:ptCount val="1"/>
                <c:pt idx="0">
                  <c:v>Hours Worked</c:v>
                </c:pt>
              </c:strCache>
            </c:strRef>
          </c:tx>
          <c:spPr>
            <a:ln w="28575"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 Monthly'!$A$3:$A$14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 - Monthly'!$B$3:$B$14</c:f>
              <c:numCache>
                <c:formatCode>General</c:formatCode>
                <c:ptCount val="12"/>
                <c:pt idx="0">
                  <c:v>333</c:v>
                </c:pt>
                <c:pt idx="1">
                  <c:v>392.25</c:v>
                </c:pt>
                <c:pt idx="2">
                  <c:v>464.5</c:v>
                </c:pt>
                <c:pt idx="3">
                  <c:v>337.5</c:v>
                </c:pt>
                <c:pt idx="4">
                  <c:v>374</c:v>
                </c:pt>
                <c:pt idx="5">
                  <c:v>600.5</c:v>
                </c:pt>
                <c:pt idx="6">
                  <c:v>685.75</c:v>
                </c:pt>
                <c:pt idx="7">
                  <c:v>513</c:v>
                </c:pt>
                <c:pt idx="8">
                  <c:v>378</c:v>
                </c:pt>
                <c:pt idx="9">
                  <c:v>571.5</c:v>
                </c:pt>
                <c:pt idx="10">
                  <c:v>491.5</c:v>
                </c:pt>
                <c:pt idx="11">
                  <c:v>378.5</c:v>
                </c:pt>
              </c:numCache>
            </c:numRef>
          </c:val>
          <c:smooth val="0"/>
          <c:extLst>
            <c:ext xmlns:c16="http://schemas.microsoft.com/office/drawing/2014/chart" uri="{C3380CC4-5D6E-409C-BE32-E72D297353CC}">
              <c16:uniqueId val="{00000004-16DB-49C4-A4A0-4575D71E797C}"/>
            </c:ext>
          </c:extLst>
        </c:ser>
        <c:dLbls>
          <c:showLegendKey val="0"/>
          <c:showVal val="0"/>
          <c:showCatName val="0"/>
          <c:showSerName val="0"/>
          <c:showPercent val="0"/>
          <c:showBubbleSize val="0"/>
        </c:dLbls>
        <c:marker val="1"/>
        <c:smooth val="0"/>
        <c:axId val="545302536"/>
        <c:axId val="729507336"/>
      </c:lineChart>
      <c:catAx>
        <c:axId val="545302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507336"/>
        <c:crosses val="autoZero"/>
        <c:auto val="1"/>
        <c:lblAlgn val="ctr"/>
        <c:lblOffset val="100"/>
        <c:noMultiLvlLbl val="0"/>
      </c:catAx>
      <c:valAx>
        <c:axId val="729507336"/>
        <c:scaling>
          <c:orientation val="minMax"/>
          <c:max val="78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Hours Worked (hrs)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302536"/>
        <c:crosses val="autoZero"/>
        <c:crossBetween val="between"/>
      </c:valAx>
      <c:spPr>
        <a:noFill/>
        <a:ln>
          <a:noFill/>
        </a:ln>
        <a:effectLst/>
      </c:spPr>
    </c:plotArea>
    <c:legend>
      <c:legendPos val="b"/>
      <c:legendEntry>
        <c:idx val="4"/>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gradFill>
        <a:gsLst>
          <a:gs pos="1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Shift Type Breakdown – % of Total Hours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2593-4F22-9DF2-41E1EC7685DC}"/>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2593-4F22-9DF2-41E1EC7685DC}"/>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2593-4F22-9DF2-41E1EC7685DC}"/>
              </c:ext>
            </c:extLst>
          </c:dPt>
          <c:dPt>
            <c:idx val="3"/>
            <c:bubble3D val="0"/>
            <c:spPr>
              <a:solidFill>
                <a:schemeClr val="accent5"/>
              </a:solidFill>
              <a:ln w="19050">
                <a:solidFill>
                  <a:schemeClr val="lt1"/>
                </a:solidFill>
              </a:ln>
              <a:effectLst/>
            </c:spPr>
            <c:extLst>
              <c:ext xmlns:c16="http://schemas.microsoft.com/office/drawing/2014/chart" uri="{C3380CC4-5D6E-409C-BE32-E72D297353CC}">
                <c16:uniqueId val="{00000007-2593-4F22-9DF2-41E1EC7685D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 - Monthly'!$C$2:$F$2</c:f>
              <c:strCache>
                <c:ptCount val="4"/>
                <c:pt idx="0">
                  <c:v>Classes</c:v>
                </c:pt>
                <c:pt idx="1">
                  <c:v>Rental</c:v>
                </c:pt>
                <c:pt idx="2">
                  <c:v>Internal</c:v>
                </c:pt>
                <c:pt idx="3">
                  <c:v>Special Events</c:v>
                </c:pt>
              </c:strCache>
            </c:strRef>
          </c:cat>
          <c:val>
            <c:numRef>
              <c:f>'Dashboard - Monthly'!$C$15:$F$15</c:f>
              <c:numCache>
                <c:formatCode>General</c:formatCode>
                <c:ptCount val="4"/>
                <c:pt idx="0">
                  <c:v>2516.75</c:v>
                </c:pt>
                <c:pt idx="1">
                  <c:v>1704.25</c:v>
                </c:pt>
                <c:pt idx="2">
                  <c:v>64.5</c:v>
                </c:pt>
                <c:pt idx="3">
                  <c:v>1234.5</c:v>
                </c:pt>
              </c:numCache>
            </c:numRef>
          </c:val>
          <c:extLst>
            <c:ext xmlns:c16="http://schemas.microsoft.com/office/drawing/2014/chart" uri="{C3380CC4-5D6E-409C-BE32-E72D297353CC}">
              <c16:uniqueId val="{00000008-2593-4F22-9DF2-41E1EC7685DC}"/>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Shift Type Breakdown by Building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 ShiftTypeBreakdown'!$L$4</c:f>
              <c:strCache>
                <c:ptCount val="1"/>
                <c:pt idx="0">
                  <c:v>Classes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 ShiftTypeBreakdown'!$M$3:$Q$3</c:f>
              <c:strCache>
                <c:ptCount val="5"/>
                <c:pt idx="0">
                  <c:v>Adobe</c:v>
                </c:pt>
                <c:pt idx="1">
                  <c:v>Sal Cracolice</c:v>
                </c:pt>
                <c:pt idx="2">
                  <c:v>Community Center</c:v>
                </c:pt>
                <c:pt idx="3">
                  <c:v>Senior Center</c:v>
                </c:pt>
                <c:pt idx="4">
                  <c:v>Sports Center</c:v>
                </c:pt>
              </c:strCache>
            </c:strRef>
          </c:cat>
          <c:val>
            <c:numRef>
              <c:f>'Dashboard - ShiftTypeBreakdown'!$M$4:$Q$4</c:f>
              <c:numCache>
                <c:formatCode>General</c:formatCode>
                <c:ptCount val="5"/>
                <c:pt idx="0">
                  <c:v>23.5</c:v>
                </c:pt>
                <c:pt idx="1">
                  <c:v>123</c:v>
                </c:pt>
                <c:pt idx="2">
                  <c:v>433.25</c:v>
                </c:pt>
                <c:pt idx="3">
                  <c:v>1933</c:v>
                </c:pt>
                <c:pt idx="4">
                  <c:v>3.9999999999999991</c:v>
                </c:pt>
              </c:numCache>
            </c:numRef>
          </c:val>
          <c:extLst>
            <c:ext xmlns:c16="http://schemas.microsoft.com/office/drawing/2014/chart" uri="{C3380CC4-5D6E-409C-BE32-E72D297353CC}">
              <c16:uniqueId val="{00000000-7389-46C8-9870-008D65FBE344}"/>
            </c:ext>
          </c:extLst>
        </c:ser>
        <c:ser>
          <c:idx val="1"/>
          <c:order val="1"/>
          <c:tx>
            <c:strRef>
              <c:f>'Dashboard - ShiftTypeBreakdown'!$L$5</c:f>
              <c:strCache>
                <c:ptCount val="1"/>
                <c:pt idx="0">
                  <c:v>Rental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 ShiftTypeBreakdown'!$M$3:$Q$3</c:f>
              <c:strCache>
                <c:ptCount val="5"/>
                <c:pt idx="0">
                  <c:v>Adobe</c:v>
                </c:pt>
                <c:pt idx="1">
                  <c:v>Sal Cracolice</c:v>
                </c:pt>
                <c:pt idx="2">
                  <c:v>Community Center</c:v>
                </c:pt>
                <c:pt idx="3">
                  <c:v>Senior Center</c:v>
                </c:pt>
                <c:pt idx="4">
                  <c:v>Sports Center</c:v>
                </c:pt>
              </c:strCache>
            </c:strRef>
          </c:cat>
          <c:val>
            <c:numRef>
              <c:f>'Dashboard - ShiftTypeBreakdown'!$M$5:$Q$5</c:f>
              <c:numCache>
                <c:formatCode>General</c:formatCode>
                <c:ptCount val="5"/>
                <c:pt idx="0">
                  <c:v>242</c:v>
                </c:pt>
                <c:pt idx="1">
                  <c:v>138.5</c:v>
                </c:pt>
                <c:pt idx="2">
                  <c:v>653.5</c:v>
                </c:pt>
                <c:pt idx="3">
                  <c:v>637.25</c:v>
                </c:pt>
                <c:pt idx="4">
                  <c:v>4</c:v>
                </c:pt>
              </c:numCache>
            </c:numRef>
          </c:val>
          <c:extLst>
            <c:ext xmlns:c16="http://schemas.microsoft.com/office/drawing/2014/chart" uri="{C3380CC4-5D6E-409C-BE32-E72D297353CC}">
              <c16:uniqueId val="{00000001-7389-46C8-9870-008D65FBE344}"/>
            </c:ext>
          </c:extLst>
        </c:ser>
        <c:ser>
          <c:idx val="2"/>
          <c:order val="2"/>
          <c:tx>
            <c:strRef>
              <c:f>'Dashboard - ShiftTypeBreakdown'!$L$6</c:f>
              <c:strCache>
                <c:ptCount val="1"/>
                <c:pt idx="0">
                  <c:v>Internal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 ShiftTypeBreakdown'!$M$3:$Q$3</c:f>
              <c:strCache>
                <c:ptCount val="5"/>
                <c:pt idx="0">
                  <c:v>Adobe</c:v>
                </c:pt>
                <c:pt idx="1">
                  <c:v>Sal Cracolice</c:v>
                </c:pt>
                <c:pt idx="2">
                  <c:v>Community Center</c:v>
                </c:pt>
                <c:pt idx="3">
                  <c:v>Senior Center</c:v>
                </c:pt>
                <c:pt idx="4">
                  <c:v>Sports Center</c:v>
                </c:pt>
              </c:strCache>
            </c:strRef>
          </c:cat>
          <c:val>
            <c:numRef>
              <c:f>'Dashboard - ShiftTypeBreakdown'!$M$6:$Q$6</c:f>
              <c:numCache>
                <c:formatCode>General</c:formatCode>
                <c:ptCount val="5"/>
                <c:pt idx="0">
                  <c:v>7.5</c:v>
                </c:pt>
                <c:pt idx="2">
                  <c:v>53</c:v>
                </c:pt>
                <c:pt idx="3">
                  <c:v>4</c:v>
                </c:pt>
              </c:numCache>
            </c:numRef>
          </c:val>
          <c:extLst>
            <c:ext xmlns:c16="http://schemas.microsoft.com/office/drawing/2014/chart" uri="{C3380CC4-5D6E-409C-BE32-E72D297353CC}">
              <c16:uniqueId val="{00000002-7389-46C8-9870-008D65FBE344}"/>
            </c:ext>
          </c:extLst>
        </c:ser>
        <c:dLbls>
          <c:showLegendKey val="0"/>
          <c:showVal val="0"/>
          <c:showCatName val="0"/>
          <c:showSerName val="0"/>
          <c:showPercent val="0"/>
          <c:showBubbleSize val="0"/>
        </c:dLbls>
        <c:gapWidth val="20"/>
        <c:overlap val="-27"/>
        <c:axId val="1570941087"/>
        <c:axId val="1570967487"/>
      </c:barChart>
      <c:catAx>
        <c:axId val="157094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967487"/>
        <c:crosses val="autoZero"/>
        <c:auto val="1"/>
        <c:lblAlgn val="ctr"/>
        <c:lblOffset val="100"/>
        <c:noMultiLvlLbl val="0"/>
      </c:catAx>
      <c:valAx>
        <c:axId val="1570967487"/>
        <c:scaling>
          <c:orientation val="minMax"/>
          <c:max val="2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Allocated</a:t>
                </a:r>
                <a:r>
                  <a:rPr lang="en-US" baseline="0"/>
                  <a:t> Hours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941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Special Events Above Average Hours – 2024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'Dashboard - Monthly'!$C$42</c:f>
              <c:strCache>
                <c:ptCount val="1"/>
                <c:pt idx="0">
                  <c:v>Hours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 Monthly'!$B$43:$B$53</c:f>
              <c:strCache>
                <c:ptCount val="11"/>
                <c:pt idx="0">
                  <c:v>4th Of July</c:v>
                </c:pt>
                <c:pt idx="1">
                  <c:v>Stage Riser</c:v>
                </c:pt>
                <c:pt idx="2">
                  <c:v>Tree Lighting</c:v>
                </c:pt>
                <c:pt idx="3">
                  <c:v>Lunar New Year</c:v>
                </c:pt>
                <c:pt idx="4">
                  <c:v>Flag Raising</c:v>
                </c:pt>
                <c:pt idx="5">
                  <c:v>Movie Night</c:v>
                </c:pt>
                <c:pt idx="6">
                  <c:v>Lantern Festival</c:v>
                </c:pt>
                <c:pt idx="7">
                  <c:v>Family Game Night</c:v>
                </c:pt>
                <c:pt idx="8">
                  <c:v>Haunted House Assistance</c:v>
                </c:pt>
                <c:pt idx="9">
                  <c:v>Pumpkins in the Park</c:v>
                </c:pt>
                <c:pt idx="10">
                  <c:v>Family Campout</c:v>
                </c:pt>
              </c:strCache>
            </c:strRef>
          </c:cat>
          <c:val>
            <c:numRef>
              <c:f>'Dashboard - Monthly'!$C$43:$C$53</c:f>
              <c:numCache>
                <c:formatCode>General</c:formatCode>
                <c:ptCount val="11"/>
                <c:pt idx="0">
                  <c:v>239.5</c:v>
                </c:pt>
                <c:pt idx="1">
                  <c:v>152</c:v>
                </c:pt>
                <c:pt idx="2">
                  <c:v>111.5</c:v>
                </c:pt>
                <c:pt idx="3">
                  <c:v>92.5</c:v>
                </c:pt>
                <c:pt idx="4">
                  <c:v>66.5</c:v>
                </c:pt>
                <c:pt idx="5">
                  <c:v>57</c:v>
                </c:pt>
                <c:pt idx="6">
                  <c:v>53.5</c:v>
                </c:pt>
                <c:pt idx="7">
                  <c:v>43</c:v>
                </c:pt>
                <c:pt idx="8">
                  <c:v>41</c:v>
                </c:pt>
                <c:pt idx="9">
                  <c:v>40</c:v>
                </c:pt>
                <c:pt idx="10">
                  <c:v>34</c:v>
                </c:pt>
              </c:numCache>
            </c:numRef>
          </c:val>
          <c:extLst>
            <c:ext xmlns:c16="http://schemas.microsoft.com/office/drawing/2014/chart" uri="{C3380CC4-5D6E-409C-BE32-E72D297353CC}">
              <c16:uniqueId val="{00000000-02AF-462A-AA41-1D5FCDAD5B99}"/>
            </c:ext>
          </c:extLst>
        </c:ser>
        <c:dLbls>
          <c:showLegendKey val="0"/>
          <c:showVal val="0"/>
          <c:showCatName val="0"/>
          <c:showSerName val="0"/>
          <c:showPercent val="0"/>
          <c:showBubbleSize val="0"/>
        </c:dLbls>
        <c:gapWidth val="50"/>
        <c:overlap val="100"/>
        <c:axId val="32225152"/>
        <c:axId val="32225632"/>
      </c:barChart>
      <c:catAx>
        <c:axId val="32225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25632"/>
        <c:crosses val="autoZero"/>
        <c:auto val="1"/>
        <c:lblAlgn val="ctr"/>
        <c:lblOffset val="100"/>
        <c:noMultiLvlLbl val="0"/>
      </c:catAx>
      <c:valAx>
        <c:axId val="32225632"/>
        <c:scaling>
          <c:orientation val="minMax"/>
          <c:max val="25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25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2024 Actual vs 2025 Projected: Budget</a:t>
            </a:r>
            <a:endParaRPr lang="en-US"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Drafts'!$B$222</c:f>
              <c:strCache>
                <c:ptCount val="1"/>
                <c:pt idx="0">
                  <c:v>Grand Total</c:v>
                </c:pt>
              </c:strCache>
            </c:strRef>
          </c:tx>
          <c:spPr>
            <a:solidFill>
              <a:schemeClr val="accent3"/>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3-032D-44F5-A3E4-BD4EB175CD6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2-032D-44F5-A3E4-BD4EB175CD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Drafts'!$C$221:$E$221</c:f>
              <c:strCache>
                <c:ptCount val="3"/>
                <c:pt idx="0">
                  <c:v>2024 Budget</c:v>
                </c:pt>
                <c:pt idx="1">
                  <c:v>2025 Projected Budget</c:v>
                </c:pt>
                <c:pt idx="2">
                  <c:v>Change</c:v>
                </c:pt>
              </c:strCache>
            </c:strRef>
          </c:cat>
          <c:val>
            <c:numRef>
              <c:f>'Dashboard Drafts'!$C$222:$E$222</c:f>
              <c:numCache>
                <c:formatCode>_("$"* #,##0.00_);_("$"* \(#,##0.00\);_("$"* "-"??_);_(@_)</c:formatCode>
                <c:ptCount val="3"/>
                <c:pt idx="0">
                  <c:v>115941</c:v>
                </c:pt>
                <c:pt idx="1">
                  <c:v>114933</c:v>
                </c:pt>
                <c:pt idx="2" formatCode="&quot;$&quot;#,##0.00">
                  <c:v>1008</c:v>
                </c:pt>
              </c:numCache>
            </c:numRef>
          </c:val>
          <c:extLst>
            <c:ext xmlns:c16="http://schemas.microsoft.com/office/drawing/2014/chart" uri="{C3380CC4-5D6E-409C-BE32-E72D297353CC}">
              <c16:uniqueId val="{00000000-032D-44F5-A3E4-BD4EB175CD6E}"/>
            </c:ext>
          </c:extLst>
        </c:ser>
        <c:dLbls>
          <c:showLegendKey val="0"/>
          <c:showVal val="0"/>
          <c:showCatName val="0"/>
          <c:showSerName val="0"/>
          <c:showPercent val="0"/>
          <c:showBubbleSize val="0"/>
        </c:dLbls>
        <c:gapWidth val="219"/>
        <c:overlap val="-27"/>
        <c:axId val="405552144"/>
        <c:axId val="405547880"/>
      </c:barChart>
      <c:catAx>
        <c:axId val="405552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Budget</a:t>
                </a:r>
                <a:r>
                  <a:rPr lang="en-US" baseline="0"/>
                  <a:t> Year &amp; Change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547880"/>
        <c:crosses val="autoZero"/>
        <c:auto val="1"/>
        <c:lblAlgn val="ctr"/>
        <c:lblOffset val="100"/>
        <c:noMultiLvlLbl val="0"/>
      </c:catAx>
      <c:valAx>
        <c:axId val="405547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Budget ($)</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552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2024 Actual vs 2025 Projected: Budget by Month</a:t>
            </a:r>
            <a:endParaRPr lang="en-US"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Drafts'!$M$221</c:f>
              <c:strCache>
                <c:ptCount val="1"/>
                <c:pt idx="0">
                  <c:v>2024 Budget</c:v>
                </c:pt>
              </c:strCache>
            </c:strRef>
          </c:tx>
          <c:spPr>
            <a:solidFill>
              <a:schemeClr val="accent1"/>
            </a:solidFill>
            <a:ln>
              <a:noFill/>
            </a:ln>
            <a:effectLst/>
          </c:spPr>
          <c:invertIfNegative val="0"/>
          <c:cat>
            <c:strRef>
              <c:f>'Dashboard Drafts'!$L$222:$L$233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 Drafts'!$M$222:$M$233</c:f>
              <c:numCache>
                <c:formatCode>General</c:formatCode>
                <c:ptCount val="12"/>
                <c:pt idx="0">
                  <c:v>6993</c:v>
                </c:pt>
                <c:pt idx="1">
                  <c:v>8237.25</c:v>
                </c:pt>
                <c:pt idx="2">
                  <c:v>9754.5</c:v>
                </c:pt>
                <c:pt idx="3">
                  <c:v>7087.5</c:v>
                </c:pt>
                <c:pt idx="4">
                  <c:v>7875</c:v>
                </c:pt>
                <c:pt idx="5">
                  <c:v>12610.5</c:v>
                </c:pt>
                <c:pt idx="6">
                  <c:v>14400.75</c:v>
                </c:pt>
                <c:pt idx="7">
                  <c:v>10773</c:v>
                </c:pt>
                <c:pt idx="8">
                  <c:v>7938</c:v>
                </c:pt>
                <c:pt idx="9">
                  <c:v>12001.5</c:v>
                </c:pt>
                <c:pt idx="10">
                  <c:v>10321.5</c:v>
                </c:pt>
                <c:pt idx="11">
                  <c:v>7948.5</c:v>
                </c:pt>
              </c:numCache>
            </c:numRef>
          </c:val>
          <c:extLst>
            <c:ext xmlns:c16="http://schemas.microsoft.com/office/drawing/2014/chart" uri="{C3380CC4-5D6E-409C-BE32-E72D297353CC}">
              <c16:uniqueId val="{00000000-5D29-4C5A-82CB-557FD880A967}"/>
            </c:ext>
          </c:extLst>
        </c:ser>
        <c:ser>
          <c:idx val="1"/>
          <c:order val="1"/>
          <c:tx>
            <c:strRef>
              <c:f>'Dashboard Drafts'!$N$221</c:f>
              <c:strCache>
                <c:ptCount val="1"/>
                <c:pt idx="0">
                  <c:v>2025 Projected Budget</c:v>
                </c:pt>
              </c:strCache>
            </c:strRef>
          </c:tx>
          <c:spPr>
            <a:solidFill>
              <a:schemeClr val="accent2"/>
            </a:solidFill>
            <a:ln>
              <a:noFill/>
            </a:ln>
            <a:effectLst/>
          </c:spPr>
          <c:invertIfNegative val="0"/>
          <c:cat>
            <c:strRef>
              <c:f>'Dashboard Drafts'!$L$222:$L$233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 Drafts'!$N$222:$N$233</c:f>
              <c:numCache>
                <c:formatCode>General</c:formatCode>
                <c:ptCount val="12"/>
                <c:pt idx="0">
                  <c:v>6195</c:v>
                </c:pt>
                <c:pt idx="1">
                  <c:v>7901.25</c:v>
                </c:pt>
                <c:pt idx="2">
                  <c:v>9292.5</c:v>
                </c:pt>
                <c:pt idx="3">
                  <c:v>6331.5</c:v>
                </c:pt>
                <c:pt idx="4">
                  <c:v>7917</c:v>
                </c:pt>
                <c:pt idx="5">
                  <c:v>13408.5</c:v>
                </c:pt>
                <c:pt idx="6">
                  <c:v>15282.75</c:v>
                </c:pt>
                <c:pt idx="7">
                  <c:v>10983</c:v>
                </c:pt>
                <c:pt idx="8">
                  <c:v>7056</c:v>
                </c:pt>
                <c:pt idx="9">
                  <c:v>11875.5</c:v>
                </c:pt>
                <c:pt idx="10">
                  <c:v>10195.5</c:v>
                </c:pt>
                <c:pt idx="11">
                  <c:v>8494.5</c:v>
                </c:pt>
              </c:numCache>
            </c:numRef>
          </c:val>
          <c:extLst>
            <c:ext xmlns:c16="http://schemas.microsoft.com/office/drawing/2014/chart" uri="{C3380CC4-5D6E-409C-BE32-E72D297353CC}">
              <c16:uniqueId val="{00000001-5D29-4C5A-82CB-557FD880A967}"/>
            </c:ext>
          </c:extLst>
        </c:ser>
        <c:ser>
          <c:idx val="2"/>
          <c:order val="2"/>
          <c:tx>
            <c:strRef>
              <c:f>'Dashboard Drafts'!$O$221</c:f>
              <c:strCache>
                <c:ptCount val="1"/>
                <c:pt idx="0">
                  <c:v>Change</c:v>
                </c:pt>
              </c:strCache>
            </c:strRef>
          </c:tx>
          <c:spPr>
            <a:solidFill>
              <a:schemeClr val="accent3"/>
            </a:solidFill>
            <a:ln>
              <a:noFill/>
            </a:ln>
            <a:effectLst/>
          </c:spPr>
          <c:invertIfNegative val="0"/>
          <c:cat>
            <c:strRef>
              <c:f>'Dashboard Drafts'!$L$222:$L$233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 Drafts'!$O$222:$O$233</c:f>
              <c:numCache>
                <c:formatCode>General</c:formatCode>
                <c:ptCount val="12"/>
                <c:pt idx="0">
                  <c:v>798</c:v>
                </c:pt>
                <c:pt idx="1">
                  <c:v>336</c:v>
                </c:pt>
                <c:pt idx="2">
                  <c:v>462</c:v>
                </c:pt>
                <c:pt idx="3">
                  <c:v>756</c:v>
                </c:pt>
                <c:pt idx="4">
                  <c:v>42</c:v>
                </c:pt>
                <c:pt idx="5">
                  <c:v>798</c:v>
                </c:pt>
                <c:pt idx="6">
                  <c:v>882</c:v>
                </c:pt>
                <c:pt idx="7">
                  <c:v>210</c:v>
                </c:pt>
                <c:pt idx="8">
                  <c:v>882</c:v>
                </c:pt>
                <c:pt idx="9">
                  <c:v>126</c:v>
                </c:pt>
                <c:pt idx="10">
                  <c:v>126</c:v>
                </c:pt>
                <c:pt idx="11">
                  <c:v>546</c:v>
                </c:pt>
              </c:numCache>
            </c:numRef>
          </c:val>
          <c:extLst>
            <c:ext xmlns:c16="http://schemas.microsoft.com/office/drawing/2014/chart" uri="{C3380CC4-5D6E-409C-BE32-E72D297353CC}">
              <c16:uniqueId val="{00000002-5D29-4C5A-82CB-557FD880A967}"/>
            </c:ext>
          </c:extLst>
        </c:ser>
        <c:dLbls>
          <c:showLegendKey val="0"/>
          <c:showVal val="0"/>
          <c:showCatName val="0"/>
          <c:showSerName val="0"/>
          <c:showPercent val="0"/>
          <c:showBubbleSize val="0"/>
        </c:dLbls>
        <c:gapWidth val="219"/>
        <c:overlap val="-27"/>
        <c:axId val="686424200"/>
        <c:axId val="686419280"/>
      </c:barChart>
      <c:catAx>
        <c:axId val="686424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Monthly Budget Breakdown: 2024 vs 2025 Projected</a:t>
                </a:r>
                <a:endParaRPr lang="en-US" sz="1000">
                  <a:effectLst/>
                </a:endParaRPr>
              </a:p>
            </c:rich>
          </c:tx>
          <c:layout>
            <c:manualLayout>
              <c:xMode val="edge"/>
              <c:yMode val="edge"/>
              <c:x val="0.29975167687372412"/>
              <c:y val="0.9047214020122483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419280"/>
        <c:crosses val="autoZero"/>
        <c:auto val="1"/>
        <c:lblAlgn val="ctr"/>
        <c:lblOffset val="100"/>
        <c:noMultiLvlLbl val="0"/>
      </c:catAx>
      <c:valAx>
        <c:axId val="686419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Budget  ($)</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424200"/>
        <c:crosses val="autoZero"/>
        <c:crossBetween val="between"/>
      </c:valAx>
      <c:spPr>
        <a:noFill/>
        <a:ln>
          <a:noFill/>
        </a:ln>
        <a:effectLst/>
      </c:spPr>
    </c:plotArea>
    <c:legend>
      <c:legendPos val="b"/>
      <c:layout>
        <c:manualLayout>
          <c:xMode val="edge"/>
          <c:yMode val="edge"/>
          <c:x val="0.1980379119276757"/>
          <c:y val="0.81539288057742787"/>
          <c:w val="0.59280347433879266"/>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Extended Weekday</a:t>
            </a:r>
            <a:r>
              <a:rPr lang="en-US" baseline="0"/>
              <a:t> Shift Hours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E2BE-4600-BD69-BEDA29DDC167}"/>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2-E2BE-4600-BD69-BEDA29DDC167}"/>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BE-4600-BD69-BEDA29DDC167}"/>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BE-4600-BD69-BEDA29DDC167}"/>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BE-4600-BD69-BEDA29DDC16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 Projected Dashboard'!$F$83:$H$83</c:f>
              <c:strCache>
                <c:ptCount val="3"/>
                <c:pt idx="0">
                  <c:v>2024 Budget</c:v>
                </c:pt>
                <c:pt idx="1">
                  <c:v>2025 Project Budget</c:v>
                </c:pt>
                <c:pt idx="2">
                  <c:v>Change</c:v>
                </c:pt>
              </c:strCache>
            </c:strRef>
          </c:cat>
          <c:val>
            <c:numRef>
              <c:f>'2025 Projected Dashboard'!$F$96:$H$96</c:f>
              <c:numCache>
                <c:formatCode>"$"#,##0.00</c:formatCode>
                <c:ptCount val="3"/>
                <c:pt idx="0">
                  <c:v>75348</c:v>
                </c:pt>
                <c:pt idx="1">
                  <c:v>87958.5</c:v>
                </c:pt>
                <c:pt idx="2">
                  <c:v>12610.5</c:v>
                </c:pt>
              </c:numCache>
            </c:numRef>
          </c:val>
          <c:extLst>
            <c:ext xmlns:c16="http://schemas.microsoft.com/office/drawing/2014/chart" uri="{C3380CC4-5D6E-409C-BE32-E72D297353CC}">
              <c16:uniqueId val="{00000000-E2BE-4600-BD69-BEDA29DDC167}"/>
            </c:ext>
          </c:extLst>
        </c:ser>
        <c:dLbls>
          <c:showLegendKey val="0"/>
          <c:showVal val="0"/>
          <c:showCatName val="0"/>
          <c:showSerName val="0"/>
          <c:showPercent val="0"/>
          <c:showBubbleSize val="0"/>
        </c:dLbls>
        <c:gapWidth val="219"/>
        <c:overlap val="-27"/>
        <c:axId val="1345027551"/>
        <c:axId val="1345014111"/>
      </c:barChart>
      <c:catAx>
        <c:axId val="1345027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Budget Year</a:t>
                </a:r>
                <a:r>
                  <a:rPr lang="en-US" baseline="0"/>
                  <a:t> &amp; Change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014111"/>
        <c:crosses val="autoZero"/>
        <c:auto val="1"/>
        <c:lblAlgn val="ctr"/>
        <c:lblOffset val="100"/>
        <c:noMultiLvlLbl val="0"/>
      </c:catAx>
      <c:valAx>
        <c:axId val="1345014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Budget</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027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Senior</a:t>
            </a:r>
            <a:r>
              <a:rPr lang="en-US" baseline="0"/>
              <a:t> Center Lunch Program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1B5E-4A2A-9B3B-06ADA427F0B0}"/>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2-1B5E-4A2A-9B3B-06ADA427F0B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Sheet1!$E$1:$G$1</c:f>
              <c:strCache>
                <c:ptCount val="3"/>
                <c:pt idx="0">
                  <c:v>2024 Budget</c:v>
                </c:pt>
                <c:pt idx="1">
                  <c:v>2025 Project Budget</c:v>
                </c:pt>
                <c:pt idx="2">
                  <c:v>Change</c:v>
                </c:pt>
              </c:strCache>
            </c:strRef>
          </c:cat>
          <c:val>
            <c:numRef>
              <c:f>Sheet1!$E$2:$G$2</c:f>
              <c:numCache>
                <c:formatCode>"$"#,##0.00</c:formatCode>
                <c:ptCount val="3"/>
                <c:pt idx="0">
                  <c:v>40593</c:v>
                </c:pt>
                <c:pt idx="1">
                  <c:v>27111</c:v>
                </c:pt>
                <c:pt idx="2">
                  <c:v>13482</c:v>
                </c:pt>
              </c:numCache>
            </c:numRef>
          </c:val>
          <c:extLst>
            <c:ext xmlns:c16="http://schemas.microsoft.com/office/drawing/2014/chart" uri="{C3380CC4-5D6E-409C-BE32-E72D297353CC}">
              <c16:uniqueId val="{00000000-1B5E-4A2A-9B3B-06ADA427F0B0}"/>
            </c:ext>
          </c:extLst>
        </c:ser>
        <c:dLbls>
          <c:showLegendKey val="0"/>
          <c:showVal val="0"/>
          <c:showCatName val="0"/>
          <c:showSerName val="0"/>
          <c:showPercent val="0"/>
          <c:showBubbleSize val="0"/>
        </c:dLbls>
        <c:gapWidth val="219"/>
        <c:overlap val="-27"/>
        <c:axId val="1345018431"/>
        <c:axId val="1345030431"/>
      </c:barChart>
      <c:catAx>
        <c:axId val="1345018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Budget</a:t>
                </a:r>
                <a:r>
                  <a:rPr lang="en-US" baseline="0"/>
                  <a:t> Year &amp; Change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030431"/>
        <c:crosses val="autoZero"/>
        <c:auto val="1"/>
        <c:lblAlgn val="ctr"/>
        <c:lblOffset val="100"/>
        <c:noMultiLvlLbl val="0"/>
      </c:catAx>
      <c:valAx>
        <c:axId val="13450304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Budget</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018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Sheet1!$E$1:$G$1</c:f>
              <c:strCache>
                <c:ptCount val="3"/>
                <c:pt idx="0">
                  <c:v>2024 Budget</c:v>
                </c:pt>
                <c:pt idx="1">
                  <c:v>2025 Project Budget</c:v>
                </c:pt>
                <c:pt idx="2">
                  <c:v>Change</c:v>
                </c:pt>
              </c:strCache>
            </c:strRef>
          </c:cat>
          <c:val>
            <c:numRef>
              <c:f>Sheet1!$E$2:$G$2</c:f>
              <c:numCache>
                <c:formatCode>"$"#,##0.00</c:formatCode>
                <c:ptCount val="3"/>
                <c:pt idx="0">
                  <c:v>40593</c:v>
                </c:pt>
                <c:pt idx="1">
                  <c:v>27111</c:v>
                </c:pt>
                <c:pt idx="2">
                  <c:v>13482</c:v>
                </c:pt>
              </c:numCache>
            </c:numRef>
          </c:val>
          <c:extLst>
            <c:ext xmlns:c16="http://schemas.microsoft.com/office/drawing/2014/chart" uri="{C3380CC4-5D6E-409C-BE32-E72D297353CC}">
              <c16:uniqueId val="{00000000-7BB3-4855-915C-EEC9948CC2B8}"/>
            </c:ext>
          </c:extLst>
        </c:ser>
        <c:dLbls>
          <c:showLegendKey val="0"/>
          <c:showVal val="0"/>
          <c:showCatName val="0"/>
          <c:showSerName val="0"/>
          <c:showPercent val="0"/>
          <c:showBubbleSize val="0"/>
        </c:dLbls>
        <c:gapWidth val="219"/>
        <c:overlap val="-27"/>
        <c:axId val="1345018431"/>
        <c:axId val="1345030431"/>
      </c:barChart>
      <c:catAx>
        <c:axId val="134501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030431"/>
        <c:crosses val="autoZero"/>
        <c:auto val="1"/>
        <c:lblAlgn val="ctr"/>
        <c:lblOffset val="100"/>
        <c:noMultiLvlLbl val="0"/>
      </c:catAx>
      <c:valAx>
        <c:axId val="13450304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018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'Dashboard Drafts'!$B$2</c:f>
              <c:strCache>
                <c:ptCount val="1"/>
                <c:pt idx="0">
                  <c:v>AD Classes</c:v>
                </c:pt>
              </c:strCache>
            </c:strRef>
          </c:tx>
          <c:spPr>
            <a:solidFill>
              <a:schemeClr val="accent1"/>
            </a:solidFill>
            <a:ln>
              <a:noFill/>
            </a:ln>
            <a:effectLst/>
          </c:spPr>
          <c:invertIfNegative val="0"/>
          <c:cat>
            <c:strRef>
              <c:f>'Dashboard Drafts'!$A$3:$A$14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Drafts'!$B$3:$B$14</c:f>
              <c:numCache>
                <c:formatCode>General</c:formatCode>
                <c:ptCount val="12"/>
                <c:pt idx="1">
                  <c:v>4.9999999999999982</c:v>
                </c:pt>
                <c:pt idx="4">
                  <c:v>6</c:v>
                </c:pt>
                <c:pt idx="5">
                  <c:v>5</c:v>
                </c:pt>
                <c:pt idx="7">
                  <c:v>7.5</c:v>
                </c:pt>
              </c:numCache>
            </c:numRef>
          </c:val>
          <c:extLst>
            <c:ext xmlns:c16="http://schemas.microsoft.com/office/drawing/2014/chart" uri="{C3380CC4-5D6E-409C-BE32-E72D297353CC}">
              <c16:uniqueId val="{000000C2-1FE1-4029-9811-2F121A5C5579}"/>
            </c:ext>
          </c:extLst>
        </c:ser>
        <c:ser>
          <c:idx val="1"/>
          <c:order val="1"/>
          <c:tx>
            <c:strRef>
              <c:f>'Dashboard Drafts'!$C$2</c:f>
              <c:strCache>
                <c:ptCount val="1"/>
                <c:pt idx="0">
                  <c:v>AD Internal</c:v>
                </c:pt>
              </c:strCache>
            </c:strRef>
          </c:tx>
          <c:spPr>
            <a:solidFill>
              <a:schemeClr val="accent2"/>
            </a:solidFill>
            <a:ln>
              <a:noFill/>
            </a:ln>
            <a:effectLst/>
          </c:spPr>
          <c:invertIfNegative val="0"/>
          <c:cat>
            <c:strRef>
              <c:f>'Dashboard Drafts'!$A$3:$A$14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Drafts'!$C$3:$C$14</c:f>
              <c:numCache>
                <c:formatCode>General</c:formatCode>
                <c:ptCount val="12"/>
                <c:pt idx="8">
                  <c:v>7.5</c:v>
                </c:pt>
              </c:numCache>
            </c:numRef>
          </c:val>
          <c:extLst>
            <c:ext xmlns:c16="http://schemas.microsoft.com/office/drawing/2014/chart" uri="{C3380CC4-5D6E-409C-BE32-E72D297353CC}">
              <c16:uniqueId val="{000000C4-1FE1-4029-9811-2F121A5C5579}"/>
            </c:ext>
          </c:extLst>
        </c:ser>
        <c:ser>
          <c:idx val="2"/>
          <c:order val="2"/>
          <c:tx>
            <c:strRef>
              <c:f>'Dashboard Drafts'!$D$2</c:f>
              <c:strCache>
                <c:ptCount val="1"/>
                <c:pt idx="0">
                  <c:v>AD Rental</c:v>
                </c:pt>
              </c:strCache>
            </c:strRef>
          </c:tx>
          <c:spPr>
            <a:solidFill>
              <a:schemeClr val="accent3"/>
            </a:solidFill>
            <a:ln>
              <a:noFill/>
            </a:ln>
            <a:effectLst/>
          </c:spPr>
          <c:invertIfNegative val="0"/>
          <c:cat>
            <c:strRef>
              <c:f>'Dashboard Drafts'!$A$3:$A$14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Drafts'!$D$3:$D$14</c:f>
              <c:numCache>
                <c:formatCode>General</c:formatCode>
                <c:ptCount val="12"/>
                <c:pt idx="1">
                  <c:v>6.5000000000000018</c:v>
                </c:pt>
                <c:pt idx="2">
                  <c:v>17.5</c:v>
                </c:pt>
                <c:pt idx="3">
                  <c:v>23.5</c:v>
                </c:pt>
                <c:pt idx="4">
                  <c:v>12.499999999999998</c:v>
                </c:pt>
                <c:pt idx="5">
                  <c:v>57.5</c:v>
                </c:pt>
                <c:pt idx="6">
                  <c:v>26.499999999999996</c:v>
                </c:pt>
                <c:pt idx="7">
                  <c:v>18</c:v>
                </c:pt>
                <c:pt idx="8">
                  <c:v>41</c:v>
                </c:pt>
                <c:pt idx="9">
                  <c:v>13</c:v>
                </c:pt>
                <c:pt idx="10">
                  <c:v>26</c:v>
                </c:pt>
              </c:numCache>
            </c:numRef>
          </c:val>
          <c:extLst>
            <c:ext xmlns:c16="http://schemas.microsoft.com/office/drawing/2014/chart" uri="{C3380CC4-5D6E-409C-BE32-E72D297353CC}">
              <c16:uniqueId val="{000000C6-1FE1-4029-9811-2F121A5C5579}"/>
            </c:ext>
          </c:extLst>
        </c:ser>
        <c:ser>
          <c:idx val="3"/>
          <c:order val="3"/>
          <c:tx>
            <c:strRef>
              <c:f>'Dashboard Drafts'!$E$2</c:f>
              <c:strCache>
                <c:ptCount val="1"/>
                <c:pt idx="0">
                  <c:v>CRAC Classes</c:v>
                </c:pt>
              </c:strCache>
            </c:strRef>
          </c:tx>
          <c:spPr>
            <a:solidFill>
              <a:schemeClr val="accent4"/>
            </a:solidFill>
            <a:ln>
              <a:noFill/>
            </a:ln>
            <a:effectLst/>
          </c:spPr>
          <c:invertIfNegative val="0"/>
          <c:cat>
            <c:strRef>
              <c:f>'Dashboard Drafts'!$A$3:$A$14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Drafts'!$E$3:$E$14</c:f>
              <c:numCache>
                <c:formatCode>General</c:formatCode>
                <c:ptCount val="12"/>
                <c:pt idx="1">
                  <c:v>4</c:v>
                </c:pt>
                <c:pt idx="5">
                  <c:v>79</c:v>
                </c:pt>
                <c:pt idx="6">
                  <c:v>8</c:v>
                </c:pt>
                <c:pt idx="8">
                  <c:v>3.5000000000000009</c:v>
                </c:pt>
                <c:pt idx="10">
                  <c:v>14.500000000000002</c:v>
                </c:pt>
                <c:pt idx="11">
                  <c:v>14</c:v>
                </c:pt>
              </c:numCache>
            </c:numRef>
          </c:val>
          <c:extLst>
            <c:ext xmlns:c16="http://schemas.microsoft.com/office/drawing/2014/chart" uri="{C3380CC4-5D6E-409C-BE32-E72D297353CC}">
              <c16:uniqueId val="{000000C8-1FE1-4029-9811-2F121A5C5579}"/>
            </c:ext>
          </c:extLst>
        </c:ser>
        <c:ser>
          <c:idx val="4"/>
          <c:order val="4"/>
          <c:tx>
            <c:strRef>
              <c:f>'Dashboard Drafts'!$F$2</c:f>
              <c:strCache>
                <c:ptCount val="1"/>
                <c:pt idx="0">
                  <c:v>CRAC Rental</c:v>
                </c:pt>
              </c:strCache>
            </c:strRef>
          </c:tx>
          <c:spPr>
            <a:solidFill>
              <a:schemeClr val="accent5"/>
            </a:solidFill>
            <a:ln>
              <a:noFill/>
            </a:ln>
            <a:effectLst/>
          </c:spPr>
          <c:invertIfNegative val="0"/>
          <c:cat>
            <c:strRef>
              <c:f>'Dashboard Drafts'!$A$3:$A$14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Drafts'!$F$3:$F$14</c:f>
              <c:numCache>
                <c:formatCode>General</c:formatCode>
                <c:ptCount val="12"/>
                <c:pt idx="0">
                  <c:v>10</c:v>
                </c:pt>
                <c:pt idx="2">
                  <c:v>21</c:v>
                </c:pt>
                <c:pt idx="3">
                  <c:v>12</c:v>
                </c:pt>
                <c:pt idx="4">
                  <c:v>4.9999999999999982</c:v>
                </c:pt>
                <c:pt idx="5">
                  <c:v>15.5</c:v>
                </c:pt>
                <c:pt idx="6">
                  <c:v>7.5</c:v>
                </c:pt>
                <c:pt idx="7">
                  <c:v>12.5</c:v>
                </c:pt>
                <c:pt idx="8">
                  <c:v>3.4999999999999996</c:v>
                </c:pt>
                <c:pt idx="9">
                  <c:v>14.5</c:v>
                </c:pt>
                <c:pt idx="10">
                  <c:v>24</c:v>
                </c:pt>
                <c:pt idx="11">
                  <c:v>13</c:v>
                </c:pt>
              </c:numCache>
            </c:numRef>
          </c:val>
          <c:extLst>
            <c:ext xmlns:c16="http://schemas.microsoft.com/office/drawing/2014/chart" uri="{C3380CC4-5D6E-409C-BE32-E72D297353CC}">
              <c16:uniqueId val="{000000CA-1FE1-4029-9811-2F121A5C5579}"/>
            </c:ext>
          </c:extLst>
        </c:ser>
        <c:ser>
          <c:idx val="5"/>
          <c:order val="5"/>
          <c:tx>
            <c:strRef>
              <c:f>'Dashboard Drafts'!$G$2</c:f>
              <c:strCache>
                <c:ptCount val="1"/>
                <c:pt idx="0">
                  <c:v>MCC Classes</c:v>
                </c:pt>
              </c:strCache>
            </c:strRef>
          </c:tx>
          <c:spPr>
            <a:solidFill>
              <a:schemeClr val="accent6"/>
            </a:solidFill>
            <a:ln>
              <a:noFill/>
            </a:ln>
            <a:effectLst/>
          </c:spPr>
          <c:invertIfNegative val="0"/>
          <c:cat>
            <c:strRef>
              <c:f>'Dashboard Drafts'!$A$3:$A$14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Drafts'!$G$3:$G$14</c:f>
              <c:numCache>
                <c:formatCode>General</c:formatCode>
                <c:ptCount val="12"/>
                <c:pt idx="0">
                  <c:v>6.9999999999999991</c:v>
                </c:pt>
                <c:pt idx="1">
                  <c:v>37.5</c:v>
                </c:pt>
                <c:pt idx="2">
                  <c:v>18</c:v>
                </c:pt>
                <c:pt idx="3">
                  <c:v>17</c:v>
                </c:pt>
                <c:pt idx="4">
                  <c:v>31.5</c:v>
                </c:pt>
                <c:pt idx="5">
                  <c:v>48.500000000000007</c:v>
                </c:pt>
                <c:pt idx="6">
                  <c:v>52.25</c:v>
                </c:pt>
                <c:pt idx="7">
                  <c:v>48</c:v>
                </c:pt>
                <c:pt idx="8">
                  <c:v>37.000000000000007</c:v>
                </c:pt>
                <c:pt idx="9">
                  <c:v>58.5</c:v>
                </c:pt>
                <c:pt idx="10">
                  <c:v>47</c:v>
                </c:pt>
                <c:pt idx="11">
                  <c:v>30.999999999999993</c:v>
                </c:pt>
              </c:numCache>
            </c:numRef>
          </c:val>
          <c:extLst>
            <c:ext xmlns:c16="http://schemas.microsoft.com/office/drawing/2014/chart" uri="{C3380CC4-5D6E-409C-BE32-E72D297353CC}">
              <c16:uniqueId val="{000000CC-1FE1-4029-9811-2F121A5C5579}"/>
            </c:ext>
          </c:extLst>
        </c:ser>
        <c:ser>
          <c:idx val="6"/>
          <c:order val="6"/>
          <c:tx>
            <c:strRef>
              <c:f>'Dashboard Drafts'!$H$2</c:f>
              <c:strCache>
                <c:ptCount val="1"/>
                <c:pt idx="0">
                  <c:v>MCC Classes/Rental</c:v>
                </c:pt>
              </c:strCache>
            </c:strRef>
          </c:tx>
          <c:spPr>
            <a:solidFill>
              <a:schemeClr val="accent1">
                <a:lumMod val="60000"/>
              </a:schemeClr>
            </a:solidFill>
            <a:ln>
              <a:noFill/>
            </a:ln>
            <a:effectLst/>
          </c:spPr>
          <c:invertIfNegative val="0"/>
          <c:cat>
            <c:strRef>
              <c:f>'Dashboard Drafts'!$A$3:$A$14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Drafts'!$H$3:$H$14</c:f>
              <c:numCache>
                <c:formatCode>General</c:formatCode>
                <c:ptCount val="12"/>
                <c:pt idx="5">
                  <c:v>29</c:v>
                </c:pt>
              </c:numCache>
            </c:numRef>
          </c:val>
          <c:extLst>
            <c:ext xmlns:c16="http://schemas.microsoft.com/office/drawing/2014/chart" uri="{C3380CC4-5D6E-409C-BE32-E72D297353CC}">
              <c16:uniqueId val="{000000CE-1FE1-4029-9811-2F121A5C5579}"/>
            </c:ext>
          </c:extLst>
        </c:ser>
        <c:ser>
          <c:idx val="7"/>
          <c:order val="7"/>
          <c:tx>
            <c:strRef>
              <c:f>'Dashboard Drafts'!$I$2</c:f>
              <c:strCache>
                <c:ptCount val="1"/>
                <c:pt idx="0">
                  <c:v>MCC Internal</c:v>
                </c:pt>
              </c:strCache>
            </c:strRef>
          </c:tx>
          <c:spPr>
            <a:solidFill>
              <a:schemeClr val="accent2">
                <a:lumMod val="60000"/>
              </a:schemeClr>
            </a:solidFill>
            <a:ln>
              <a:noFill/>
            </a:ln>
            <a:effectLst/>
          </c:spPr>
          <c:invertIfNegative val="0"/>
          <c:cat>
            <c:strRef>
              <c:f>'Dashboard Drafts'!$A$3:$A$14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Drafts'!$I$3:$I$14</c:f>
              <c:numCache>
                <c:formatCode>General</c:formatCode>
                <c:ptCount val="12"/>
                <c:pt idx="2">
                  <c:v>13.5</c:v>
                </c:pt>
                <c:pt idx="4">
                  <c:v>15.999999999999998</c:v>
                </c:pt>
                <c:pt idx="7">
                  <c:v>9.5</c:v>
                </c:pt>
                <c:pt idx="10">
                  <c:v>4.9999999999999991</c:v>
                </c:pt>
              </c:numCache>
            </c:numRef>
          </c:val>
          <c:extLst>
            <c:ext xmlns:c16="http://schemas.microsoft.com/office/drawing/2014/chart" uri="{C3380CC4-5D6E-409C-BE32-E72D297353CC}">
              <c16:uniqueId val="{000000D0-1FE1-4029-9811-2F121A5C5579}"/>
            </c:ext>
          </c:extLst>
        </c:ser>
        <c:ser>
          <c:idx val="8"/>
          <c:order val="8"/>
          <c:tx>
            <c:strRef>
              <c:f>'Dashboard Drafts'!$J$2</c:f>
              <c:strCache>
                <c:ptCount val="1"/>
                <c:pt idx="0">
                  <c:v>MCC Internal Rental</c:v>
                </c:pt>
              </c:strCache>
            </c:strRef>
          </c:tx>
          <c:spPr>
            <a:solidFill>
              <a:schemeClr val="accent3">
                <a:lumMod val="60000"/>
              </a:schemeClr>
            </a:solidFill>
            <a:ln>
              <a:noFill/>
            </a:ln>
            <a:effectLst/>
          </c:spPr>
          <c:invertIfNegative val="0"/>
          <c:cat>
            <c:strRef>
              <c:f>'Dashboard Drafts'!$A$3:$A$14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Drafts'!$J$3:$J$14</c:f>
              <c:numCache>
                <c:formatCode>General</c:formatCode>
                <c:ptCount val="12"/>
                <c:pt idx="0">
                  <c:v>9</c:v>
                </c:pt>
              </c:numCache>
            </c:numRef>
          </c:val>
          <c:extLst>
            <c:ext xmlns:c16="http://schemas.microsoft.com/office/drawing/2014/chart" uri="{C3380CC4-5D6E-409C-BE32-E72D297353CC}">
              <c16:uniqueId val="{000000D2-1FE1-4029-9811-2F121A5C5579}"/>
            </c:ext>
          </c:extLst>
        </c:ser>
        <c:ser>
          <c:idx val="9"/>
          <c:order val="9"/>
          <c:tx>
            <c:strRef>
              <c:f>'Dashboard Drafts'!$K$2</c:f>
              <c:strCache>
                <c:ptCount val="1"/>
                <c:pt idx="0">
                  <c:v>MCC Rental</c:v>
                </c:pt>
              </c:strCache>
            </c:strRef>
          </c:tx>
          <c:spPr>
            <a:solidFill>
              <a:schemeClr val="accent4">
                <a:lumMod val="60000"/>
              </a:schemeClr>
            </a:solidFill>
            <a:ln>
              <a:noFill/>
            </a:ln>
            <a:effectLst/>
          </c:spPr>
          <c:invertIfNegative val="0"/>
          <c:cat>
            <c:strRef>
              <c:f>'Dashboard Drafts'!$A$3:$A$14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Drafts'!$K$3:$K$14</c:f>
              <c:numCache>
                <c:formatCode>General</c:formatCode>
                <c:ptCount val="12"/>
                <c:pt idx="0">
                  <c:v>40.5</c:v>
                </c:pt>
                <c:pt idx="1">
                  <c:v>55.5</c:v>
                </c:pt>
                <c:pt idx="2">
                  <c:v>57</c:v>
                </c:pt>
                <c:pt idx="3">
                  <c:v>62</c:v>
                </c:pt>
                <c:pt idx="4">
                  <c:v>22</c:v>
                </c:pt>
                <c:pt idx="5">
                  <c:v>63.5</c:v>
                </c:pt>
                <c:pt idx="6">
                  <c:v>54.5</c:v>
                </c:pt>
                <c:pt idx="7">
                  <c:v>53.500000000000007</c:v>
                </c:pt>
                <c:pt idx="8">
                  <c:v>57.5</c:v>
                </c:pt>
                <c:pt idx="9">
                  <c:v>35.5</c:v>
                </c:pt>
                <c:pt idx="10">
                  <c:v>97.5</c:v>
                </c:pt>
                <c:pt idx="11">
                  <c:v>54.5</c:v>
                </c:pt>
              </c:numCache>
            </c:numRef>
          </c:val>
          <c:extLst>
            <c:ext xmlns:c16="http://schemas.microsoft.com/office/drawing/2014/chart" uri="{C3380CC4-5D6E-409C-BE32-E72D297353CC}">
              <c16:uniqueId val="{000000D4-1FE1-4029-9811-2F121A5C5579}"/>
            </c:ext>
          </c:extLst>
        </c:ser>
        <c:ser>
          <c:idx val="10"/>
          <c:order val="10"/>
          <c:tx>
            <c:strRef>
              <c:f>'Dashboard Drafts'!$L$2</c:f>
              <c:strCache>
                <c:ptCount val="1"/>
                <c:pt idx="0">
                  <c:v>MSC Classes</c:v>
                </c:pt>
              </c:strCache>
            </c:strRef>
          </c:tx>
          <c:spPr>
            <a:solidFill>
              <a:schemeClr val="accent5">
                <a:lumMod val="60000"/>
              </a:schemeClr>
            </a:solidFill>
            <a:ln>
              <a:noFill/>
            </a:ln>
            <a:effectLst/>
          </c:spPr>
          <c:invertIfNegative val="0"/>
          <c:cat>
            <c:strRef>
              <c:f>'Dashboard Drafts'!$A$3:$A$14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Drafts'!$L$3:$L$14</c:f>
              <c:numCache>
                <c:formatCode>General</c:formatCode>
                <c:ptCount val="12"/>
                <c:pt idx="5">
                  <c:v>3.9999999999999991</c:v>
                </c:pt>
              </c:numCache>
            </c:numRef>
          </c:val>
          <c:extLst>
            <c:ext xmlns:c16="http://schemas.microsoft.com/office/drawing/2014/chart" uri="{C3380CC4-5D6E-409C-BE32-E72D297353CC}">
              <c16:uniqueId val="{000000D6-1FE1-4029-9811-2F121A5C5579}"/>
            </c:ext>
          </c:extLst>
        </c:ser>
        <c:ser>
          <c:idx val="11"/>
          <c:order val="11"/>
          <c:tx>
            <c:strRef>
              <c:f>'Dashboard Drafts'!$M$2</c:f>
              <c:strCache>
                <c:ptCount val="1"/>
                <c:pt idx="0">
                  <c:v>MSC Rental</c:v>
                </c:pt>
              </c:strCache>
            </c:strRef>
          </c:tx>
          <c:spPr>
            <a:solidFill>
              <a:schemeClr val="accent6">
                <a:lumMod val="60000"/>
              </a:schemeClr>
            </a:solidFill>
            <a:ln>
              <a:noFill/>
            </a:ln>
            <a:effectLst/>
          </c:spPr>
          <c:invertIfNegative val="0"/>
          <c:cat>
            <c:strRef>
              <c:f>'Dashboard Drafts'!$A$3:$A$14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Drafts'!$M$3:$M$14</c:f>
              <c:numCache>
                <c:formatCode>General</c:formatCode>
                <c:ptCount val="12"/>
                <c:pt idx="9">
                  <c:v>4.0000000000000018</c:v>
                </c:pt>
              </c:numCache>
            </c:numRef>
          </c:val>
          <c:extLst>
            <c:ext xmlns:c16="http://schemas.microsoft.com/office/drawing/2014/chart" uri="{C3380CC4-5D6E-409C-BE32-E72D297353CC}">
              <c16:uniqueId val="{000000D8-1FE1-4029-9811-2F121A5C5579}"/>
            </c:ext>
          </c:extLst>
        </c:ser>
        <c:ser>
          <c:idx val="12"/>
          <c:order val="12"/>
          <c:tx>
            <c:strRef>
              <c:f>'Dashboard Drafts'!$N$2</c:f>
              <c:strCache>
                <c:ptCount val="1"/>
                <c:pt idx="0">
                  <c:v>MSRC Classes</c:v>
                </c:pt>
              </c:strCache>
            </c:strRef>
          </c:tx>
          <c:spPr>
            <a:solidFill>
              <a:schemeClr val="accent1">
                <a:lumMod val="80000"/>
                <a:lumOff val="20000"/>
              </a:schemeClr>
            </a:solidFill>
            <a:ln>
              <a:noFill/>
            </a:ln>
            <a:effectLst/>
          </c:spPr>
          <c:invertIfNegative val="0"/>
          <c:cat>
            <c:strRef>
              <c:f>'Dashboard Drafts'!$A$3:$A$14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Drafts'!$N$3:$N$14</c:f>
              <c:numCache>
                <c:formatCode>General</c:formatCode>
                <c:ptCount val="12"/>
                <c:pt idx="0">
                  <c:v>174.25</c:v>
                </c:pt>
                <c:pt idx="1">
                  <c:v>156.75</c:v>
                </c:pt>
                <c:pt idx="2">
                  <c:v>170</c:v>
                </c:pt>
                <c:pt idx="3">
                  <c:v>161</c:v>
                </c:pt>
                <c:pt idx="4">
                  <c:v>155.5</c:v>
                </c:pt>
                <c:pt idx="5">
                  <c:v>148.00000000000003</c:v>
                </c:pt>
                <c:pt idx="6">
                  <c:v>161.5</c:v>
                </c:pt>
                <c:pt idx="7">
                  <c:v>181</c:v>
                </c:pt>
                <c:pt idx="8">
                  <c:v>169</c:v>
                </c:pt>
                <c:pt idx="9">
                  <c:v>195</c:v>
                </c:pt>
                <c:pt idx="10">
                  <c:v>139.5</c:v>
                </c:pt>
                <c:pt idx="11">
                  <c:v>121.5</c:v>
                </c:pt>
              </c:numCache>
            </c:numRef>
          </c:val>
          <c:extLst>
            <c:ext xmlns:c16="http://schemas.microsoft.com/office/drawing/2014/chart" uri="{C3380CC4-5D6E-409C-BE32-E72D297353CC}">
              <c16:uniqueId val="{000000DA-1FE1-4029-9811-2F121A5C5579}"/>
            </c:ext>
          </c:extLst>
        </c:ser>
        <c:ser>
          <c:idx val="13"/>
          <c:order val="13"/>
          <c:tx>
            <c:strRef>
              <c:f>'Dashboard Drafts'!$O$2</c:f>
              <c:strCache>
                <c:ptCount val="1"/>
                <c:pt idx="0">
                  <c:v>MSRC Internal Rental</c:v>
                </c:pt>
              </c:strCache>
            </c:strRef>
          </c:tx>
          <c:spPr>
            <a:solidFill>
              <a:schemeClr val="accent2">
                <a:lumMod val="80000"/>
                <a:lumOff val="20000"/>
              </a:schemeClr>
            </a:solidFill>
            <a:ln>
              <a:noFill/>
            </a:ln>
            <a:effectLst/>
          </c:spPr>
          <c:invertIfNegative val="0"/>
          <c:cat>
            <c:strRef>
              <c:f>'Dashboard Drafts'!$A$3:$A$14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Drafts'!$O$3:$O$14</c:f>
              <c:numCache>
                <c:formatCode>General</c:formatCode>
                <c:ptCount val="12"/>
                <c:pt idx="4">
                  <c:v>3.9999999999999991</c:v>
                </c:pt>
              </c:numCache>
            </c:numRef>
          </c:val>
          <c:extLst>
            <c:ext xmlns:c16="http://schemas.microsoft.com/office/drawing/2014/chart" uri="{C3380CC4-5D6E-409C-BE32-E72D297353CC}">
              <c16:uniqueId val="{000000DC-1FE1-4029-9811-2F121A5C5579}"/>
            </c:ext>
          </c:extLst>
        </c:ser>
        <c:ser>
          <c:idx val="14"/>
          <c:order val="14"/>
          <c:tx>
            <c:strRef>
              <c:f>'Dashboard Drafts'!$P$2</c:f>
              <c:strCache>
                <c:ptCount val="1"/>
                <c:pt idx="0">
                  <c:v>MSRC Rental</c:v>
                </c:pt>
              </c:strCache>
            </c:strRef>
          </c:tx>
          <c:spPr>
            <a:solidFill>
              <a:schemeClr val="accent3">
                <a:lumMod val="80000"/>
                <a:lumOff val="20000"/>
              </a:schemeClr>
            </a:solidFill>
            <a:ln>
              <a:noFill/>
            </a:ln>
            <a:effectLst/>
          </c:spPr>
          <c:invertIfNegative val="0"/>
          <c:cat>
            <c:strRef>
              <c:f>'Dashboard Drafts'!$A$3:$A$14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Drafts'!$P$3:$P$14</c:f>
              <c:numCache>
                <c:formatCode>General</c:formatCode>
                <c:ptCount val="12"/>
                <c:pt idx="0">
                  <c:v>69.25</c:v>
                </c:pt>
                <c:pt idx="1">
                  <c:v>38.5</c:v>
                </c:pt>
                <c:pt idx="2">
                  <c:v>78.5</c:v>
                </c:pt>
                <c:pt idx="3">
                  <c:v>37</c:v>
                </c:pt>
                <c:pt idx="4">
                  <c:v>37</c:v>
                </c:pt>
                <c:pt idx="5">
                  <c:v>52.5</c:v>
                </c:pt>
                <c:pt idx="6">
                  <c:v>58</c:v>
                </c:pt>
                <c:pt idx="7">
                  <c:v>44.5</c:v>
                </c:pt>
                <c:pt idx="8">
                  <c:v>59</c:v>
                </c:pt>
                <c:pt idx="9">
                  <c:v>66</c:v>
                </c:pt>
                <c:pt idx="10">
                  <c:v>68</c:v>
                </c:pt>
                <c:pt idx="11">
                  <c:v>29</c:v>
                </c:pt>
              </c:numCache>
            </c:numRef>
          </c:val>
          <c:extLst>
            <c:ext xmlns:c16="http://schemas.microsoft.com/office/drawing/2014/chart" uri="{C3380CC4-5D6E-409C-BE32-E72D297353CC}">
              <c16:uniqueId val="{000000DE-1FE1-4029-9811-2F121A5C5579}"/>
            </c:ext>
          </c:extLst>
        </c:ser>
        <c:ser>
          <c:idx val="15"/>
          <c:order val="15"/>
          <c:tx>
            <c:strRef>
              <c:f>'Dashboard Drafts'!$Q$2</c:f>
              <c:strCache>
                <c:ptCount val="1"/>
                <c:pt idx="0">
                  <c:v>Special Events</c:v>
                </c:pt>
              </c:strCache>
            </c:strRef>
          </c:tx>
          <c:spPr>
            <a:solidFill>
              <a:schemeClr val="accent4">
                <a:lumMod val="80000"/>
                <a:lumOff val="20000"/>
              </a:schemeClr>
            </a:solidFill>
            <a:ln>
              <a:noFill/>
            </a:ln>
            <a:effectLst/>
          </c:spPr>
          <c:invertIfNegative val="0"/>
          <c:cat>
            <c:strRef>
              <c:f>'Dashboard Drafts'!$A$3:$A$14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Drafts'!$Q$3:$Q$14</c:f>
              <c:numCache>
                <c:formatCode>General</c:formatCode>
                <c:ptCount val="12"/>
                <c:pt idx="0">
                  <c:v>23</c:v>
                </c:pt>
                <c:pt idx="1">
                  <c:v>88.5</c:v>
                </c:pt>
                <c:pt idx="2">
                  <c:v>89</c:v>
                </c:pt>
                <c:pt idx="3">
                  <c:v>25</c:v>
                </c:pt>
                <c:pt idx="4">
                  <c:v>85.5</c:v>
                </c:pt>
                <c:pt idx="5">
                  <c:v>98</c:v>
                </c:pt>
                <c:pt idx="6">
                  <c:v>317.5</c:v>
                </c:pt>
                <c:pt idx="7">
                  <c:v>138.5</c:v>
                </c:pt>
                <c:pt idx="9">
                  <c:v>185</c:v>
                </c:pt>
                <c:pt idx="10">
                  <c:v>70</c:v>
                </c:pt>
                <c:pt idx="11">
                  <c:v>115.5</c:v>
                </c:pt>
              </c:numCache>
            </c:numRef>
          </c:val>
          <c:extLst>
            <c:ext xmlns:c16="http://schemas.microsoft.com/office/drawing/2014/chart" uri="{C3380CC4-5D6E-409C-BE32-E72D297353CC}">
              <c16:uniqueId val="{000000E0-1FE1-4029-9811-2F121A5C5579}"/>
            </c:ext>
          </c:extLst>
        </c:ser>
        <c:dLbls>
          <c:showLegendKey val="0"/>
          <c:showVal val="0"/>
          <c:showCatName val="0"/>
          <c:showSerName val="0"/>
          <c:showPercent val="0"/>
          <c:showBubbleSize val="0"/>
        </c:dLbls>
        <c:gapWidth val="150"/>
        <c:overlap val="100"/>
        <c:axId val="611102215"/>
        <c:axId val="611115015"/>
      </c:barChart>
      <c:catAx>
        <c:axId val="611102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15015"/>
        <c:crosses val="autoZero"/>
        <c:auto val="1"/>
        <c:lblAlgn val="ctr"/>
        <c:lblOffset val="100"/>
        <c:noMultiLvlLbl val="0"/>
      </c:catAx>
      <c:valAx>
        <c:axId val="611115015"/>
        <c:scaling>
          <c:orientation val="minMax"/>
          <c:max val="7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02215"/>
        <c:crosses val="autoZero"/>
        <c:crossBetween val="between"/>
      </c:valAx>
      <c:spPr>
        <a:noFill/>
        <a:ln>
          <a:noFill/>
        </a:ln>
        <a:effectLst/>
      </c:spPr>
    </c:plotArea>
    <c:legend>
      <c:legendPos val="b"/>
      <c:layout>
        <c:manualLayout>
          <c:xMode val="edge"/>
          <c:yMode val="edge"/>
          <c:x val="0.10994764255504332"/>
          <c:y val="0.90947590642586151"/>
          <c:w val="0.83075835769196704"/>
          <c:h val="9.05239677901452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8977412020516714E-2"/>
          <c:y val="0.10741214087164626"/>
          <c:w val="0.87992203036773287"/>
          <c:h val="0.77718240674012806"/>
        </c:manualLayout>
      </c:layout>
      <c:barChart>
        <c:barDir val="bar"/>
        <c:grouping val="stacked"/>
        <c:varyColors val="0"/>
        <c:ser>
          <c:idx val="0"/>
          <c:order val="0"/>
          <c:tx>
            <c:strRef>
              <c:f>'Dashboard Drafts'!$B$34</c:f>
              <c:strCache>
                <c:ptCount val="1"/>
                <c:pt idx="0">
                  <c:v>Classes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Drafts'!$A$35:$A$46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 Drafts'!$B$35:$B$46</c:f>
              <c:numCache>
                <c:formatCode>General</c:formatCode>
                <c:ptCount val="12"/>
                <c:pt idx="0">
                  <c:v>181.25</c:v>
                </c:pt>
                <c:pt idx="1">
                  <c:v>203.25</c:v>
                </c:pt>
                <c:pt idx="2">
                  <c:v>188</c:v>
                </c:pt>
                <c:pt idx="3">
                  <c:v>178</c:v>
                </c:pt>
                <c:pt idx="4">
                  <c:v>193</c:v>
                </c:pt>
                <c:pt idx="5">
                  <c:v>284.5</c:v>
                </c:pt>
                <c:pt idx="6">
                  <c:v>221.75</c:v>
                </c:pt>
                <c:pt idx="7">
                  <c:v>236.5</c:v>
                </c:pt>
                <c:pt idx="8">
                  <c:v>209.5</c:v>
                </c:pt>
                <c:pt idx="9">
                  <c:v>253.5</c:v>
                </c:pt>
                <c:pt idx="10">
                  <c:v>201</c:v>
                </c:pt>
                <c:pt idx="11">
                  <c:v>166.5</c:v>
                </c:pt>
              </c:numCache>
            </c:numRef>
          </c:val>
          <c:extLst>
            <c:ext xmlns:c16="http://schemas.microsoft.com/office/drawing/2014/chart" uri="{C3380CC4-5D6E-409C-BE32-E72D297353CC}">
              <c16:uniqueId val="{00000001-13CF-4469-A8B0-BDE87C2481C3}"/>
            </c:ext>
          </c:extLst>
        </c:ser>
        <c:ser>
          <c:idx val="1"/>
          <c:order val="1"/>
          <c:tx>
            <c:strRef>
              <c:f>'Dashboard Drafts'!$C$34</c:f>
              <c:strCache>
                <c:ptCount val="1"/>
                <c:pt idx="0">
                  <c:v>Rental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Drafts'!$A$35:$A$46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 Drafts'!$C$35:$C$46</c:f>
              <c:numCache>
                <c:formatCode>General</c:formatCode>
                <c:ptCount val="12"/>
                <c:pt idx="0">
                  <c:v>119.75</c:v>
                </c:pt>
                <c:pt idx="1">
                  <c:v>100.5</c:v>
                </c:pt>
                <c:pt idx="2">
                  <c:v>174</c:v>
                </c:pt>
                <c:pt idx="3">
                  <c:v>134.5</c:v>
                </c:pt>
                <c:pt idx="4">
                  <c:v>76.5</c:v>
                </c:pt>
                <c:pt idx="5">
                  <c:v>218</c:v>
                </c:pt>
                <c:pt idx="6">
                  <c:v>146.5</c:v>
                </c:pt>
                <c:pt idx="7">
                  <c:v>128.5</c:v>
                </c:pt>
                <c:pt idx="8">
                  <c:v>161</c:v>
                </c:pt>
                <c:pt idx="9">
                  <c:v>133</c:v>
                </c:pt>
                <c:pt idx="10">
                  <c:v>215.5</c:v>
                </c:pt>
                <c:pt idx="11">
                  <c:v>96.5</c:v>
                </c:pt>
              </c:numCache>
            </c:numRef>
          </c:val>
          <c:extLst>
            <c:ext xmlns:c16="http://schemas.microsoft.com/office/drawing/2014/chart" uri="{C3380CC4-5D6E-409C-BE32-E72D297353CC}">
              <c16:uniqueId val="{00000003-13CF-4469-A8B0-BDE87C2481C3}"/>
            </c:ext>
          </c:extLst>
        </c:ser>
        <c:ser>
          <c:idx val="2"/>
          <c:order val="2"/>
          <c:tx>
            <c:strRef>
              <c:f>'Dashboard Drafts'!$D$34</c:f>
              <c:strCache>
                <c:ptCount val="1"/>
                <c:pt idx="0">
                  <c:v>Internal</c:v>
                </c:pt>
              </c:strCache>
            </c:strRef>
          </c:tx>
          <c:spPr>
            <a:solidFill>
              <a:schemeClr val="accent3"/>
            </a:solidFill>
            <a:ln>
              <a:noFill/>
            </a:ln>
            <a:effectLst/>
          </c:spPr>
          <c:invertIfNegative val="0"/>
          <c:cat>
            <c:strRef>
              <c:f>'Dashboard Drafts'!$A$35:$A$46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 Drafts'!$D$35:$D$46</c:f>
              <c:numCache>
                <c:formatCode>General</c:formatCode>
                <c:ptCount val="12"/>
                <c:pt idx="0">
                  <c:v>9</c:v>
                </c:pt>
                <c:pt idx="1">
                  <c:v>0</c:v>
                </c:pt>
                <c:pt idx="2">
                  <c:v>13.5</c:v>
                </c:pt>
                <c:pt idx="3">
                  <c:v>0</c:v>
                </c:pt>
                <c:pt idx="4">
                  <c:v>19.999999999999996</c:v>
                </c:pt>
                <c:pt idx="5">
                  <c:v>0</c:v>
                </c:pt>
                <c:pt idx="6">
                  <c:v>0</c:v>
                </c:pt>
                <c:pt idx="7">
                  <c:v>9.5</c:v>
                </c:pt>
                <c:pt idx="8">
                  <c:v>7.5</c:v>
                </c:pt>
                <c:pt idx="9">
                  <c:v>0</c:v>
                </c:pt>
                <c:pt idx="10">
                  <c:v>4.9999999999999991</c:v>
                </c:pt>
                <c:pt idx="11">
                  <c:v>0</c:v>
                </c:pt>
              </c:numCache>
            </c:numRef>
          </c:val>
          <c:extLst>
            <c:ext xmlns:c16="http://schemas.microsoft.com/office/drawing/2014/chart" uri="{C3380CC4-5D6E-409C-BE32-E72D297353CC}">
              <c16:uniqueId val="{00000005-13CF-4469-A8B0-BDE87C2481C3}"/>
            </c:ext>
          </c:extLst>
        </c:ser>
        <c:ser>
          <c:idx val="3"/>
          <c:order val="3"/>
          <c:tx>
            <c:strRef>
              <c:f>'Dashboard Drafts'!$E$34</c:f>
              <c:strCache>
                <c:ptCount val="1"/>
                <c:pt idx="0">
                  <c:v>Special Events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Drafts'!$A$35:$A$46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 Drafts'!$E$35:$E$46</c:f>
              <c:numCache>
                <c:formatCode>General</c:formatCode>
                <c:ptCount val="12"/>
                <c:pt idx="0">
                  <c:v>23</c:v>
                </c:pt>
                <c:pt idx="1">
                  <c:v>88.5</c:v>
                </c:pt>
                <c:pt idx="2">
                  <c:v>89</c:v>
                </c:pt>
                <c:pt idx="3">
                  <c:v>25</c:v>
                </c:pt>
                <c:pt idx="4">
                  <c:v>85.5</c:v>
                </c:pt>
                <c:pt idx="5">
                  <c:v>98</c:v>
                </c:pt>
                <c:pt idx="6">
                  <c:v>317.5</c:v>
                </c:pt>
                <c:pt idx="7">
                  <c:v>138.5</c:v>
                </c:pt>
                <c:pt idx="8">
                  <c:v>0</c:v>
                </c:pt>
                <c:pt idx="9">
                  <c:v>185</c:v>
                </c:pt>
                <c:pt idx="10">
                  <c:v>70</c:v>
                </c:pt>
                <c:pt idx="11">
                  <c:v>115.5</c:v>
                </c:pt>
              </c:numCache>
            </c:numRef>
          </c:val>
          <c:extLst>
            <c:ext xmlns:c16="http://schemas.microsoft.com/office/drawing/2014/chart" uri="{C3380CC4-5D6E-409C-BE32-E72D297353CC}">
              <c16:uniqueId val="{00000007-13CF-4469-A8B0-BDE87C2481C3}"/>
            </c:ext>
          </c:extLst>
        </c:ser>
        <c:dLbls>
          <c:showLegendKey val="0"/>
          <c:showVal val="0"/>
          <c:showCatName val="0"/>
          <c:showSerName val="0"/>
          <c:showPercent val="0"/>
          <c:showBubbleSize val="0"/>
        </c:dLbls>
        <c:gapWidth val="150"/>
        <c:overlap val="100"/>
        <c:axId val="173914119"/>
        <c:axId val="173918215"/>
      </c:barChart>
      <c:catAx>
        <c:axId val="173914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18215"/>
        <c:crosses val="autoZero"/>
        <c:auto val="1"/>
        <c:lblAlgn val="ctr"/>
        <c:lblOffset val="100"/>
        <c:noMultiLvlLbl val="0"/>
      </c:catAx>
      <c:valAx>
        <c:axId val="173918215"/>
        <c:scaling>
          <c:orientation val="minMax"/>
          <c:max val="7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14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'Dashboard Drafts'!$A$80</c:f>
              <c:strCache>
                <c:ptCount val="1"/>
                <c:pt idx="0">
                  <c:v>Classes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404-4493-96B0-7DE0E6F301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04-4493-96B0-7DE0E6F301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404-4493-96B0-7DE0E6F301C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404-4493-96B0-7DE0E6F301C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404-4493-96B0-7DE0E6F301CA}"/>
              </c:ext>
            </c:extLst>
          </c:dPt>
          <c:cat>
            <c:strRef>
              <c:f>'Dashboard Drafts'!$B$79:$F$79</c:f>
              <c:strCache>
                <c:ptCount val="5"/>
                <c:pt idx="0">
                  <c:v>AD Classes</c:v>
                </c:pt>
                <c:pt idx="1">
                  <c:v>CRAC Classes</c:v>
                </c:pt>
                <c:pt idx="2">
                  <c:v>MCC Classes</c:v>
                </c:pt>
                <c:pt idx="3">
                  <c:v>MSC Classes</c:v>
                </c:pt>
                <c:pt idx="4">
                  <c:v>MSRC Classes</c:v>
                </c:pt>
              </c:strCache>
            </c:strRef>
          </c:cat>
          <c:val>
            <c:numRef>
              <c:f>'Dashboard Drafts'!$B$80:$F$80</c:f>
              <c:numCache>
                <c:formatCode>General</c:formatCode>
                <c:ptCount val="5"/>
                <c:pt idx="0">
                  <c:v>23.5</c:v>
                </c:pt>
                <c:pt idx="1">
                  <c:v>123</c:v>
                </c:pt>
                <c:pt idx="2">
                  <c:v>433.25</c:v>
                </c:pt>
                <c:pt idx="3">
                  <c:v>3.9999999999999991</c:v>
                </c:pt>
                <c:pt idx="4">
                  <c:v>1933</c:v>
                </c:pt>
              </c:numCache>
            </c:numRef>
          </c:val>
          <c:extLst>
            <c:ext xmlns:c16="http://schemas.microsoft.com/office/drawing/2014/chart" uri="{C3380CC4-5D6E-409C-BE32-E72D297353CC}">
              <c16:uniqueId val="{00000000-6574-4181-B21B-FD686C08A11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'Dashboard Drafts'!$A$83</c:f>
              <c:strCache>
                <c:ptCount val="1"/>
                <c:pt idx="0">
                  <c:v>Rental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0B-432C-A0EC-F462401A82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0B-432C-A0EC-F462401A82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0B-432C-A0EC-F462401A822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E0B-432C-A0EC-F462401A822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E0B-432C-A0EC-F462401A822F}"/>
              </c:ext>
            </c:extLst>
          </c:dPt>
          <c:cat>
            <c:strRef>
              <c:f>'Dashboard Drafts'!$B$82:$F$82</c:f>
              <c:strCache>
                <c:ptCount val="5"/>
                <c:pt idx="0">
                  <c:v>AD Rental</c:v>
                </c:pt>
                <c:pt idx="1">
                  <c:v>CRAC Rental</c:v>
                </c:pt>
                <c:pt idx="2">
                  <c:v>MCC Rental</c:v>
                </c:pt>
                <c:pt idx="3">
                  <c:v>MSC Rental</c:v>
                </c:pt>
                <c:pt idx="4">
                  <c:v>MSRC Rental</c:v>
                </c:pt>
              </c:strCache>
            </c:strRef>
          </c:cat>
          <c:val>
            <c:numRef>
              <c:f>'Dashboard Drafts'!$B$83:$F$83</c:f>
              <c:numCache>
                <c:formatCode>General</c:formatCode>
                <c:ptCount val="5"/>
                <c:pt idx="0">
                  <c:v>242</c:v>
                </c:pt>
                <c:pt idx="1">
                  <c:v>138.5</c:v>
                </c:pt>
                <c:pt idx="2">
                  <c:v>653.5</c:v>
                </c:pt>
                <c:pt idx="3">
                  <c:v>4</c:v>
                </c:pt>
                <c:pt idx="4">
                  <c:v>637.25</c:v>
                </c:pt>
              </c:numCache>
            </c:numRef>
          </c:val>
          <c:extLst>
            <c:ext xmlns:c16="http://schemas.microsoft.com/office/drawing/2014/chart" uri="{C3380CC4-5D6E-409C-BE32-E72D297353CC}">
              <c16:uniqueId val="{00000000-CFA6-4ECB-9E08-036C19F5EE2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'Dashboard Drafts'!$A$86</c:f>
              <c:strCache>
                <c:ptCount val="1"/>
                <c:pt idx="0">
                  <c:v>Internal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A7-46C8-A3CE-A93DFE2BDC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A7-46C8-A3CE-A93DFE2BDCA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A7-46C8-A3CE-A93DFE2BDCA2}"/>
              </c:ext>
            </c:extLst>
          </c:dPt>
          <c:cat>
            <c:strRef>
              <c:f>'Dashboard Drafts'!$B$85:$D$85</c:f>
              <c:strCache>
                <c:ptCount val="3"/>
                <c:pt idx="0">
                  <c:v>AD Internal</c:v>
                </c:pt>
                <c:pt idx="1">
                  <c:v>MCC Internal</c:v>
                </c:pt>
                <c:pt idx="2">
                  <c:v>MSRC Internal Rental</c:v>
                </c:pt>
              </c:strCache>
            </c:strRef>
          </c:cat>
          <c:val>
            <c:numRef>
              <c:f>'Dashboard Drafts'!$B$86:$D$86</c:f>
              <c:numCache>
                <c:formatCode>General</c:formatCode>
                <c:ptCount val="3"/>
                <c:pt idx="0">
                  <c:v>7.5</c:v>
                </c:pt>
                <c:pt idx="1">
                  <c:v>53</c:v>
                </c:pt>
                <c:pt idx="2">
                  <c:v>4</c:v>
                </c:pt>
              </c:numCache>
            </c:numRef>
          </c:val>
          <c:extLst>
            <c:ext xmlns:c16="http://schemas.microsoft.com/office/drawing/2014/chart" uri="{C3380CC4-5D6E-409C-BE32-E72D297353CC}">
              <c16:uniqueId val="{00000000-FCF9-4CB9-9F88-211DEE8F73E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Drafts'!$B$222</c:f>
              <c:strCache>
                <c:ptCount val="1"/>
                <c:pt idx="0">
                  <c:v>Grand Total</c:v>
                </c:pt>
              </c:strCache>
            </c:strRef>
          </c:tx>
          <c:spPr>
            <a:solidFill>
              <a:schemeClr val="accent1"/>
            </a:solidFill>
            <a:ln>
              <a:noFill/>
            </a:ln>
            <a:effectLst/>
          </c:spPr>
          <c:invertIfNegative val="0"/>
          <c:cat>
            <c:strRef>
              <c:f>'Dashboard Drafts'!$C$221:$E$221</c:f>
              <c:strCache>
                <c:ptCount val="3"/>
                <c:pt idx="0">
                  <c:v>2024 Budget</c:v>
                </c:pt>
                <c:pt idx="1">
                  <c:v>2025 Projected Budget</c:v>
                </c:pt>
                <c:pt idx="2">
                  <c:v>Change</c:v>
                </c:pt>
              </c:strCache>
            </c:strRef>
          </c:cat>
          <c:val>
            <c:numRef>
              <c:f>'Dashboard Drafts'!$C$222:$E$222</c:f>
              <c:numCache>
                <c:formatCode>_("$"* #,##0.00_);_("$"* \(#,##0.00\);_("$"* "-"??_);_(@_)</c:formatCode>
                <c:ptCount val="3"/>
                <c:pt idx="0">
                  <c:v>115941</c:v>
                </c:pt>
                <c:pt idx="1">
                  <c:v>114933</c:v>
                </c:pt>
                <c:pt idx="2" formatCode="&quot;$&quot;#,##0.00">
                  <c:v>1008</c:v>
                </c:pt>
              </c:numCache>
            </c:numRef>
          </c:val>
          <c:extLst>
            <c:ext xmlns:c16="http://schemas.microsoft.com/office/drawing/2014/chart" uri="{C3380CC4-5D6E-409C-BE32-E72D297353CC}">
              <c16:uniqueId val="{00000000-AA3D-4653-8AD0-E0830E4A084B}"/>
            </c:ext>
          </c:extLst>
        </c:ser>
        <c:dLbls>
          <c:showLegendKey val="0"/>
          <c:showVal val="0"/>
          <c:showCatName val="0"/>
          <c:showSerName val="0"/>
          <c:showPercent val="0"/>
          <c:showBubbleSize val="0"/>
        </c:dLbls>
        <c:gapWidth val="219"/>
        <c:overlap val="-27"/>
        <c:axId val="405552144"/>
        <c:axId val="405547880"/>
      </c:barChart>
      <c:catAx>
        <c:axId val="40555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547880"/>
        <c:crosses val="autoZero"/>
        <c:auto val="1"/>
        <c:lblAlgn val="ctr"/>
        <c:lblOffset val="100"/>
        <c:noMultiLvlLbl val="0"/>
      </c:catAx>
      <c:valAx>
        <c:axId val="40554788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552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Drafts'!$M$221</c:f>
              <c:strCache>
                <c:ptCount val="1"/>
                <c:pt idx="0">
                  <c:v>2024 Budget</c:v>
                </c:pt>
              </c:strCache>
            </c:strRef>
          </c:tx>
          <c:spPr>
            <a:solidFill>
              <a:schemeClr val="accent1"/>
            </a:solidFill>
            <a:ln>
              <a:noFill/>
            </a:ln>
            <a:effectLst/>
          </c:spPr>
          <c:invertIfNegative val="0"/>
          <c:cat>
            <c:strRef>
              <c:f>'Dashboard Drafts'!$L$222:$L$233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 Drafts'!$M$222:$M$233</c:f>
              <c:numCache>
                <c:formatCode>General</c:formatCode>
                <c:ptCount val="12"/>
                <c:pt idx="0">
                  <c:v>6993</c:v>
                </c:pt>
                <c:pt idx="1">
                  <c:v>8237.25</c:v>
                </c:pt>
                <c:pt idx="2">
                  <c:v>9754.5</c:v>
                </c:pt>
                <c:pt idx="3">
                  <c:v>7087.5</c:v>
                </c:pt>
                <c:pt idx="4">
                  <c:v>7875</c:v>
                </c:pt>
                <c:pt idx="5">
                  <c:v>12610.5</c:v>
                </c:pt>
                <c:pt idx="6">
                  <c:v>14400.75</c:v>
                </c:pt>
                <c:pt idx="7">
                  <c:v>10773</c:v>
                </c:pt>
                <c:pt idx="8">
                  <c:v>7938</c:v>
                </c:pt>
                <c:pt idx="9">
                  <c:v>12001.5</c:v>
                </c:pt>
                <c:pt idx="10">
                  <c:v>10321.5</c:v>
                </c:pt>
                <c:pt idx="11">
                  <c:v>7948.5</c:v>
                </c:pt>
              </c:numCache>
            </c:numRef>
          </c:val>
          <c:extLst>
            <c:ext xmlns:c16="http://schemas.microsoft.com/office/drawing/2014/chart" uri="{C3380CC4-5D6E-409C-BE32-E72D297353CC}">
              <c16:uniqueId val="{00000000-334E-4169-AD85-12990EE750A1}"/>
            </c:ext>
          </c:extLst>
        </c:ser>
        <c:ser>
          <c:idx val="1"/>
          <c:order val="1"/>
          <c:tx>
            <c:strRef>
              <c:f>'Dashboard Drafts'!$N$221</c:f>
              <c:strCache>
                <c:ptCount val="1"/>
                <c:pt idx="0">
                  <c:v>2025 Projected Budget</c:v>
                </c:pt>
              </c:strCache>
            </c:strRef>
          </c:tx>
          <c:spPr>
            <a:solidFill>
              <a:schemeClr val="accent2"/>
            </a:solidFill>
            <a:ln>
              <a:noFill/>
            </a:ln>
            <a:effectLst/>
          </c:spPr>
          <c:invertIfNegative val="0"/>
          <c:cat>
            <c:strRef>
              <c:f>'Dashboard Drafts'!$L$222:$L$233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 Drafts'!$N$222:$N$233</c:f>
              <c:numCache>
                <c:formatCode>General</c:formatCode>
                <c:ptCount val="12"/>
                <c:pt idx="0">
                  <c:v>6195</c:v>
                </c:pt>
                <c:pt idx="1">
                  <c:v>7901.25</c:v>
                </c:pt>
                <c:pt idx="2">
                  <c:v>9292.5</c:v>
                </c:pt>
                <c:pt idx="3">
                  <c:v>6331.5</c:v>
                </c:pt>
                <c:pt idx="4">
                  <c:v>7917</c:v>
                </c:pt>
                <c:pt idx="5">
                  <c:v>13408.5</c:v>
                </c:pt>
                <c:pt idx="6">
                  <c:v>15282.75</c:v>
                </c:pt>
                <c:pt idx="7">
                  <c:v>10983</c:v>
                </c:pt>
                <c:pt idx="8">
                  <c:v>7056</c:v>
                </c:pt>
                <c:pt idx="9">
                  <c:v>11875.5</c:v>
                </c:pt>
                <c:pt idx="10">
                  <c:v>10195.5</c:v>
                </c:pt>
                <c:pt idx="11">
                  <c:v>8494.5</c:v>
                </c:pt>
              </c:numCache>
            </c:numRef>
          </c:val>
          <c:extLst>
            <c:ext xmlns:c16="http://schemas.microsoft.com/office/drawing/2014/chart" uri="{C3380CC4-5D6E-409C-BE32-E72D297353CC}">
              <c16:uniqueId val="{00000001-334E-4169-AD85-12990EE750A1}"/>
            </c:ext>
          </c:extLst>
        </c:ser>
        <c:ser>
          <c:idx val="2"/>
          <c:order val="2"/>
          <c:tx>
            <c:strRef>
              <c:f>'Dashboard Drafts'!$O$221</c:f>
              <c:strCache>
                <c:ptCount val="1"/>
                <c:pt idx="0">
                  <c:v>Change</c:v>
                </c:pt>
              </c:strCache>
            </c:strRef>
          </c:tx>
          <c:spPr>
            <a:solidFill>
              <a:schemeClr val="accent3"/>
            </a:solidFill>
            <a:ln>
              <a:noFill/>
            </a:ln>
            <a:effectLst/>
          </c:spPr>
          <c:invertIfNegative val="0"/>
          <c:cat>
            <c:strRef>
              <c:f>'Dashboard Drafts'!$L$222:$L$233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 Drafts'!$O$222:$O$233</c:f>
              <c:numCache>
                <c:formatCode>General</c:formatCode>
                <c:ptCount val="12"/>
                <c:pt idx="0">
                  <c:v>798</c:v>
                </c:pt>
                <c:pt idx="1">
                  <c:v>336</c:v>
                </c:pt>
                <c:pt idx="2">
                  <c:v>462</c:v>
                </c:pt>
                <c:pt idx="3">
                  <c:v>756</c:v>
                </c:pt>
                <c:pt idx="4">
                  <c:v>42</c:v>
                </c:pt>
                <c:pt idx="5">
                  <c:v>798</c:v>
                </c:pt>
                <c:pt idx="6">
                  <c:v>882</c:v>
                </c:pt>
                <c:pt idx="7">
                  <c:v>210</c:v>
                </c:pt>
                <c:pt idx="8">
                  <c:v>882</c:v>
                </c:pt>
                <c:pt idx="9">
                  <c:v>126</c:v>
                </c:pt>
                <c:pt idx="10">
                  <c:v>126</c:v>
                </c:pt>
                <c:pt idx="11">
                  <c:v>546</c:v>
                </c:pt>
              </c:numCache>
            </c:numRef>
          </c:val>
          <c:extLst>
            <c:ext xmlns:c16="http://schemas.microsoft.com/office/drawing/2014/chart" uri="{C3380CC4-5D6E-409C-BE32-E72D297353CC}">
              <c16:uniqueId val="{00000002-334E-4169-AD85-12990EE750A1}"/>
            </c:ext>
          </c:extLst>
        </c:ser>
        <c:dLbls>
          <c:showLegendKey val="0"/>
          <c:showVal val="0"/>
          <c:showCatName val="0"/>
          <c:showSerName val="0"/>
          <c:showPercent val="0"/>
          <c:showBubbleSize val="0"/>
        </c:dLbls>
        <c:gapWidth val="219"/>
        <c:overlap val="-27"/>
        <c:axId val="686424200"/>
        <c:axId val="686419280"/>
      </c:barChart>
      <c:catAx>
        <c:axId val="686424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419280"/>
        <c:crosses val="autoZero"/>
        <c:auto val="1"/>
        <c:lblAlgn val="ctr"/>
        <c:lblOffset val="100"/>
        <c:noMultiLvlLbl val="0"/>
      </c:catAx>
      <c:valAx>
        <c:axId val="68641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424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'Dashboard Drafts'!$B$239:$D$239</c:f>
              <c:strCache>
                <c:ptCount val="3"/>
                <c:pt idx="0">
                  <c:v>2024 Hours</c:v>
                </c:pt>
                <c:pt idx="1">
                  <c:v>2025 Reduced Shifts (-2hrs)</c:v>
                </c:pt>
                <c:pt idx="2">
                  <c:v>Change</c:v>
                </c:pt>
              </c:strCache>
            </c:strRef>
          </c:cat>
          <c:val>
            <c:numRef>
              <c:f>'Dashboard Drafts'!$B$240:$D$240</c:f>
              <c:numCache>
                <c:formatCode>General</c:formatCode>
                <c:ptCount val="3"/>
                <c:pt idx="0">
                  <c:v>1933</c:v>
                </c:pt>
                <c:pt idx="1">
                  <c:v>1291</c:v>
                </c:pt>
                <c:pt idx="2">
                  <c:v>642</c:v>
                </c:pt>
              </c:numCache>
            </c:numRef>
          </c:val>
          <c:extLst>
            <c:ext xmlns:c16="http://schemas.microsoft.com/office/drawing/2014/chart" uri="{C3380CC4-5D6E-409C-BE32-E72D297353CC}">
              <c16:uniqueId val="{00000000-7242-42B6-8D7F-53D18A443E50}"/>
            </c:ext>
          </c:extLst>
        </c:ser>
        <c:dLbls>
          <c:showLegendKey val="0"/>
          <c:showVal val="0"/>
          <c:showCatName val="0"/>
          <c:showSerName val="0"/>
          <c:showPercent val="0"/>
          <c:showBubbleSize val="0"/>
        </c:dLbls>
        <c:gapWidth val="219"/>
        <c:overlap val="-27"/>
        <c:axId val="519728408"/>
        <c:axId val="519727424"/>
      </c:barChart>
      <c:catAx>
        <c:axId val="519728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727424"/>
        <c:crosses val="autoZero"/>
        <c:auto val="1"/>
        <c:lblAlgn val="ctr"/>
        <c:lblOffset val="100"/>
        <c:noMultiLvlLbl val="0"/>
      </c:catAx>
      <c:valAx>
        <c:axId val="519727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728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'Dashboard Drafts'!$B$243:$D$243</c:f>
              <c:strCache>
                <c:ptCount val="3"/>
                <c:pt idx="0">
                  <c:v>2024 Hours</c:v>
                </c:pt>
                <c:pt idx="1">
                  <c:v>2025 Extended Shifts (+2hrs)</c:v>
                </c:pt>
                <c:pt idx="2">
                  <c:v>Change</c:v>
                </c:pt>
              </c:strCache>
            </c:strRef>
          </c:cat>
          <c:val>
            <c:numRef>
              <c:f>'Dashboard Drafts'!$B$244:$D$244</c:f>
              <c:numCache>
                <c:formatCode>General</c:formatCode>
                <c:ptCount val="3"/>
                <c:pt idx="0">
                  <c:v>3588</c:v>
                </c:pt>
                <c:pt idx="1">
                  <c:v>4182</c:v>
                </c:pt>
                <c:pt idx="2">
                  <c:v>594</c:v>
                </c:pt>
              </c:numCache>
            </c:numRef>
          </c:val>
          <c:extLst>
            <c:ext xmlns:c16="http://schemas.microsoft.com/office/drawing/2014/chart" uri="{C3380CC4-5D6E-409C-BE32-E72D297353CC}">
              <c16:uniqueId val="{00000000-7505-4526-8C75-3C4F3EEE7618}"/>
            </c:ext>
          </c:extLst>
        </c:ser>
        <c:dLbls>
          <c:showLegendKey val="0"/>
          <c:showVal val="0"/>
          <c:showCatName val="0"/>
          <c:showSerName val="0"/>
          <c:showPercent val="0"/>
          <c:showBubbleSize val="0"/>
        </c:dLbls>
        <c:gapWidth val="219"/>
        <c:overlap val="-27"/>
        <c:axId val="669769000"/>
        <c:axId val="669766376"/>
      </c:barChart>
      <c:catAx>
        <c:axId val="669769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766376"/>
        <c:crosses val="autoZero"/>
        <c:auto val="1"/>
        <c:lblAlgn val="ctr"/>
        <c:lblOffset val="100"/>
        <c:noMultiLvlLbl val="0"/>
      </c:catAx>
      <c:valAx>
        <c:axId val="669766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769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2024 Actual vs 2025 Projected: Budget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'2025 Projected'!$B$48</c:f>
              <c:strCache>
                <c:ptCount val="1"/>
                <c:pt idx="0">
                  <c:v>2024 Budget</c:v>
                </c:pt>
              </c:strCache>
            </c:strRef>
          </c:tx>
          <c:spPr>
            <a:solidFill>
              <a:schemeClr val="accent1"/>
            </a:solidFill>
            <a:ln>
              <a:noFill/>
            </a:ln>
            <a:effectLst/>
          </c:spPr>
          <c:invertIfNegative val="0"/>
          <c:cat>
            <c:strRef>
              <c:f>'2025 Projected'!$A$49:$A$60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'2025 Projected'!$B$49:$B$60</c:f>
              <c:numCache>
                <c:formatCode>_("$"* #,##0.00_);_("$"* \(#,##0.00\);_("$"* "-"??_);_(@_)</c:formatCode>
                <c:ptCount val="12"/>
                <c:pt idx="0">
                  <c:v>6993</c:v>
                </c:pt>
                <c:pt idx="1">
                  <c:v>8237.25</c:v>
                </c:pt>
                <c:pt idx="2">
                  <c:v>9754.5</c:v>
                </c:pt>
                <c:pt idx="3">
                  <c:v>7087.5</c:v>
                </c:pt>
                <c:pt idx="4">
                  <c:v>7875</c:v>
                </c:pt>
                <c:pt idx="5">
                  <c:v>12610.5</c:v>
                </c:pt>
                <c:pt idx="6">
                  <c:v>14400.75</c:v>
                </c:pt>
                <c:pt idx="7">
                  <c:v>10773</c:v>
                </c:pt>
                <c:pt idx="8">
                  <c:v>7938</c:v>
                </c:pt>
                <c:pt idx="9">
                  <c:v>12001.5</c:v>
                </c:pt>
                <c:pt idx="10">
                  <c:v>10321.5</c:v>
                </c:pt>
                <c:pt idx="11">
                  <c:v>7948.5</c:v>
                </c:pt>
              </c:numCache>
            </c:numRef>
          </c:val>
          <c:extLst>
            <c:ext xmlns:c16="http://schemas.microsoft.com/office/drawing/2014/chart" uri="{C3380CC4-5D6E-409C-BE32-E72D297353CC}">
              <c16:uniqueId val="{00000000-8248-4279-9BCC-4E4BE69AEB6C}"/>
            </c:ext>
          </c:extLst>
        </c:ser>
        <c:ser>
          <c:idx val="1"/>
          <c:order val="1"/>
          <c:tx>
            <c:strRef>
              <c:f>'2025 Projected'!$C$48</c:f>
              <c:strCache>
                <c:ptCount val="1"/>
                <c:pt idx="0">
                  <c:v>2025 Project Budget</c:v>
                </c:pt>
              </c:strCache>
            </c:strRef>
          </c:tx>
          <c:spPr>
            <a:solidFill>
              <a:schemeClr val="accent2"/>
            </a:solidFill>
            <a:ln>
              <a:noFill/>
            </a:ln>
            <a:effectLst/>
          </c:spPr>
          <c:invertIfNegative val="0"/>
          <c:cat>
            <c:strRef>
              <c:f>'2025 Projected'!$A$49:$A$60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'2025 Projected'!$C$49:$C$60</c:f>
              <c:numCache>
                <c:formatCode>_("$"* #,##0.00_);_("$"* \(#,##0.00\);_("$"* "-"??_);_(@_)</c:formatCode>
                <c:ptCount val="12"/>
                <c:pt idx="0">
                  <c:v>8631</c:v>
                </c:pt>
                <c:pt idx="1">
                  <c:v>10085.25</c:v>
                </c:pt>
                <c:pt idx="2">
                  <c:v>11728.5</c:v>
                </c:pt>
                <c:pt idx="3">
                  <c:v>8599.5</c:v>
                </c:pt>
                <c:pt idx="4">
                  <c:v>10353</c:v>
                </c:pt>
                <c:pt idx="5">
                  <c:v>15424.5</c:v>
                </c:pt>
                <c:pt idx="6">
                  <c:v>17466.75</c:v>
                </c:pt>
                <c:pt idx="7">
                  <c:v>13335</c:v>
                </c:pt>
                <c:pt idx="8">
                  <c:v>9324</c:v>
                </c:pt>
                <c:pt idx="9">
                  <c:v>14731.5</c:v>
                </c:pt>
                <c:pt idx="10">
                  <c:v>12127.5</c:v>
                </c:pt>
                <c:pt idx="11">
                  <c:v>10090.5</c:v>
                </c:pt>
              </c:numCache>
            </c:numRef>
          </c:val>
          <c:extLst>
            <c:ext xmlns:c16="http://schemas.microsoft.com/office/drawing/2014/chart" uri="{C3380CC4-5D6E-409C-BE32-E72D297353CC}">
              <c16:uniqueId val="{00000001-8248-4279-9BCC-4E4BE69AEB6C}"/>
            </c:ext>
          </c:extLst>
        </c:ser>
        <c:ser>
          <c:idx val="2"/>
          <c:order val="2"/>
          <c:tx>
            <c:strRef>
              <c:f>'2025 Projected'!$D$48</c:f>
              <c:strCache>
                <c:ptCount val="1"/>
                <c:pt idx="0">
                  <c:v>Change</c:v>
                </c:pt>
              </c:strCache>
            </c:strRef>
          </c:tx>
          <c:spPr>
            <a:solidFill>
              <a:schemeClr val="accent3"/>
            </a:solidFill>
            <a:ln>
              <a:noFill/>
            </a:ln>
            <a:effectLst/>
          </c:spPr>
          <c:invertIfNegative val="0"/>
          <c:cat>
            <c:strRef>
              <c:f>'2025 Projected'!$A$49:$A$60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'2025 Projected'!$D$49:$D$60</c:f>
              <c:numCache>
                <c:formatCode>_("$"* #,##0.00_);_("$"* \(#,##0.00\);_("$"* "-"??_);_(@_)</c:formatCode>
                <c:ptCount val="12"/>
                <c:pt idx="0">
                  <c:v>1638</c:v>
                </c:pt>
                <c:pt idx="1">
                  <c:v>1848</c:v>
                </c:pt>
                <c:pt idx="2">
                  <c:v>1974</c:v>
                </c:pt>
                <c:pt idx="3">
                  <c:v>1512</c:v>
                </c:pt>
                <c:pt idx="4">
                  <c:v>2478</c:v>
                </c:pt>
                <c:pt idx="5">
                  <c:v>2814</c:v>
                </c:pt>
                <c:pt idx="6">
                  <c:v>3066</c:v>
                </c:pt>
                <c:pt idx="7">
                  <c:v>2562</c:v>
                </c:pt>
                <c:pt idx="8">
                  <c:v>1386</c:v>
                </c:pt>
                <c:pt idx="9">
                  <c:v>2730</c:v>
                </c:pt>
                <c:pt idx="10">
                  <c:v>1806</c:v>
                </c:pt>
                <c:pt idx="11">
                  <c:v>2142</c:v>
                </c:pt>
              </c:numCache>
            </c:numRef>
          </c:val>
          <c:extLst>
            <c:ext xmlns:c16="http://schemas.microsoft.com/office/drawing/2014/chart" uri="{C3380CC4-5D6E-409C-BE32-E72D297353CC}">
              <c16:uniqueId val="{00000002-8248-4279-9BCC-4E4BE69AEB6C}"/>
            </c:ext>
          </c:extLst>
        </c:ser>
        <c:dLbls>
          <c:showLegendKey val="0"/>
          <c:showVal val="0"/>
          <c:showCatName val="0"/>
          <c:showSerName val="0"/>
          <c:showPercent val="0"/>
          <c:showBubbleSize val="0"/>
        </c:dLbls>
        <c:gapWidth val="219"/>
        <c:overlap val="-27"/>
        <c:axId val="1794693584"/>
        <c:axId val="1794717584"/>
      </c:barChart>
      <c:catAx>
        <c:axId val="1794693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Monthly Budget Breakdown: 2024</a:t>
                </a:r>
                <a:r>
                  <a:rPr lang="en-US" baseline="0"/>
                  <a:t> vs 2025 Projected</a:t>
                </a:r>
                <a:endParaRPr lang="en-US"/>
              </a:p>
            </c:rich>
          </c:tx>
          <c:layout>
            <c:manualLayout>
              <c:xMode val="edge"/>
              <c:yMode val="edge"/>
              <c:x val="0.29642519685039376"/>
              <c:y val="0.909443897637795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717584"/>
        <c:crosses val="autoZero"/>
        <c:auto val="1"/>
        <c:lblAlgn val="ctr"/>
        <c:lblOffset val="100"/>
        <c:noMultiLvlLbl val="0"/>
      </c:catAx>
      <c:valAx>
        <c:axId val="1794717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Budget Value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693584"/>
        <c:crosses val="autoZero"/>
        <c:crossBetween val="between"/>
      </c:valAx>
      <c:spPr>
        <a:noFill/>
        <a:ln>
          <a:noFill/>
        </a:ln>
        <a:effectLst/>
      </c:spPr>
    </c:plotArea>
    <c:legend>
      <c:legendPos val="b"/>
      <c:layout>
        <c:manualLayout>
          <c:xMode val="edge"/>
          <c:yMode val="edge"/>
          <c:x val="0.30256649168853889"/>
          <c:y val="0.85112806211723535"/>
          <c:w val="0.39486701662292212"/>
          <c:h val="5.85941601049868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2024</a:t>
            </a:r>
            <a:r>
              <a:rPr lang="en-US" baseline="0"/>
              <a:t> Actual vs 2025 Projected: Budget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 Monthly'!$B$81</c:f>
              <c:strCache>
                <c:ptCount val="1"/>
                <c:pt idx="0">
                  <c:v> Grand Total </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EE46-4C11-92E8-3698BA22A29C}"/>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2-EE46-4C11-92E8-3698BA22A2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 Monthly'!$C$79:$E$80</c:f>
              <c:strCache>
                <c:ptCount val="3"/>
                <c:pt idx="0">
                  <c:v> 2024 Budget </c:v>
                </c:pt>
                <c:pt idx="1">
                  <c:v> 2025 Project Budget </c:v>
                </c:pt>
                <c:pt idx="2">
                  <c:v> Change </c:v>
                </c:pt>
              </c:strCache>
            </c:strRef>
          </c:cat>
          <c:val>
            <c:numRef>
              <c:f>'Dashboard - Monthly'!$C$81:$E$81</c:f>
              <c:numCache>
                <c:formatCode>_("$"* #,##0.00_);_("$"* \(#,##0.00\);_("$"* "-"??_);_(@_)</c:formatCode>
                <c:ptCount val="3"/>
                <c:pt idx="0">
                  <c:v>115920</c:v>
                </c:pt>
                <c:pt idx="1">
                  <c:v>141897</c:v>
                </c:pt>
                <c:pt idx="2">
                  <c:v>25977</c:v>
                </c:pt>
              </c:numCache>
            </c:numRef>
          </c:val>
          <c:extLst>
            <c:ext xmlns:c16="http://schemas.microsoft.com/office/drawing/2014/chart" uri="{C3380CC4-5D6E-409C-BE32-E72D297353CC}">
              <c16:uniqueId val="{00000000-EE46-4C11-92E8-3698BA22A29C}"/>
            </c:ext>
          </c:extLst>
        </c:ser>
        <c:dLbls>
          <c:showLegendKey val="0"/>
          <c:showVal val="0"/>
          <c:showCatName val="0"/>
          <c:showSerName val="0"/>
          <c:showPercent val="0"/>
          <c:showBubbleSize val="0"/>
        </c:dLbls>
        <c:gapWidth val="219"/>
        <c:overlap val="-27"/>
        <c:axId val="1794726704"/>
        <c:axId val="1794709904"/>
      </c:barChart>
      <c:catAx>
        <c:axId val="1794726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Budget Year &amp; Change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709904"/>
        <c:crosses val="autoZero"/>
        <c:auto val="1"/>
        <c:lblAlgn val="ctr"/>
        <c:lblOffset val="100"/>
        <c:noMultiLvlLbl val="0"/>
      </c:catAx>
      <c:valAx>
        <c:axId val="1794709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Budget Value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726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2024 BA Monthly Hours Worked by Shift Type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1"/>
          <c:tx>
            <c:strRef>
              <c:f>'Dashboard - Monthly'!$C$2</c:f>
              <c:strCache>
                <c:ptCount val="1"/>
                <c:pt idx="0">
                  <c:v>Classes</c:v>
                </c:pt>
              </c:strCache>
            </c:strRef>
          </c:tx>
          <c:spPr>
            <a:solidFill>
              <a:schemeClr val="accent2"/>
            </a:solidFill>
            <a:ln>
              <a:noFill/>
            </a:ln>
            <a:effectLst/>
          </c:spPr>
          <c:invertIfNegative val="0"/>
          <c:dLbls>
            <c:delete val="1"/>
          </c:dLbls>
          <c:cat>
            <c:strRef>
              <c:f>'Dashboard - Monthly'!$A$3:$A$14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 - Monthly'!$C$3:$C$14</c:f>
              <c:numCache>
                <c:formatCode>General</c:formatCode>
                <c:ptCount val="12"/>
                <c:pt idx="0">
                  <c:v>181.25</c:v>
                </c:pt>
                <c:pt idx="1">
                  <c:v>203.25</c:v>
                </c:pt>
                <c:pt idx="2">
                  <c:v>188</c:v>
                </c:pt>
                <c:pt idx="3">
                  <c:v>178</c:v>
                </c:pt>
                <c:pt idx="4">
                  <c:v>193</c:v>
                </c:pt>
                <c:pt idx="5">
                  <c:v>284.5</c:v>
                </c:pt>
                <c:pt idx="6">
                  <c:v>221.75</c:v>
                </c:pt>
                <c:pt idx="7">
                  <c:v>236.5</c:v>
                </c:pt>
                <c:pt idx="8">
                  <c:v>209.5</c:v>
                </c:pt>
                <c:pt idx="9">
                  <c:v>253.5</c:v>
                </c:pt>
                <c:pt idx="10">
                  <c:v>201</c:v>
                </c:pt>
                <c:pt idx="11">
                  <c:v>166.5</c:v>
                </c:pt>
              </c:numCache>
            </c:numRef>
          </c:val>
          <c:extLst>
            <c:ext xmlns:c16="http://schemas.microsoft.com/office/drawing/2014/chart" uri="{C3380CC4-5D6E-409C-BE32-E72D297353CC}">
              <c16:uniqueId val="{00000003-5E9D-49C6-A71C-AA217E66D003}"/>
            </c:ext>
          </c:extLst>
        </c:ser>
        <c:ser>
          <c:idx val="2"/>
          <c:order val="2"/>
          <c:tx>
            <c:strRef>
              <c:f>'Dashboard - Monthly'!$D$2</c:f>
              <c:strCache>
                <c:ptCount val="1"/>
                <c:pt idx="0">
                  <c:v>Rental</c:v>
                </c:pt>
              </c:strCache>
            </c:strRef>
          </c:tx>
          <c:spPr>
            <a:solidFill>
              <a:schemeClr val="accent3"/>
            </a:solidFill>
            <a:ln>
              <a:noFill/>
            </a:ln>
            <a:effectLst/>
          </c:spPr>
          <c:invertIfNegative val="0"/>
          <c:dLbls>
            <c:delete val="1"/>
          </c:dLbls>
          <c:cat>
            <c:strRef>
              <c:f>'Dashboard - Monthly'!$A$3:$A$14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 - Monthly'!$D$3:$D$14</c:f>
              <c:numCache>
                <c:formatCode>General</c:formatCode>
                <c:ptCount val="12"/>
                <c:pt idx="0">
                  <c:v>119.75</c:v>
                </c:pt>
                <c:pt idx="1">
                  <c:v>100.5</c:v>
                </c:pt>
                <c:pt idx="2">
                  <c:v>174</c:v>
                </c:pt>
                <c:pt idx="3">
                  <c:v>134.5</c:v>
                </c:pt>
                <c:pt idx="4">
                  <c:v>76.5</c:v>
                </c:pt>
                <c:pt idx="5">
                  <c:v>218</c:v>
                </c:pt>
                <c:pt idx="6">
                  <c:v>146.5</c:v>
                </c:pt>
                <c:pt idx="7">
                  <c:v>128.5</c:v>
                </c:pt>
                <c:pt idx="8">
                  <c:v>161</c:v>
                </c:pt>
                <c:pt idx="9">
                  <c:v>133</c:v>
                </c:pt>
                <c:pt idx="10">
                  <c:v>215.5</c:v>
                </c:pt>
                <c:pt idx="11">
                  <c:v>96.5</c:v>
                </c:pt>
              </c:numCache>
            </c:numRef>
          </c:val>
          <c:extLst>
            <c:ext xmlns:c16="http://schemas.microsoft.com/office/drawing/2014/chart" uri="{C3380CC4-5D6E-409C-BE32-E72D297353CC}">
              <c16:uniqueId val="{00000005-5E9D-49C6-A71C-AA217E66D003}"/>
            </c:ext>
          </c:extLst>
        </c:ser>
        <c:ser>
          <c:idx val="3"/>
          <c:order val="3"/>
          <c:tx>
            <c:strRef>
              <c:f>'Dashboard - Monthly'!$E$2</c:f>
              <c:strCache>
                <c:ptCount val="1"/>
                <c:pt idx="0">
                  <c:v>Internal</c:v>
                </c:pt>
              </c:strCache>
            </c:strRef>
          </c:tx>
          <c:spPr>
            <a:solidFill>
              <a:schemeClr val="accent4"/>
            </a:solidFill>
            <a:ln>
              <a:noFill/>
            </a:ln>
            <a:effectLst/>
          </c:spPr>
          <c:invertIfNegative val="0"/>
          <c:dLbls>
            <c:delete val="1"/>
          </c:dLbls>
          <c:cat>
            <c:strRef>
              <c:f>'Dashboard - Monthly'!$A$3:$A$14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 - Monthly'!$E$3:$E$14</c:f>
              <c:numCache>
                <c:formatCode>General</c:formatCode>
                <c:ptCount val="12"/>
                <c:pt idx="0">
                  <c:v>9</c:v>
                </c:pt>
                <c:pt idx="1">
                  <c:v>0</c:v>
                </c:pt>
                <c:pt idx="2">
                  <c:v>13.5</c:v>
                </c:pt>
                <c:pt idx="3">
                  <c:v>0</c:v>
                </c:pt>
                <c:pt idx="4">
                  <c:v>19.999999999999996</c:v>
                </c:pt>
                <c:pt idx="5">
                  <c:v>0</c:v>
                </c:pt>
                <c:pt idx="6">
                  <c:v>0</c:v>
                </c:pt>
                <c:pt idx="7">
                  <c:v>9.5</c:v>
                </c:pt>
                <c:pt idx="8">
                  <c:v>7.5</c:v>
                </c:pt>
                <c:pt idx="9">
                  <c:v>0</c:v>
                </c:pt>
                <c:pt idx="10">
                  <c:v>4.9999999999999991</c:v>
                </c:pt>
                <c:pt idx="11">
                  <c:v>0</c:v>
                </c:pt>
              </c:numCache>
            </c:numRef>
          </c:val>
          <c:extLst>
            <c:ext xmlns:c16="http://schemas.microsoft.com/office/drawing/2014/chart" uri="{C3380CC4-5D6E-409C-BE32-E72D297353CC}">
              <c16:uniqueId val="{00000007-5E9D-49C6-A71C-AA217E66D003}"/>
            </c:ext>
          </c:extLst>
        </c:ser>
        <c:ser>
          <c:idx val="4"/>
          <c:order val="4"/>
          <c:tx>
            <c:strRef>
              <c:f>'Dashboard - Monthly'!$F$2</c:f>
              <c:strCache>
                <c:ptCount val="1"/>
                <c:pt idx="0">
                  <c:v>Special Events</c:v>
                </c:pt>
              </c:strCache>
            </c:strRef>
          </c:tx>
          <c:spPr>
            <a:solidFill>
              <a:schemeClr val="accent5"/>
            </a:solidFill>
            <a:ln>
              <a:noFill/>
            </a:ln>
            <a:effectLst/>
          </c:spPr>
          <c:invertIfNegative val="0"/>
          <c:dLbls>
            <c:delete val="1"/>
          </c:dLbls>
          <c:cat>
            <c:strRef>
              <c:f>'Dashboard - Monthly'!$A$3:$A$14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 - Monthly'!$F$3:$F$14</c:f>
              <c:numCache>
                <c:formatCode>General</c:formatCode>
                <c:ptCount val="12"/>
                <c:pt idx="0">
                  <c:v>23</c:v>
                </c:pt>
                <c:pt idx="1">
                  <c:v>88.5</c:v>
                </c:pt>
                <c:pt idx="2">
                  <c:v>89</c:v>
                </c:pt>
                <c:pt idx="3">
                  <c:v>25</c:v>
                </c:pt>
                <c:pt idx="4">
                  <c:v>84.5</c:v>
                </c:pt>
                <c:pt idx="5">
                  <c:v>98</c:v>
                </c:pt>
                <c:pt idx="6">
                  <c:v>317.5</c:v>
                </c:pt>
                <c:pt idx="7">
                  <c:v>138.5</c:v>
                </c:pt>
                <c:pt idx="8">
                  <c:v>0</c:v>
                </c:pt>
                <c:pt idx="9">
                  <c:v>185</c:v>
                </c:pt>
                <c:pt idx="10">
                  <c:v>70</c:v>
                </c:pt>
                <c:pt idx="11">
                  <c:v>115.5</c:v>
                </c:pt>
              </c:numCache>
            </c:numRef>
          </c:val>
          <c:extLst>
            <c:ext xmlns:c16="http://schemas.microsoft.com/office/drawing/2014/chart" uri="{C3380CC4-5D6E-409C-BE32-E72D297353CC}">
              <c16:uniqueId val="{00000001-BAB7-4208-BA5A-6D8974620E64}"/>
            </c:ext>
          </c:extLst>
        </c:ser>
        <c:dLbls>
          <c:showLegendKey val="0"/>
          <c:showVal val="1"/>
          <c:showCatName val="0"/>
          <c:showSerName val="0"/>
          <c:showPercent val="0"/>
          <c:showBubbleSize val="0"/>
        </c:dLbls>
        <c:gapWidth val="150"/>
        <c:overlap val="100"/>
        <c:axId val="545302536"/>
        <c:axId val="729507336"/>
      </c:barChart>
      <c:lineChart>
        <c:grouping val="standard"/>
        <c:varyColors val="0"/>
        <c:ser>
          <c:idx val="0"/>
          <c:order val="0"/>
          <c:tx>
            <c:strRef>
              <c:f>'Dashboard - Monthly'!$B$2</c:f>
              <c:strCache>
                <c:ptCount val="1"/>
                <c:pt idx="0">
                  <c:v>Hours Worked</c:v>
                </c:pt>
              </c:strCache>
            </c:strRef>
          </c:tx>
          <c:spPr>
            <a:ln w="28575"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 Monthly'!$A$3:$A$14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 - Monthly'!$B$3:$B$14</c:f>
              <c:numCache>
                <c:formatCode>General</c:formatCode>
                <c:ptCount val="12"/>
                <c:pt idx="0">
                  <c:v>333</c:v>
                </c:pt>
                <c:pt idx="1">
                  <c:v>392.25</c:v>
                </c:pt>
                <c:pt idx="2">
                  <c:v>464.5</c:v>
                </c:pt>
                <c:pt idx="3">
                  <c:v>337.5</c:v>
                </c:pt>
                <c:pt idx="4">
                  <c:v>374</c:v>
                </c:pt>
                <c:pt idx="5">
                  <c:v>600.5</c:v>
                </c:pt>
                <c:pt idx="6">
                  <c:v>685.75</c:v>
                </c:pt>
                <c:pt idx="7">
                  <c:v>513</c:v>
                </c:pt>
                <c:pt idx="8">
                  <c:v>378</c:v>
                </c:pt>
                <c:pt idx="9">
                  <c:v>571.5</c:v>
                </c:pt>
                <c:pt idx="10">
                  <c:v>491.5</c:v>
                </c:pt>
                <c:pt idx="11">
                  <c:v>378.5</c:v>
                </c:pt>
              </c:numCache>
            </c:numRef>
          </c:val>
          <c:smooth val="0"/>
          <c:extLst>
            <c:ext xmlns:c16="http://schemas.microsoft.com/office/drawing/2014/chart" uri="{C3380CC4-5D6E-409C-BE32-E72D297353CC}">
              <c16:uniqueId val="{00000001-5E9D-49C6-A71C-AA217E66D003}"/>
            </c:ext>
          </c:extLst>
        </c:ser>
        <c:dLbls>
          <c:showLegendKey val="0"/>
          <c:showVal val="0"/>
          <c:showCatName val="0"/>
          <c:showSerName val="0"/>
          <c:showPercent val="0"/>
          <c:showBubbleSize val="0"/>
        </c:dLbls>
        <c:marker val="1"/>
        <c:smooth val="0"/>
        <c:axId val="545302536"/>
        <c:axId val="729507336"/>
      </c:lineChart>
      <c:catAx>
        <c:axId val="545302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507336"/>
        <c:crosses val="autoZero"/>
        <c:auto val="1"/>
        <c:lblAlgn val="ctr"/>
        <c:lblOffset val="100"/>
        <c:noMultiLvlLbl val="0"/>
      </c:catAx>
      <c:valAx>
        <c:axId val="729507336"/>
        <c:scaling>
          <c:orientation val="minMax"/>
          <c:max val="78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Hours Worked (hrs)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302536"/>
        <c:crosses val="autoZero"/>
        <c:crossBetween val="between"/>
      </c:valAx>
      <c:spPr>
        <a:noFill/>
        <a:ln>
          <a:noFill/>
        </a:ln>
        <a:effectLst/>
      </c:spPr>
    </c:plotArea>
    <c:legend>
      <c:legendPos val="b"/>
      <c:legendEntry>
        <c:idx val="4"/>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gradFill>
        <a:gsLst>
          <a:gs pos="1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Shift Type Breakdown – % of Total Hours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0C-41F9-9538-1A6CC196AC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0C-41F9-9538-1A6CC196AC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A0C-41F9-9538-1A6CC196ACB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A0C-41F9-9538-1A6CC196ACB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 - Monthly'!$C$2:$F$2</c:f>
              <c:strCache>
                <c:ptCount val="4"/>
                <c:pt idx="0">
                  <c:v>Classes</c:v>
                </c:pt>
                <c:pt idx="1">
                  <c:v>Rental</c:v>
                </c:pt>
                <c:pt idx="2">
                  <c:v>Internal</c:v>
                </c:pt>
                <c:pt idx="3">
                  <c:v>Special Events</c:v>
                </c:pt>
              </c:strCache>
            </c:strRef>
          </c:cat>
          <c:val>
            <c:numRef>
              <c:f>'Dashboard - Monthly'!$C$15:$F$15</c:f>
              <c:numCache>
                <c:formatCode>General</c:formatCode>
                <c:ptCount val="4"/>
                <c:pt idx="0">
                  <c:v>2516.75</c:v>
                </c:pt>
                <c:pt idx="1">
                  <c:v>1704.25</c:v>
                </c:pt>
                <c:pt idx="2">
                  <c:v>64.5</c:v>
                </c:pt>
                <c:pt idx="3">
                  <c:v>1234.5</c:v>
                </c:pt>
              </c:numCache>
            </c:numRef>
          </c:val>
          <c:extLst>
            <c:ext xmlns:c16="http://schemas.microsoft.com/office/drawing/2014/chart" uri="{C3380CC4-5D6E-409C-BE32-E72D297353CC}">
              <c16:uniqueId val="{00000000-DBD0-4B18-804E-52E6F8C07820}"/>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Special Events Above Average Hours – 2024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'Dashboard - Monthly'!$C$42</c:f>
              <c:strCache>
                <c:ptCount val="1"/>
                <c:pt idx="0">
                  <c:v>Hours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 Monthly'!$B$43:$B$52</c:f>
              <c:strCache>
                <c:ptCount val="10"/>
                <c:pt idx="0">
                  <c:v>4th Of July</c:v>
                </c:pt>
                <c:pt idx="1">
                  <c:v>Stage Riser</c:v>
                </c:pt>
                <c:pt idx="2">
                  <c:v>Tree Lighting</c:v>
                </c:pt>
                <c:pt idx="3">
                  <c:v>Lunar New Year</c:v>
                </c:pt>
                <c:pt idx="4">
                  <c:v>Flag Raising</c:v>
                </c:pt>
                <c:pt idx="5">
                  <c:v>Movie Night</c:v>
                </c:pt>
                <c:pt idx="6">
                  <c:v>Lantern Festival</c:v>
                </c:pt>
                <c:pt idx="7">
                  <c:v>Family Game Night</c:v>
                </c:pt>
                <c:pt idx="8">
                  <c:v>Haunted House Assistance</c:v>
                </c:pt>
                <c:pt idx="9">
                  <c:v>Pumpkins in the Park</c:v>
                </c:pt>
              </c:strCache>
            </c:strRef>
          </c:cat>
          <c:val>
            <c:numRef>
              <c:f>'Dashboard - Monthly'!$C$43:$C$52</c:f>
              <c:numCache>
                <c:formatCode>General</c:formatCode>
                <c:ptCount val="10"/>
                <c:pt idx="0">
                  <c:v>239.5</c:v>
                </c:pt>
                <c:pt idx="1">
                  <c:v>152</c:v>
                </c:pt>
                <c:pt idx="2">
                  <c:v>111.5</c:v>
                </c:pt>
                <c:pt idx="3">
                  <c:v>92.5</c:v>
                </c:pt>
                <c:pt idx="4">
                  <c:v>66.5</c:v>
                </c:pt>
                <c:pt idx="5">
                  <c:v>57</c:v>
                </c:pt>
                <c:pt idx="6">
                  <c:v>53.5</c:v>
                </c:pt>
                <c:pt idx="7">
                  <c:v>43</c:v>
                </c:pt>
                <c:pt idx="8">
                  <c:v>41</c:v>
                </c:pt>
                <c:pt idx="9">
                  <c:v>40</c:v>
                </c:pt>
              </c:numCache>
            </c:numRef>
          </c:val>
          <c:extLst>
            <c:ext xmlns:c16="http://schemas.microsoft.com/office/drawing/2014/chart" uri="{C3380CC4-5D6E-409C-BE32-E72D297353CC}">
              <c16:uniqueId val="{00000000-3338-4006-B59C-55A7CE5604E3}"/>
            </c:ext>
          </c:extLst>
        </c:ser>
        <c:dLbls>
          <c:showLegendKey val="0"/>
          <c:showVal val="0"/>
          <c:showCatName val="0"/>
          <c:showSerName val="0"/>
          <c:showPercent val="0"/>
          <c:showBubbleSize val="0"/>
        </c:dLbls>
        <c:gapWidth val="50"/>
        <c:overlap val="100"/>
        <c:axId val="32225152"/>
        <c:axId val="32225632"/>
      </c:barChart>
      <c:catAx>
        <c:axId val="32225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25632"/>
        <c:crosses val="autoZero"/>
        <c:auto val="1"/>
        <c:lblAlgn val="ctr"/>
        <c:lblOffset val="100"/>
        <c:noMultiLvlLbl val="0"/>
      </c:catAx>
      <c:valAx>
        <c:axId val="32225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25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Shift Type Breakdown by Building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 ShiftTypeBreakdown'!$L$4</c:f>
              <c:strCache>
                <c:ptCount val="1"/>
                <c:pt idx="0">
                  <c:v>Classes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 ShiftTypeBreakdown'!$M$3:$Q$3</c:f>
              <c:strCache>
                <c:ptCount val="5"/>
                <c:pt idx="0">
                  <c:v>Adobe</c:v>
                </c:pt>
                <c:pt idx="1">
                  <c:v>Sal Cracolice</c:v>
                </c:pt>
                <c:pt idx="2">
                  <c:v>Community Center</c:v>
                </c:pt>
                <c:pt idx="3">
                  <c:v>Senior Center</c:v>
                </c:pt>
                <c:pt idx="4">
                  <c:v>Sports Center</c:v>
                </c:pt>
              </c:strCache>
            </c:strRef>
          </c:cat>
          <c:val>
            <c:numRef>
              <c:f>'Dashboard - ShiftTypeBreakdown'!$M$4:$Q$4</c:f>
              <c:numCache>
                <c:formatCode>General</c:formatCode>
                <c:ptCount val="5"/>
                <c:pt idx="0">
                  <c:v>23.5</c:v>
                </c:pt>
                <c:pt idx="1">
                  <c:v>123</c:v>
                </c:pt>
                <c:pt idx="2">
                  <c:v>433.25</c:v>
                </c:pt>
                <c:pt idx="3">
                  <c:v>1933</c:v>
                </c:pt>
                <c:pt idx="4">
                  <c:v>3.9999999999999991</c:v>
                </c:pt>
              </c:numCache>
            </c:numRef>
          </c:val>
          <c:extLst>
            <c:ext xmlns:c16="http://schemas.microsoft.com/office/drawing/2014/chart" uri="{C3380CC4-5D6E-409C-BE32-E72D297353CC}">
              <c16:uniqueId val="{00000000-ADE5-4BC6-A86F-F8C238A40C43}"/>
            </c:ext>
          </c:extLst>
        </c:ser>
        <c:ser>
          <c:idx val="1"/>
          <c:order val="1"/>
          <c:tx>
            <c:strRef>
              <c:f>'Dashboard - ShiftTypeBreakdown'!$L$5</c:f>
              <c:strCache>
                <c:ptCount val="1"/>
                <c:pt idx="0">
                  <c:v>Rental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 ShiftTypeBreakdown'!$M$3:$Q$3</c:f>
              <c:strCache>
                <c:ptCount val="5"/>
                <c:pt idx="0">
                  <c:v>Adobe</c:v>
                </c:pt>
                <c:pt idx="1">
                  <c:v>Sal Cracolice</c:v>
                </c:pt>
                <c:pt idx="2">
                  <c:v>Community Center</c:v>
                </c:pt>
                <c:pt idx="3">
                  <c:v>Senior Center</c:v>
                </c:pt>
                <c:pt idx="4">
                  <c:v>Sports Center</c:v>
                </c:pt>
              </c:strCache>
            </c:strRef>
          </c:cat>
          <c:val>
            <c:numRef>
              <c:f>'Dashboard - ShiftTypeBreakdown'!$M$5:$Q$5</c:f>
              <c:numCache>
                <c:formatCode>General</c:formatCode>
                <c:ptCount val="5"/>
                <c:pt idx="0">
                  <c:v>242</c:v>
                </c:pt>
                <c:pt idx="1">
                  <c:v>138.5</c:v>
                </c:pt>
                <c:pt idx="2">
                  <c:v>653.5</c:v>
                </c:pt>
                <c:pt idx="3">
                  <c:v>637.25</c:v>
                </c:pt>
                <c:pt idx="4">
                  <c:v>4</c:v>
                </c:pt>
              </c:numCache>
            </c:numRef>
          </c:val>
          <c:extLst>
            <c:ext xmlns:c16="http://schemas.microsoft.com/office/drawing/2014/chart" uri="{C3380CC4-5D6E-409C-BE32-E72D297353CC}">
              <c16:uniqueId val="{00000001-ADE5-4BC6-A86F-F8C238A40C43}"/>
            </c:ext>
          </c:extLst>
        </c:ser>
        <c:ser>
          <c:idx val="2"/>
          <c:order val="2"/>
          <c:tx>
            <c:strRef>
              <c:f>'Dashboard - ShiftTypeBreakdown'!$L$6</c:f>
              <c:strCache>
                <c:ptCount val="1"/>
                <c:pt idx="0">
                  <c:v>Internal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 ShiftTypeBreakdown'!$M$3:$Q$3</c:f>
              <c:strCache>
                <c:ptCount val="5"/>
                <c:pt idx="0">
                  <c:v>Adobe</c:v>
                </c:pt>
                <c:pt idx="1">
                  <c:v>Sal Cracolice</c:v>
                </c:pt>
                <c:pt idx="2">
                  <c:v>Community Center</c:v>
                </c:pt>
                <c:pt idx="3">
                  <c:v>Senior Center</c:v>
                </c:pt>
                <c:pt idx="4">
                  <c:v>Sports Center</c:v>
                </c:pt>
              </c:strCache>
            </c:strRef>
          </c:cat>
          <c:val>
            <c:numRef>
              <c:f>'Dashboard - ShiftTypeBreakdown'!$M$6:$Q$6</c:f>
              <c:numCache>
                <c:formatCode>General</c:formatCode>
                <c:ptCount val="5"/>
                <c:pt idx="0">
                  <c:v>7.5</c:v>
                </c:pt>
                <c:pt idx="2">
                  <c:v>53</c:v>
                </c:pt>
                <c:pt idx="3">
                  <c:v>4</c:v>
                </c:pt>
              </c:numCache>
            </c:numRef>
          </c:val>
          <c:extLst>
            <c:ext xmlns:c16="http://schemas.microsoft.com/office/drawing/2014/chart" uri="{C3380CC4-5D6E-409C-BE32-E72D297353CC}">
              <c16:uniqueId val="{00000002-ADE5-4BC6-A86F-F8C238A40C43}"/>
            </c:ext>
          </c:extLst>
        </c:ser>
        <c:dLbls>
          <c:showLegendKey val="0"/>
          <c:showVal val="0"/>
          <c:showCatName val="0"/>
          <c:showSerName val="0"/>
          <c:showPercent val="0"/>
          <c:showBubbleSize val="0"/>
        </c:dLbls>
        <c:gapWidth val="20"/>
        <c:overlap val="-27"/>
        <c:axId val="1570941087"/>
        <c:axId val="1570967487"/>
      </c:barChart>
      <c:catAx>
        <c:axId val="157094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967487"/>
        <c:crosses val="autoZero"/>
        <c:auto val="1"/>
        <c:lblAlgn val="ctr"/>
        <c:lblOffset val="100"/>
        <c:noMultiLvlLbl val="0"/>
      </c:catAx>
      <c:valAx>
        <c:axId val="1570967487"/>
        <c:scaling>
          <c:orientation val="minMax"/>
          <c:max val="2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Allocated</a:t>
                </a:r>
                <a:r>
                  <a:rPr lang="en-US" baseline="0"/>
                  <a:t> Hours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941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 Monthly'!$B$81</c:f>
              <c:strCache>
                <c:ptCount val="1"/>
                <c:pt idx="0">
                  <c:v> Grand Total </c:v>
                </c:pt>
              </c:strCache>
            </c:strRef>
          </c:tx>
          <c:spPr>
            <a:solidFill>
              <a:schemeClr val="accent1"/>
            </a:solidFill>
            <a:ln>
              <a:noFill/>
            </a:ln>
            <a:effectLst/>
          </c:spPr>
          <c:invertIfNegative val="0"/>
          <c:cat>
            <c:strRef>
              <c:f>'Dashboard - Monthly'!$C$79:$E$80</c:f>
              <c:strCache>
                <c:ptCount val="3"/>
                <c:pt idx="0">
                  <c:v> 2024 Budget </c:v>
                </c:pt>
                <c:pt idx="1">
                  <c:v> 2025 Project Budget </c:v>
                </c:pt>
                <c:pt idx="2">
                  <c:v> Change </c:v>
                </c:pt>
              </c:strCache>
            </c:strRef>
          </c:cat>
          <c:val>
            <c:numRef>
              <c:f>'Dashboard - Monthly'!$C$81:$E$81</c:f>
              <c:numCache>
                <c:formatCode>_("$"* #,##0.00_);_("$"* \(#,##0.00\);_("$"* "-"??_);_(@_)</c:formatCode>
                <c:ptCount val="3"/>
                <c:pt idx="0">
                  <c:v>115920</c:v>
                </c:pt>
                <c:pt idx="1">
                  <c:v>141897</c:v>
                </c:pt>
                <c:pt idx="2">
                  <c:v>25977</c:v>
                </c:pt>
              </c:numCache>
            </c:numRef>
          </c:val>
          <c:extLst>
            <c:ext xmlns:c16="http://schemas.microsoft.com/office/drawing/2014/chart" uri="{C3380CC4-5D6E-409C-BE32-E72D297353CC}">
              <c16:uniqueId val="{00000000-A3D7-4496-A0C1-8B68B08C4ED2}"/>
            </c:ext>
          </c:extLst>
        </c:ser>
        <c:dLbls>
          <c:showLegendKey val="0"/>
          <c:showVal val="0"/>
          <c:showCatName val="0"/>
          <c:showSerName val="0"/>
          <c:showPercent val="0"/>
          <c:showBubbleSize val="0"/>
        </c:dLbls>
        <c:gapWidth val="219"/>
        <c:overlap val="-27"/>
        <c:axId val="1794726704"/>
        <c:axId val="1794709904"/>
      </c:barChart>
      <c:catAx>
        <c:axId val="179472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709904"/>
        <c:crosses val="autoZero"/>
        <c:auto val="1"/>
        <c:lblAlgn val="ctr"/>
        <c:lblOffset val="100"/>
        <c:noMultiLvlLbl val="0"/>
      </c:catAx>
      <c:valAx>
        <c:axId val="179470990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726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0A-4E26-8D95-20CDC3D606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0A-4E26-8D95-20CDC3D606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0A-4E26-8D95-20CDC3D606B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A0A-4E26-8D95-20CDC3D606B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A0A-4E26-8D95-20CDC3D606BF}"/>
              </c:ext>
            </c:extLst>
          </c:dPt>
          <c:cat>
            <c:strRef>
              <c:f>'Dashboard - ShiftTypeBreakdown'!$B$4:$B$8</c:f>
              <c:strCache>
                <c:ptCount val="5"/>
                <c:pt idx="0">
                  <c:v>4th Of July</c:v>
                </c:pt>
                <c:pt idx="1">
                  <c:v>Stage Riser</c:v>
                </c:pt>
                <c:pt idx="2">
                  <c:v>Tree Lighting</c:v>
                </c:pt>
                <c:pt idx="3">
                  <c:v>Lunar New Year</c:v>
                </c:pt>
                <c:pt idx="4">
                  <c:v>Flag Raising</c:v>
                </c:pt>
              </c:strCache>
            </c:strRef>
          </c:cat>
          <c:val>
            <c:numRef>
              <c:f>'Dashboard - ShiftTypeBreakdown'!$C$4:$C$8</c:f>
              <c:numCache>
                <c:formatCode>General</c:formatCode>
                <c:ptCount val="5"/>
                <c:pt idx="0">
                  <c:v>239.5</c:v>
                </c:pt>
                <c:pt idx="1">
                  <c:v>152</c:v>
                </c:pt>
                <c:pt idx="2">
                  <c:v>111.5</c:v>
                </c:pt>
                <c:pt idx="3">
                  <c:v>92.5</c:v>
                </c:pt>
                <c:pt idx="4">
                  <c:v>66.5</c:v>
                </c:pt>
              </c:numCache>
            </c:numRef>
          </c:val>
          <c:extLst>
            <c:ext xmlns:c16="http://schemas.microsoft.com/office/drawing/2014/chart" uri="{C3380CC4-5D6E-409C-BE32-E72D297353CC}">
              <c16:uniqueId val="{00000016-EA0A-4E26-8D95-20CDC3D606B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Shift Type Breakdown by Building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 ShiftTypeBreakdown'!$L$4</c:f>
              <c:strCache>
                <c:ptCount val="1"/>
                <c:pt idx="0">
                  <c:v>Classes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 ShiftTypeBreakdown'!$M$3:$Q$3</c:f>
              <c:strCache>
                <c:ptCount val="5"/>
                <c:pt idx="0">
                  <c:v>Adobe</c:v>
                </c:pt>
                <c:pt idx="1">
                  <c:v>Sal Cracolice</c:v>
                </c:pt>
                <c:pt idx="2">
                  <c:v>Community Center</c:v>
                </c:pt>
                <c:pt idx="3">
                  <c:v>Senior Center</c:v>
                </c:pt>
                <c:pt idx="4">
                  <c:v>Sports Center</c:v>
                </c:pt>
              </c:strCache>
            </c:strRef>
          </c:cat>
          <c:val>
            <c:numRef>
              <c:f>'Dashboard - ShiftTypeBreakdown'!$M$4:$Q$4</c:f>
              <c:numCache>
                <c:formatCode>General</c:formatCode>
                <c:ptCount val="5"/>
                <c:pt idx="0">
                  <c:v>23.5</c:v>
                </c:pt>
                <c:pt idx="1">
                  <c:v>123</c:v>
                </c:pt>
                <c:pt idx="2">
                  <c:v>433.25</c:v>
                </c:pt>
                <c:pt idx="3">
                  <c:v>1933</c:v>
                </c:pt>
                <c:pt idx="4">
                  <c:v>3.9999999999999991</c:v>
                </c:pt>
              </c:numCache>
            </c:numRef>
          </c:val>
          <c:extLst>
            <c:ext xmlns:c16="http://schemas.microsoft.com/office/drawing/2014/chart" uri="{C3380CC4-5D6E-409C-BE32-E72D297353CC}">
              <c16:uniqueId val="{00000000-43D1-44FD-9A61-4EB8AA505D08}"/>
            </c:ext>
          </c:extLst>
        </c:ser>
        <c:ser>
          <c:idx val="1"/>
          <c:order val="1"/>
          <c:tx>
            <c:strRef>
              <c:f>'Dashboard - ShiftTypeBreakdown'!$L$5</c:f>
              <c:strCache>
                <c:ptCount val="1"/>
                <c:pt idx="0">
                  <c:v>Rental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 ShiftTypeBreakdown'!$M$3:$Q$3</c:f>
              <c:strCache>
                <c:ptCount val="5"/>
                <c:pt idx="0">
                  <c:v>Adobe</c:v>
                </c:pt>
                <c:pt idx="1">
                  <c:v>Sal Cracolice</c:v>
                </c:pt>
                <c:pt idx="2">
                  <c:v>Community Center</c:v>
                </c:pt>
                <c:pt idx="3">
                  <c:v>Senior Center</c:v>
                </c:pt>
                <c:pt idx="4">
                  <c:v>Sports Center</c:v>
                </c:pt>
              </c:strCache>
            </c:strRef>
          </c:cat>
          <c:val>
            <c:numRef>
              <c:f>'Dashboard - ShiftTypeBreakdown'!$M$5:$Q$5</c:f>
              <c:numCache>
                <c:formatCode>General</c:formatCode>
                <c:ptCount val="5"/>
                <c:pt idx="0">
                  <c:v>242</c:v>
                </c:pt>
                <c:pt idx="1">
                  <c:v>138.5</c:v>
                </c:pt>
                <c:pt idx="2">
                  <c:v>653.5</c:v>
                </c:pt>
                <c:pt idx="3">
                  <c:v>637.25</c:v>
                </c:pt>
                <c:pt idx="4">
                  <c:v>4</c:v>
                </c:pt>
              </c:numCache>
            </c:numRef>
          </c:val>
          <c:extLst>
            <c:ext xmlns:c16="http://schemas.microsoft.com/office/drawing/2014/chart" uri="{C3380CC4-5D6E-409C-BE32-E72D297353CC}">
              <c16:uniqueId val="{00000001-43D1-44FD-9A61-4EB8AA505D08}"/>
            </c:ext>
          </c:extLst>
        </c:ser>
        <c:ser>
          <c:idx val="2"/>
          <c:order val="2"/>
          <c:tx>
            <c:strRef>
              <c:f>'Dashboard - ShiftTypeBreakdown'!$L$6</c:f>
              <c:strCache>
                <c:ptCount val="1"/>
                <c:pt idx="0">
                  <c:v>Internal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 ShiftTypeBreakdown'!$M$3:$Q$3</c:f>
              <c:strCache>
                <c:ptCount val="5"/>
                <c:pt idx="0">
                  <c:v>Adobe</c:v>
                </c:pt>
                <c:pt idx="1">
                  <c:v>Sal Cracolice</c:v>
                </c:pt>
                <c:pt idx="2">
                  <c:v>Community Center</c:v>
                </c:pt>
                <c:pt idx="3">
                  <c:v>Senior Center</c:v>
                </c:pt>
                <c:pt idx="4">
                  <c:v>Sports Center</c:v>
                </c:pt>
              </c:strCache>
            </c:strRef>
          </c:cat>
          <c:val>
            <c:numRef>
              <c:f>'Dashboard - ShiftTypeBreakdown'!$M$6:$Q$6</c:f>
              <c:numCache>
                <c:formatCode>General</c:formatCode>
                <c:ptCount val="5"/>
                <c:pt idx="0">
                  <c:v>7.5</c:v>
                </c:pt>
                <c:pt idx="2">
                  <c:v>53</c:v>
                </c:pt>
                <c:pt idx="3">
                  <c:v>4</c:v>
                </c:pt>
              </c:numCache>
            </c:numRef>
          </c:val>
          <c:extLst>
            <c:ext xmlns:c16="http://schemas.microsoft.com/office/drawing/2014/chart" uri="{C3380CC4-5D6E-409C-BE32-E72D297353CC}">
              <c16:uniqueId val="{00000002-43D1-44FD-9A61-4EB8AA505D08}"/>
            </c:ext>
          </c:extLst>
        </c:ser>
        <c:dLbls>
          <c:showLegendKey val="0"/>
          <c:showVal val="0"/>
          <c:showCatName val="0"/>
          <c:showSerName val="0"/>
          <c:showPercent val="0"/>
          <c:showBubbleSize val="0"/>
        </c:dLbls>
        <c:gapWidth val="20"/>
        <c:overlap val="-27"/>
        <c:axId val="1570941087"/>
        <c:axId val="1570967487"/>
      </c:barChart>
      <c:catAx>
        <c:axId val="157094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967487"/>
        <c:crosses val="autoZero"/>
        <c:auto val="1"/>
        <c:lblAlgn val="ctr"/>
        <c:lblOffset val="100"/>
        <c:noMultiLvlLbl val="0"/>
      </c:catAx>
      <c:valAx>
        <c:axId val="1570967487"/>
        <c:scaling>
          <c:orientation val="minMax"/>
          <c:max val="2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Allocated</a:t>
                </a:r>
                <a:r>
                  <a:rPr lang="en-US" baseline="0"/>
                  <a:t> Hours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941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5" Type="http://schemas.openxmlformats.org/officeDocument/2006/relationships/chart" Target="../charts/chart25.xml"/><Relationship Id="rId4" Type="http://schemas.openxmlformats.org/officeDocument/2006/relationships/chart" Target="../charts/chart24.xml"/></Relationships>
</file>

<file path=xl/drawings/_rels/drawing7.xml.rels><?xml version="1.0" encoding="UTF-8" standalone="yes"?>
<Relationships xmlns="http://schemas.openxmlformats.org/package/2006/relationships"><Relationship Id="rId2" Type="http://schemas.openxmlformats.org/officeDocument/2006/relationships/chart" Target="../charts/chart27.xml"/><Relationship Id="rId1"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1</xdr:col>
      <xdr:colOff>6182</xdr:colOff>
      <xdr:row>6</xdr:row>
      <xdr:rowOff>179805</xdr:rowOff>
    </xdr:from>
    <xdr:to>
      <xdr:col>5</xdr:col>
      <xdr:colOff>196682</xdr:colOff>
      <xdr:row>23</xdr:row>
      <xdr:rowOff>141705</xdr:rowOff>
    </xdr:to>
    <xdr:graphicFrame macro="">
      <xdr:nvGraphicFramePr>
        <xdr:cNvPr id="2" name="Chart 1">
          <a:extLst>
            <a:ext uri="{FF2B5EF4-FFF2-40B4-BE49-F238E27FC236}">
              <a16:creationId xmlns:a16="http://schemas.microsoft.com/office/drawing/2014/main" id="{340EECA6-92D9-40F5-9819-C4A3F378F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1181100</xdr:colOff>
      <xdr:row>7</xdr:row>
      <xdr:rowOff>4010</xdr:rowOff>
    </xdr:from>
    <xdr:to>
      <xdr:col>9</xdr:col>
      <xdr:colOff>1371600</xdr:colOff>
      <xdr:row>23</xdr:row>
      <xdr:rowOff>156410</xdr:rowOff>
    </xdr:to>
    <xdr:graphicFrame macro="">
      <xdr:nvGraphicFramePr>
        <xdr:cNvPr id="3" name="Chart 2">
          <a:extLst>
            <a:ext uri="{FF2B5EF4-FFF2-40B4-BE49-F238E27FC236}">
              <a16:creationId xmlns:a16="http://schemas.microsoft.com/office/drawing/2014/main" id="{C3FC08F0-BAD6-405D-99D0-2D14B238C4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9525</xdr:colOff>
      <xdr:row>23</xdr:row>
      <xdr:rowOff>190499</xdr:rowOff>
    </xdr:from>
    <xdr:to>
      <xdr:col>5</xdr:col>
      <xdr:colOff>200025</xdr:colOff>
      <xdr:row>40</xdr:row>
      <xdr:rowOff>152399</xdr:rowOff>
    </xdr:to>
    <xdr:graphicFrame macro="">
      <xdr:nvGraphicFramePr>
        <xdr:cNvPr id="4" name="Chart 3">
          <a:extLst>
            <a:ext uri="{FF2B5EF4-FFF2-40B4-BE49-F238E27FC236}">
              <a16:creationId xmlns:a16="http://schemas.microsoft.com/office/drawing/2014/main" id="{61665E8A-A10D-4E41-B3E5-75EF9E8B5F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1181099</xdr:colOff>
      <xdr:row>23</xdr:row>
      <xdr:rowOff>190499</xdr:rowOff>
    </xdr:from>
    <xdr:to>
      <xdr:col>9</xdr:col>
      <xdr:colOff>1371599</xdr:colOff>
      <xdr:row>40</xdr:row>
      <xdr:rowOff>152399</xdr:rowOff>
    </xdr:to>
    <xdr:graphicFrame macro="">
      <xdr:nvGraphicFramePr>
        <xdr:cNvPr id="5" name="Chart 4">
          <a:extLst>
            <a:ext uri="{FF2B5EF4-FFF2-40B4-BE49-F238E27FC236}">
              <a16:creationId xmlns:a16="http://schemas.microsoft.com/office/drawing/2014/main" id="{DBA09AFE-F966-4899-BF5E-011FCC9FA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333374</xdr:colOff>
      <xdr:row>67</xdr:row>
      <xdr:rowOff>0</xdr:rowOff>
    </xdr:from>
    <xdr:to>
      <xdr:col>6</xdr:col>
      <xdr:colOff>1523999</xdr:colOff>
      <xdr:row>82</xdr:row>
      <xdr:rowOff>171450</xdr:rowOff>
    </xdr:to>
    <xdr:sp macro="" textlink="">
      <xdr:nvSpPr>
        <xdr:cNvPr id="7" name="TextBox 6">
          <a:extLst>
            <a:ext uri="{FF2B5EF4-FFF2-40B4-BE49-F238E27FC236}">
              <a16:creationId xmlns:a16="http://schemas.microsoft.com/office/drawing/2014/main" id="{237DB9E6-78B9-F12C-58EE-8CD91E774C96}"/>
            </a:ext>
          </a:extLst>
        </xdr:cNvPr>
        <xdr:cNvSpPr txBox="1"/>
      </xdr:nvSpPr>
      <xdr:spPr>
        <a:xfrm>
          <a:off x="333374" y="12820650"/>
          <a:ext cx="11877675" cy="3028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u="sng"/>
            <a:t>Summary &amp; Key Observations</a:t>
          </a:r>
          <a:endParaRPr lang="en-US" sz="1200" b="1" u="sng" baseline="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chemeClr val="dk1"/>
              </a:solidFill>
              <a:effectLst/>
              <a:latin typeface="+mn-lt"/>
              <a:ea typeface="+mn-ea"/>
              <a:cs typeface="+mn-cs"/>
            </a:rPr>
            <a:t>Total Hours Worked for BA in 2024 is </a:t>
          </a:r>
          <a:r>
            <a:rPr lang="en-US" sz="1200" b="1" baseline="0">
              <a:solidFill>
                <a:schemeClr val="dk1"/>
              </a:solidFill>
              <a:effectLst/>
              <a:latin typeface="+mn-lt"/>
              <a:ea typeface="+mn-ea"/>
              <a:cs typeface="+mn-cs"/>
            </a:rPr>
            <a:t>5,520 Hours</a:t>
          </a:r>
          <a:r>
            <a:rPr lang="en-US" sz="1200" b="0" baseline="0">
              <a:solidFill>
                <a:schemeClr val="dk1"/>
              </a:solidFill>
              <a:effectLst/>
              <a:latin typeface="+mn-lt"/>
              <a:ea typeface="+mn-ea"/>
              <a:cs typeface="+mn-cs"/>
            </a:rPr>
            <a:t>, using the Average Hourly BA Rate of $21 an hour that comes up to be </a:t>
          </a:r>
          <a:r>
            <a:rPr lang="en-US" sz="1200" b="1" baseline="0">
              <a:solidFill>
                <a:schemeClr val="dk1"/>
              </a:solidFill>
              <a:effectLst/>
              <a:latin typeface="+mn-lt"/>
              <a:ea typeface="+mn-ea"/>
              <a:cs typeface="+mn-cs"/>
            </a:rPr>
            <a:t>$115,920 </a:t>
          </a:r>
          <a:r>
            <a:rPr lang="en-US" sz="1200" b="0" baseline="0">
              <a:solidFill>
                <a:schemeClr val="dk1"/>
              </a:solidFill>
              <a:effectLst/>
              <a:latin typeface="+mn-lt"/>
              <a:ea typeface="+mn-ea"/>
              <a:cs typeface="+mn-cs"/>
            </a:rPr>
            <a:t>for the year</a:t>
          </a:r>
        </a:p>
        <a:p>
          <a:pPr algn="l"/>
          <a:endParaRPr lang="en-US" sz="1200" b="1" baseline="0">
            <a:solidFill>
              <a:schemeClr val="dk1"/>
            </a:solidFill>
            <a:effectLst/>
            <a:latin typeface="+mn-lt"/>
            <a:ea typeface="+mn-ea"/>
            <a:cs typeface="+mn-cs"/>
          </a:endParaRPr>
        </a:p>
        <a:p>
          <a:pPr algn="l"/>
          <a:r>
            <a:rPr lang="en-US" sz="1200" b="1" u="sng" baseline="0">
              <a:solidFill>
                <a:schemeClr val="dk1"/>
              </a:solidFill>
              <a:effectLst/>
              <a:latin typeface="+mn-lt"/>
              <a:ea typeface="+mn-ea"/>
              <a:cs typeface="+mn-cs"/>
            </a:rPr>
            <a:t>Seasonal Trends for BA Utilization is as Follows:</a:t>
          </a:r>
          <a:br>
            <a:rPr lang="en-US" sz="1200" b="1" u="sng" baseline="0">
              <a:solidFill>
                <a:schemeClr val="dk1"/>
              </a:solidFill>
              <a:effectLst/>
              <a:latin typeface="+mn-lt"/>
              <a:ea typeface="+mn-ea"/>
              <a:cs typeface="+mn-cs"/>
            </a:rPr>
          </a:br>
          <a:r>
            <a:rPr lang="en-US" sz="1200" b="1" baseline="0">
              <a:solidFill>
                <a:schemeClr val="dk1"/>
              </a:solidFill>
              <a:effectLst/>
              <a:latin typeface="+mn-lt"/>
              <a:ea typeface="+mn-ea"/>
              <a:cs typeface="+mn-cs"/>
            </a:rPr>
            <a:t>Winter </a:t>
          </a:r>
          <a:r>
            <a:rPr lang="en-US" sz="1200" b="0" baseline="0">
              <a:solidFill>
                <a:schemeClr val="dk1"/>
              </a:solidFill>
              <a:effectLst/>
              <a:latin typeface="+mn-lt"/>
              <a:ea typeface="+mn-ea"/>
              <a:cs typeface="+mn-cs"/>
            </a:rPr>
            <a:t>(Dec-Feb)</a:t>
          </a:r>
          <a:r>
            <a:rPr lang="en-US" sz="1200" b="1" baseline="0">
              <a:solidFill>
                <a:schemeClr val="dk1"/>
              </a:solidFill>
              <a:effectLst/>
              <a:latin typeface="+mn-lt"/>
              <a:ea typeface="+mn-ea"/>
              <a:cs typeface="+mn-cs"/>
            </a:rPr>
            <a:t>: Low, AVG: 378.5 hours </a:t>
          </a:r>
          <a:r>
            <a:rPr lang="en-US" sz="1200" b="0" baseline="0">
              <a:solidFill>
                <a:schemeClr val="dk1"/>
              </a:solidFill>
              <a:effectLst/>
              <a:latin typeface="+mn-lt"/>
              <a:ea typeface="+mn-ea"/>
              <a:cs typeface="+mn-cs"/>
            </a:rPr>
            <a:t>[Low Utilization for Classes, Rentals, and Special Events, High amount of holidays and City closures]</a:t>
          </a:r>
          <a:br>
            <a:rPr lang="en-US" sz="1200" b="0" baseline="0">
              <a:solidFill>
                <a:schemeClr val="dk1"/>
              </a:solidFill>
              <a:effectLst/>
              <a:latin typeface="+mn-lt"/>
              <a:ea typeface="+mn-ea"/>
              <a:cs typeface="+mn-cs"/>
            </a:rPr>
          </a:br>
          <a:r>
            <a:rPr lang="en-US" sz="1200" b="1" baseline="0">
              <a:solidFill>
                <a:schemeClr val="dk1"/>
              </a:solidFill>
              <a:effectLst/>
              <a:latin typeface="+mn-lt"/>
              <a:ea typeface="+mn-ea"/>
              <a:cs typeface="+mn-cs"/>
            </a:rPr>
            <a:t>Spring </a:t>
          </a:r>
          <a:r>
            <a:rPr lang="en-US" sz="1200" b="0" baseline="0">
              <a:solidFill>
                <a:schemeClr val="dk1"/>
              </a:solidFill>
              <a:effectLst/>
              <a:latin typeface="+mn-lt"/>
              <a:ea typeface="+mn-ea"/>
              <a:cs typeface="+mn-cs"/>
            </a:rPr>
            <a:t>(Mar-May)</a:t>
          </a:r>
          <a:r>
            <a:rPr lang="en-US" sz="1200" b="1" baseline="0">
              <a:solidFill>
                <a:schemeClr val="dk1"/>
              </a:solidFill>
              <a:effectLst/>
              <a:latin typeface="+mn-lt"/>
              <a:ea typeface="+mn-ea"/>
              <a:cs typeface="+mn-cs"/>
            </a:rPr>
            <a:t>: Low, AVG: 374.5 hours </a:t>
          </a:r>
          <a:r>
            <a:rPr lang="en-US" sz="1200" b="0" baseline="0">
              <a:solidFill>
                <a:schemeClr val="dk1"/>
              </a:solidFill>
              <a:effectLst/>
              <a:latin typeface="+mn-lt"/>
              <a:ea typeface="+mn-ea"/>
              <a:cs typeface="+mn-cs"/>
            </a:rPr>
            <a:t>[Medium Utilization for Classes, Rentals, and Special Events, April brings down the average with Low Utilization in Classes and Special Events]</a:t>
          </a:r>
        </a:p>
        <a:p>
          <a:pPr algn="l"/>
          <a:r>
            <a:rPr lang="en-US" sz="1200" b="1" baseline="0">
              <a:solidFill>
                <a:schemeClr val="dk1"/>
              </a:solidFill>
              <a:effectLst/>
              <a:latin typeface="+mn-lt"/>
              <a:ea typeface="+mn-ea"/>
              <a:cs typeface="+mn-cs"/>
            </a:rPr>
            <a:t>Summer </a:t>
          </a:r>
          <a:r>
            <a:rPr lang="en-US" sz="1200" b="0" baseline="0">
              <a:solidFill>
                <a:schemeClr val="dk1"/>
              </a:solidFill>
              <a:effectLst/>
              <a:latin typeface="+mn-lt"/>
              <a:ea typeface="+mn-ea"/>
              <a:cs typeface="+mn-cs"/>
            </a:rPr>
            <a:t>(June-Aug)</a:t>
          </a:r>
          <a:r>
            <a:rPr lang="en-US" sz="1200" b="1" baseline="0">
              <a:solidFill>
                <a:schemeClr val="dk1"/>
              </a:solidFill>
              <a:effectLst/>
              <a:latin typeface="+mn-lt"/>
              <a:ea typeface="+mn-ea"/>
              <a:cs typeface="+mn-cs"/>
            </a:rPr>
            <a:t>: High, AVG: 599.75 hours </a:t>
          </a:r>
          <a:r>
            <a:rPr lang="en-US" sz="1200" b="0" baseline="0">
              <a:solidFill>
                <a:schemeClr val="dk1"/>
              </a:solidFill>
              <a:effectLst/>
              <a:latin typeface="+mn-lt"/>
              <a:ea typeface="+mn-ea"/>
              <a:cs typeface="+mn-cs"/>
            </a:rPr>
            <a:t>[High Utilization for Classes, Rentals, and Special Events, Residents have more free time, summer break, graduations, celebrations, etc.]</a:t>
          </a:r>
          <a:br>
            <a:rPr lang="en-US" sz="1200" b="0" baseline="0">
              <a:solidFill>
                <a:schemeClr val="dk1"/>
              </a:solidFill>
              <a:effectLst/>
              <a:latin typeface="+mn-lt"/>
              <a:ea typeface="+mn-ea"/>
              <a:cs typeface="+mn-cs"/>
            </a:rPr>
          </a:br>
          <a:r>
            <a:rPr lang="en-US" sz="1200" b="1" baseline="0">
              <a:solidFill>
                <a:schemeClr val="dk1"/>
              </a:solidFill>
              <a:effectLst/>
              <a:latin typeface="+mn-lt"/>
              <a:ea typeface="+mn-ea"/>
              <a:cs typeface="+mn-cs"/>
            </a:rPr>
            <a:t>Fall </a:t>
          </a:r>
          <a:r>
            <a:rPr lang="en-US" sz="1200" b="0" baseline="0">
              <a:solidFill>
                <a:schemeClr val="dk1"/>
              </a:solidFill>
              <a:effectLst/>
              <a:latin typeface="+mn-lt"/>
              <a:ea typeface="+mn-ea"/>
              <a:cs typeface="+mn-cs"/>
            </a:rPr>
            <a:t>(Sept-Nov): </a:t>
          </a:r>
          <a:r>
            <a:rPr lang="en-US" sz="1200" b="1" baseline="0">
              <a:solidFill>
                <a:schemeClr val="dk1"/>
              </a:solidFill>
              <a:effectLst/>
              <a:latin typeface="+mn-lt"/>
              <a:ea typeface="+mn-ea"/>
              <a:cs typeface="+mn-cs"/>
            </a:rPr>
            <a:t>Medium, AVG: 480.3 hours - </a:t>
          </a:r>
          <a:r>
            <a:rPr lang="en-US" sz="1200" b="0" baseline="0">
              <a:solidFill>
                <a:schemeClr val="dk1"/>
              </a:solidFill>
              <a:effectLst/>
              <a:latin typeface="+mn-lt"/>
              <a:ea typeface="+mn-ea"/>
              <a:cs typeface="+mn-cs"/>
            </a:rPr>
            <a:t>[Medium to High Utilization for Classes, Rental, and Special Events (except for September with 0 Special Events]</a:t>
          </a:r>
        </a:p>
        <a:p>
          <a:pPr algn="l"/>
          <a:endParaRPr lang="en-US" sz="1200" b="1" baseline="0">
            <a:solidFill>
              <a:schemeClr val="dk1"/>
            </a:solidFill>
            <a:effectLst/>
            <a:latin typeface="+mn-lt"/>
            <a:ea typeface="+mn-ea"/>
            <a:cs typeface="+mn-cs"/>
          </a:endParaRPr>
        </a:p>
        <a:p>
          <a:r>
            <a:rPr lang="en-US" sz="1200" b="0" baseline="0">
              <a:solidFill>
                <a:schemeClr val="dk1"/>
              </a:solidFill>
              <a:effectLst/>
              <a:latin typeface="+mn-lt"/>
              <a:ea typeface="+mn-ea"/>
              <a:cs typeface="+mn-cs"/>
            </a:rPr>
            <a:t>BA Shift breakdown include </a:t>
          </a:r>
          <a:r>
            <a:rPr lang="en-US" sz="1200" b="1" baseline="0">
              <a:solidFill>
                <a:schemeClr val="dk1"/>
              </a:solidFill>
              <a:effectLst/>
              <a:latin typeface="+mn-lt"/>
              <a:ea typeface="+mn-ea"/>
              <a:cs typeface="+mn-cs"/>
            </a:rPr>
            <a:t>Classes at 46%</a:t>
          </a:r>
          <a:r>
            <a:rPr lang="en-US" sz="1200" b="0" baseline="0">
              <a:solidFill>
                <a:schemeClr val="dk1"/>
              </a:solidFill>
              <a:effectLst/>
              <a:latin typeface="+mn-lt"/>
              <a:ea typeface="+mn-ea"/>
              <a:cs typeface="+mn-cs"/>
            </a:rPr>
            <a:t>, </a:t>
          </a:r>
          <a:r>
            <a:rPr lang="en-US" sz="1200" b="1" baseline="0">
              <a:solidFill>
                <a:schemeClr val="dk1"/>
              </a:solidFill>
              <a:effectLst/>
              <a:latin typeface="+mn-lt"/>
              <a:ea typeface="+mn-ea"/>
              <a:cs typeface="+mn-cs"/>
            </a:rPr>
            <a:t>Rentals at 31%</a:t>
          </a:r>
          <a:r>
            <a:rPr lang="en-US" sz="1200" b="0" baseline="0">
              <a:solidFill>
                <a:schemeClr val="dk1"/>
              </a:solidFill>
              <a:effectLst/>
              <a:latin typeface="+mn-lt"/>
              <a:ea typeface="+mn-ea"/>
              <a:cs typeface="+mn-cs"/>
            </a:rPr>
            <a:t>,</a:t>
          </a:r>
          <a:r>
            <a:rPr lang="en-US" sz="1200" b="1" baseline="0">
              <a:solidFill>
                <a:schemeClr val="dk1"/>
              </a:solidFill>
              <a:effectLst/>
              <a:latin typeface="+mn-lt"/>
              <a:ea typeface="+mn-ea"/>
              <a:cs typeface="+mn-cs"/>
            </a:rPr>
            <a:t> Special Events at 22%</a:t>
          </a:r>
          <a:r>
            <a:rPr lang="en-US" sz="1200" b="0" baseline="0">
              <a:solidFill>
                <a:schemeClr val="dk1"/>
              </a:solidFill>
              <a:effectLst/>
              <a:latin typeface="+mn-lt"/>
              <a:ea typeface="+mn-ea"/>
              <a:cs typeface="+mn-cs"/>
            </a:rPr>
            <a:t> and </a:t>
          </a:r>
          <a:r>
            <a:rPr lang="en-US" sz="1200" b="1" baseline="0">
              <a:solidFill>
                <a:schemeClr val="dk1"/>
              </a:solidFill>
              <a:effectLst/>
              <a:latin typeface="+mn-lt"/>
              <a:ea typeface="+mn-ea"/>
              <a:cs typeface="+mn-cs"/>
            </a:rPr>
            <a:t>Internal Rentals at 1%</a:t>
          </a:r>
          <a:r>
            <a:rPr lang="en-US" sz="1200" b="0" baseline="0">
              <a:solidFill>
                <a:schemeClr val="dk1"/>
              </a:solidFill>
              <a:effectLst/>
              <a:latin typeface="+mn-lt"/>
              <a:ea typeface="+mn-ea"/>
              <a:cs typeface="+mn-cs"/>
            </a:rPr>
            <a:t> of the total 5,520 hours last year</a:t>
          </a:r>
          <a:endParaRPr lang="en-US" sz="1200" b="0">
            <a:effectLst/>
          </a:endParaRPr>
        </a:p>
        <a:p>
          <a:r>
            <a:rPr lang="en-US" sz="1200" b="0" baseline="0">
              <a:solidFill>
                <a:schemeClr val="dk1"/>
              </a:solidFill>
              <a:effectLst/>
              <a:latin typeface="+mn-lt"/>
              <a:ea typeface="+mn-ea"/>
              <a:cs typeface="+mn-cs"/>
            </a:rPr>
            <a:t>Majority of BA utilization are classes in the </a:t>
          </a:r>
          <a:r>
            <a:rPr lang="en-US" sz="1200" b="1" baseline="0">
              <a:solidFill>
                <a:schemeClr val="dk1"/>
              </a:solidFill>
              <a:effectLst/>
              <a:latin typeface="+mn-lt"/>
              <a:ea typeface="+mn-ea"/>
              <a:cs typeface="+mn-cs"/>
            </a:rPr>
            <a:t>Senior Center</a:t>
          </a:r>
          <a:r>
            <a:rPr lang="en-US" sz="1200" b="0" baseline="0">
              <a:solidFill>
                <a:schemeClr val="dk1"/>
              </a:solidFill>
              <a:effectLst/>
              <a:latin typeface="+mn-lt"/>
              <a:ea typeface="+mn-ea"/>
              <a:cs typeface="+mn-cs"/>
            </a:rPr>
            <a:t> totaling to </a:t>
          </a:r>
          <a:r>
            <a:rPr lang="en-US" sz="1200" b="1" baseline="0">
              <a:solidFill>
                <a:schemeClr val="dk1"/>
              </a:solidFill>
              <a:effectLst/>
              <a:latin typeface="+mn-lt"/>
              <a:ea typeface="+mn-ea"/>
              <a:cs typeface="+mn-cs"/>
            </a:rPr>
            <a:t>1933 hours</a:t>
          </a:r>
        </a:p>
        <a:p>
          <a:pPr algn="l"/>
          <a:endParaRPr lang="en-US" sz="1200" b="1" baseline="0"/>
        </a:p>
        <a:p>
          <a:pPr algn="l"/>
          <a:r>
            <a:rPr lang="en-US" sz="1200" b="1" u="sng"/>
            <a:t>Data Cleaning</a:t>
          </a:r>
          <a:r>
            <a:rPr lang="en-US" sz="1200" b="1" u="sng" baseline="0"/>
            <a:t> &amp; Manipulation</a:t>
          </a:r>
        </a:p>
        <a:p>
          <a:pPr algn="l"/>
          <a:r>
            <a:rPr lang="en-US" sz="1200" b="0" baseline="0">
              <a:solidFill>
                <a:schemeClr val="dk1"/>
              </a:solidFill>
              <a:effectLst/>
              <a:latin typeface="+mn-lt"/>
              <a:ea typeface="+mn-ea"/>
              <a:cs typeface="+mn-cs"/>
            </a:rPr>
            <a:t>Cleaned and Standardized the Start Time, End Time, Hours Worked, Shift Type, and Dates</a:t>
          </a:r>
        </a:p>
        <a:p>
          <a:pPr algn="l"/>
          <a:r>
            <a:rPr lang="en-US" sz="1200" b="0" baseline="0">
              <a:solidFill>
                <a:schemeClr val="dk1"/>
              </a:solidFill>
              <a:effectLst/>
              <a:latin typeface="+mn-lt"/>
              <a:ea typeface="+mn-ea"/>
              <a:cs typeface="+mn-cs"/>
            </a:rPr>
            <a:t>Created a Table to separate Shift Types, Facilities, and Special Events</a:t>
          </a:r>
        </a:p>
        <a:p>
          <a:pPr algn="l"/>
          <a:endParaRPr lang="en-US" sz="1200" b="1" baseline="0">
            <a:solidFill>
              <a:schemeClr val="dk1"/>
            </a:solidFill>
            <a:effectLst/>
            <a:latin typeface="+mn-lt"/>
            <a:ea typeface="+mn-ea"/>
            <a:cs typeface="+mn-cs"/>
          </a:endParaRPr>
        </a:p>
        <a:p>
          <a:pPr algn="l"/>
          <a:endParaRPr lang="en-US" sz="12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370116</xdr:colOff>
      <xdr:row>100</xdr:row>
      <xdr:rowOff>1362</xdr:rowOff>
    </xdr:from>
    <xdr:to>
      <xdr:col>4</xdr:col>
      <xdr:colOff>1362076</xdr:colOff>
      <xdr:row>116</xdr:row>
      <xdr:rowOff>0</xdr:rowOff>
    </xdr:to>
    <xdr:sp macro="" textlink="">
      <xdr:nvSpPr>
        <xdr:cNvPr id="2" name="TextBox 1">
          <a:extLst>
            <a:ext uri="{FF2B5EF4-FFF2-40B4-BE49-F238E27FC236}">
              <a16:creationId xmlns:a16="http://schemas.microsoft.com/office/drawing/2014/main" id="{3D880645-88B8-4DAB-BABA-0F15DA18F45E}"/>
            </a:ext>
          </a:extLst>
        </xdr:cNvPr>
        <xdr:cNvSpPr txBox="1"/>
      </xdr:nvSpPr>
      <xdr:spPr>
        <a:xfrm>
          <a:off x="370116" y="19089462"/>
          <a:ext cx="8116660" cy="30466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200" b="1" u="sng">
              <a:solidFill>
                <a:schemeClr val="dk1"/>
              </a:solidFill>
              <a:effectLst/>
              <a:latin typeface="+mn-lt"/>
              <a:ea typeface="+mn-ea"/>
              <a:cs typeface="+mn-cs"/>
            </a:rPr>
            <a:t>Summary &amp; Key Observations</a:t>
          </a:r>
          <a:endParaRPr lang="en-US" sz="1200">
            <a:effectLst/>
          </a:endParaRPr>
        </a:p>
        <a:p>
          <a:r>
            <a:rPr lang="en-US" sz="1200">
              <a:solidFill>
                <a:schemeClr val="dk1"/>
              </a:solidFill>
              <a:effectLst/>
              <a:latin typeface="+mn-lt"/>
              <a:ea typeface="+mn-ea"/>
              <a:cs typeface="+mn-cs"/>
            </a:rPr>
            <a:t>Comparing</a:t>
          </a:r>
          <a:r>
            <a:rPr lang="en-US" sz="1200" baseline="0">
              <a:solidFill>
                <a:schemeClr val="dk1"/>
              </a:solidFill>
              <a:effectLst/>
              <a:latin typeface="+mn-lt"/>
              <a:ea typeface="+mn-ea"/>
              <a:cs typeface="+mn-cs"/>
            </a:rPr>
            <a:t> the 2024 and Projected 2025 Yearly Budget of </a:t>
          </a:r>
          <a:r>
            <a:rPr lang="en-US" sz="1200" b="1" baseline="0">
              <a:solidFill>
                <a:schemeClr val="dk1"/>
              </a:solidFill>
              <a:effectLst/>
              <a:latin typeface="+mn-lt"/>
              <a:ea typeface="+mn-ea"/>
              <a:cs typeface="+mn-cs"/>
            </a:rPr>
            <a:t>$115,069.50 </a:t>
          </a:r>
          <a:r>
            <a:rPr lang="en-US" sz="1200" baseline="0">
              <a:solidFill>
                <a:schemeClr val="dk1"/>
              </a:solidFill>
              <a:effectLst/>
              <a:latin typeface="+mn-lt"/>
              <a:ea typeface="+mn-ea"/>
              <a:cs typeface="+mn-cs"/>
            </a:rPr>
            <a:t>and </a:t>
          </a:r>
          <a:r>
            <a:rPr lang="en-US" sz="1200" b="1" baseline="0">
              <a:solidFill>
                <a:schemeClr val="dk1"/>
              </a:solidFill>
              <a:effectLst/>
              <a:latin typeface="+mn-lt"/>
              <a:ea typeface="+mn-ea"/>
              <a:cs typeface="+mn-cs"/>
            </a:rPr>
            <a:t>$114,933</a:t>
          </a:r>
          <a:r>
            <a:rPr lang="en-US" sz="1200" baseline="0">
              <a:solidFill>
                <a:schemeClr val="dk1"/>
              </a:solidFill>
              <a:effectLst/>
              <a:latin typeface="+mn-lt"/>
              <a:ea typeface="+mn-ea"/>
              <a:cs typeface="+mn-cs"/>
            </a:rPr>
            <a:t> respectively, we are saving  </a:t>
          </a:r>
          <a:r>
            <a:rPr lang="en-US" sz="1200" b="1" baseline="0">
              <a:solidFill>
                <a:schemeClr val="dk1"/>
              </a:solidFill>
              <a:effectLst/>
              <a:latin typeface="+mn-lt"/>
              <a:ea typeface="+mn-ea"/>
              <a:cs typeface="+mn-cs"/>
            </a:rPr>
            <a:t>$850.50</a:t>
          </a:r>
          <a:r>
            <a:rPr lang="en-US" sz="1200" baseline="0">
              <a:solidFill>
                <a:schemeClr val="dk1"/>
              </a:solidFill>
              <a:effectLst/>
              <a:latin typeface="+mn-lt"/>
              <a:ea typeface="+mn-ea"/>
              <a:cs typeface="+mn-cs"/>
            </a:rPr>
            <a:t> which is a </a:t>
          </a:r>
          <a:r>
            <a:rPr lang="en-US" sz="1200" b="1" baseline="0">
              <a:solidFill>
                <a:schemeClr val="dk1"/>
              </a:solidFill>
              <a:effectLst/>
              <a:latin typeface="+mn-lt"/>
              <a:ea typeface="+mn-ea"/>
              <a:cs typeface="+mn-cs"/>
            </a:rPr>
            <a:t>0.7% change </a:t>
          </a:r>
          <a:r>
            <a:rPr lang="en-US" sz="1200" baseline="0">
              <a:solidFill>
                <a:schemeClr val="dk1"/>
              </a:solidFill>
              <a:effectLst/>
              <a:latin typeface="+mn-lt"/>
              <a:ea typeface="+mn-ea"/>
              <a:cs typeface="+mn-cs"/>
            </a:rPr>
            <a:t>with the new allocation of hours: Extended Weekday shifts and Reduced Senior Center Lunch Program</a:t>
          </a:r>
          <a:endParaRPr lang="en-US" sz="120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b="1" u="sng">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b="1" u="sng">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u="sng">
              <a:solidFill>
                <a:schemeClr val="dk1"/>
              </a:solidFill>
              <a:effectLst/>
              <a:latin typeface="+mn-lt"/>
              <a:ea typeface="+mn-ea"/>
              <a:cs typeface="+mn-cs"/>
            </a:rPr>
            <a:t>Recommendations</a:t>
          </a:r>
        </a:p>
        <a:p>
          <a:pPr marL="0" marR="0" lvl="0" indent="0" defTabSz="914400" eaLnBrk="1" fontAlgn="auto" latinLnBrk="0" hangingPunct="1">
            <a:lnSpc>
              <a:spcPct val="100000"/>
            </a:lnSpc>
            <a:spcBef>
              <a:spcPts val="0"/>
            </a:spcBef>
            <a:spcAft>
              <a:spcPts val="0"/>
            </a:spcAft>
            <a:buClrTx/>
            <a:buSzTx/>
            <a:buFontTx/>
            <a:buNone/>
            <a:tabLst/>
            <a:defRPr/>
          </a:pPr>
          <a:r>
            <a:rPr lang="en-US" sz="1200" b="0" u="none" baseline="0">
              <a:solidFill>
                <a:schemeClr val="dk1"/>
              </a:solidFill>
              <a:effectLst/>
              <a:latin typeface="+mn-lt"/>
              <a:ea typeface="+mn-ea"/>
              <a:cs typeface="+mn-cs"/>
            </a:rPr>
            <a:t>Reduce the amount of hours allocated for the Senior Center Lunch Program by 50% </a:t>
          </a:r>
        </a:p>
        <a:p>
          <a:pPr marL="0" marR="0" lvl="0" indent="0" defTabSz="914400" eaLnBrk="1" fontAlgn="auto" latinLnBrk="0" hangingPunct="1">
            <a:lnSpc>
              <a:spcPct val="100000"/>
            </a:lnSpc>
            <a:spcBef>
              <a:spcPts val="0"/>
            </a:spcBef>
            <a:spcAft>
              <a:spcPts val="0"/>
            </a:spcAft>
            <a:buClrTx/>
            <a:buSzTx/>
            <a:buFontTx/>
            <a:buNone/>
            <a:tabLst/>
            <a:defRPr/>
          </a:pPr>
          <a:r>
            <a:rPr lang="en-US" sz="1200" b="0" u="none" baseline="0">
              <a:solidFill>
                <a:schemeClr val="dk1"/>
              </a:solidFill>
              <a:effectLst/>
              <a:latin typeface="+mn-lt"/>
              <a:ea typeface="+mn-ea"/>
              <a:cs typeface="+mn-cs"/>
            </a:rPr>
            <a:t>&amp; Remove shifts that are 3 hours or less: </a:t>
          </a:r>
          <a:r>
            <a:rPr lang="en-US" sz="1200" b="0" baseline="0">
              <a:solidFill>
                <a:schemeClr val="dk1"/>
              </a:solidFill>
              <a:effectLst/>
              <a:latin typeface="+mn-lt"/>
              <a:ea typeface="+mn-ea"/>
              <a:cs typeface="+mn-cs"/>
            </a:rPr>
            <a:t>(9) Shifts Total: (3) 1 hour shifts AND (6) 3 hour shifts</a:t>
          </a:r>
        </a:p>
        <a:p>
          <a:pPr marL="0" marR="0" lvl="0" indent="0" defTabSz="914400" eaLnBrk="1" fontAlgn="auto" latinLnBrk="0" hangingPunct="1">
            <a:lnSpc>
              <a:spcPct val="100000"/>
            </a:lnSpc>
            <a:spcBef>
              <a:spcPts val="0"/>
            </a:spcBef>
            <a:spcAft>
              <a:spcPts val="0"/>
            </a:spcAft>
            <a:buClrTx/>
            <a:buSzTx/>
            <a:buFontTx/>
            <a:buNone/>
            <a:tabLst/>
            <a:defRPr/>
          </a:pPr>
          <a:endParaRPr lang="en-US" sz="1200" b="0" u="non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u="sng" baseline="0">
              <a:solidFill>
                <a:schemeClr val="dk1"/>
              </a:solidFill>
              <a:effectLst/>
              <a:latin typeface="+mn-lt"/>
              <a:ea typeface="+mn-ea"/>
              <a:cs typeface="+mn-cs"/>
            </a:rPr>
            <a:t>Reasoning</a:t>
          </a:r>
          <a:r>
            <a:rPr lang="en-US" sz="1200" b="1" u="none" baseline="0">
              <a:solidFill>
                <a:schemeClr val="dk1"/>
              </a:solidFill>
              <a:effectLst/>
              <a:latin typeface="+mn-lt"/>
              <a:ea typeface="+mn-ea"/>
              <a:cs typeface="+mn-cs"/>
            </a:rPr>
            <a:t>:</a:t>
          </a:r>
          <a:r>
            <a:rPr lang="en-US" sz="1200" b="0" u="none" baseline="0">
              <a:solidFill>
                <a:schemeClr val="dk1"/>
              </a:solidFill>
              <a:effectLst/>
              <a:latin typeface="+mn-lt"/>
              <a:ea typeface="+mn-ea"/>
              <a:cs typeface="+mn-cs"/>
            </a:rPr>
            <a:t> At the Milpitas Sports Center the part-time staff take the Building Attendant shifts (Rentals) at the site. The same can be applied to the Barbara Lee Senior Center.</a:t>
          </a:r>
        </a:p>
        <a:p>
          <a:pPr marL="0" marR="0" lvl="0" indent="0" defTabSz="914400" eaLnBrk="1" fontAlgn="auto" latinLnBrk="0" hangingPunct="1">
            <a:lnSpc>
              <a:spcPct val="100000"/>
            </a:lnSpc>
            <a:spcBef>
              <a:spcPts val="0"/>
            </a:spcBef>
            <a:spcAft>
              <a:spcPts val="0"/>
            </a:spcAft>
            <a:buClrTx/>
            <a:buSzTx/>
            <a:buFontTx/>
            <a:buNone/>
            <a:tabLst/>
            <a:defRPr/>
          </a:pPr>
          <a:endParaRPr lang="en-US" sz="1200" b="0" u="none">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u="sng">
              <a:solidFill>
                <a:schemeClr val="dk1"/>
              </a:solidFill>
              <a:effectLst/>
              <a:latin typeface="+mn-lt"/>
              <a:ea typeface="+mn-ea"/>
              <a:cs typeface="+mn-cs"/>
            </a:rPr>
            <a:t>Action</a:t>
          </a:r>
          <a:r>
            <a:rPr lang="en-US" sz="1200" b="1" u="sng" baseline="0">
              <a:solidFill>
                <a:schemeClr val="dk1"/>
              </a:solidFill>
              <a:effectLst/>
              <a:latin typeface="+mn-lt"/>
              <a:ea typeface="+mn-ea"/>
              <a:cs typeface="+mn-cs"/>
            </a:rPr>
            <a:t> Plan: </a:t>
          </a:r>
        </a:p>
        <a:p>
          <a:pPr marL="0" marR="0" lvl="0" indent="0" defTabSz="914400" eaLnBrk="1" fontAlgn="auto" latinLnBrk="0" hangingPunct="1">
            <a:lnSpc>
              <a:spcPct val="100000"/>
            </a:lnSpc>
            <a:spcBef>
              <a:spcPts val="0"/>
            </a:spcBef>
            <a:spcAft>
              <a:spcPts val="0"/>
            </a:spcAft>
            <a:buClrTx/>
            <a:buSzTx/>
            <a:buFontTx/>
            <a:buNone/>
            <a:tabLst/>
            <a:defRPr/>
          </a:pPr>
          <a:r>
            <a:rPr lang="en-US" sz="1200" b="0" u="none" baseline="0">
              <a:solidFill>
                <a:schemeClr val="dk1"/>
              </a:solidFill>
              <a:effectLst/>
              <a:latin typeface="+mn-lt"/>
              <a:ea typeface="+mn-ea"/>
              <a:cs typeface="+mn-cs"/>
            </a:rPr>
            <a:t>Start by reducing the amount of hours allocated by 25% for 3 months, see if any major complications arise.</a:t>
          </a:r>
        </a:p>
        <a:p>
          <a:pPr marL="0" marR="0" lvl="0" indent="0" defTabSz="914400" eaLnBrk="1" fontAlgn="auto" latinLnBrk="0" hangingPunct="1">
            <a:lnSpc>
              <a:spcPct val="100000"/>
            </a:lnSpc>
            <a:spcBef>
              <a:spcPts val="0"/>
            </a:spcBef>
            <a:spcAft>
              <a:spcPts val="0"/>
            </a:spcAft>
            <a:buClrTx/>
            <a:buSzTx/>
            <a:buFontTx/>
            <a:buNone/>
            <a:tabLst/>
            <a:defRPr/>
          </a:pPr>
          <a:r>
            <a:rPr lang="en-US" sz="1200" b="0" u="none" baseline="0">
              <a:solidFill>
                <a:schemeClr val="dk1"/>
              </a:solidFill>
              <a:effectLst/>
              <a:latin typeface="+mn-lt"/>
              <a:ea typeface="+mn-ea"/>
              <a:cs typeface="+mn-cs"/>
            </a:rPr>
            <a:t>Finish reducing the amount of hours allocated to 50% for the remaining 3 months, see if any major complications arise. </a:t>
          </a:r>
          <a:endParaRPr lang="en-US" sz="1200" baseline="0"/>
        </a:p>
        <a:p>
          <a:endParaRPr lang="en-US" sz="1200" baseline="0"/>
        </a:p>
      </xdr:txBody>
    </xdr:sp>
    <xdr:clientData/>
  </xdr:twoCellAnchor>
  <xdr:twoCellAnchor>
    <xdr:from>
      <xdr:col>0</xdr:col>
      <xdr:colOff>1169122</xdr:colOff>
      <xdr:row>5</xdr:row>
      <xdr:rowOff>156796</xdr:rowOff>
    </xdr:from>
    <xdr:to>
      <xdr:col>4</xdr:col>
      <xdr:colOff>900181</xdr:colOff>
      <xdr:row>25</xdr:row>
      <xdr:rowOff>4396</xdr:rowOff>
    </xdr:to>
    <xdr:graphicFrame macro="">
      <xdr:nvGraphicFramePr>
        <xdr:cNvPr id="6" name="Chart 5">
          <a:extLst>
            <a:ext uri="{FF2B5EF4-FFF2-40B4-BE49-F238E27FC236}">
              <a16:creationId xmlns:a16="http://schemas.microsoft.com/office/drawing/2014/main" id="{921D4636-B589-4DC0-AE73-9C5BF9FC7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880610</xdr:colOff>
      <xdr:row>5</xdr:row>
      <xdr:rowOff>151150</xdr:rowOff>
    </xdr:from>
    <xdr:to>
      <xdr:col>9</xdr:col>
      <xdr:colOff>616841</xdr:colOff>
      <xdr:row>24</xdr:row>
      <xdr:rowOff>189250</xdr:rowOff>
    </xdr:to>
    <xdr:graphicFrame macro="">
      <xdr:nvGraphicFramePr>
        <xdr:cNvPr id="9" name="Chart 8">
          <a:extLst>
            <a:ext uri="{FF2B5EF4-FFF2-40B4-BE49-F238E27FC236}">
              <a16:creationId xmlns:a16="http://schemas.microsoft.com/office/drawing/2014/main" id="{619E0699-4C6D-446E-9642-902DEB4198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400050</xdr:colOff>
      <xdr:row>100</xdr:row>
      <xdr:rowOff>0</xdr:rowOff>
    </xdr:from>
    <xdr:to>
      <xdr:col>9</xdr:col>
      <xdr:colOff>1392010</xdr:colOff>
      <xdr:row>116</xdr:row>
      <xdr:rowOff>0</xdr:rowOff>
    </xdr:to>
    <xdr:sp macro="" textlink="">
      <xdr:nvSpPr>
        <xdr:cNvPr id="13" name="TextBox 12">
          <a:extLst>
            <a:ext uri="{FF2B5EF4-FFF2-40B4-BE49-F238E27FC236}">
              <a16:creationId xmlns:a16="http://schemas.microsoft.com/office/drawing/2014/main" id="{E556C98A-D043-48A0-84F2-9B70C84C652B}"/>
            </a:ext>
          </a:extLst>
        </xdr:cNvPr>
        <xdr:cNvSpPr txBox="1"/>
      </xdr:nvSpPr>
      <xdr:spPr>
        <a:xfrm>
          <a:off x="9305925" y="19088100"/>
          <a:ext cx="8116660" cy="304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u="sng" baseline="0"/>
            <a:t>Senior Center Lunch Program</a:t>
          </a:r>
          <a:r>
            <a:rPr lang="en-US" sz="1200" baseline="0"/>
            <a:t>: Reduce all weekday MSRC Class shifts until 2:00 PM by 2 hours</a:t>
          </a:r>
        </a:p>
        <a:p>
          <a:r>
            <a:rPr lang="en-US" sz="1200" b="1" baseline="0"/>
            <a:t>Decrease</a:t>
          </a:r>
          <a:r>
            <a:rPr lang="en-US" sz="1200" baseline="0"/>
            <a:t> in </a:t>
          </a:r>
          <a:r>
            <a:rPr lang="en-US" sz="1200" b="1" baseline="0"/>
            <a:t>total hours </a:t>
          </a:r>
          <a:r>
            <a:rPr lang="en-US" sz="1200" baseline="0"/>
            <a:t>from 1933 hours to 1291 hours, resulting in a difference of </a:t>
          </a:r>
          <a:r>
            <a:rPr lang="en-US" sz="1200" b="1" u="none" baseline="0"/>
            <a:t>642 hours</a:t>
          </a:r>
        </a:p>
        <a:p>
          <a:r>
            <a:rPr lang="en-US" sz="1200" b="1" baseline="0"/>
            <a:t>Decrease</a:t>
          </a:r>
          <a:r>
            <a:rPr lang="en-US" sz="1200" baseline="0"/>
            <a:t> in </a:t>
          </a:r>
          <a:r>
            <a:rPr lang="en-US" sz="1200" b="1" baseline="0"/>
            <a:t>total budget </a:t>
          </a:r>
          <a:r>
            <a:rPr lang="en-US" sz="1200" baseline="0"/>
            <a:t>by </a:t>
          </a:r>
          <a:r>
            <a:rPr lang="en-US" sz="1200" b="1" baseline="0"/>
            <a:t>$13,482 </a:t>
          </a:r>
          <a:r>
            <a:rPr lang="en-US" sz="1200" baseline="0"/>
            <a:t>from $40,593 in 2024 to $27,111 in 2025</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chemeClr val="dk1"/>
              </a:solidFill>
              <a:effectLst/>
              <a:latin typeface="+mn-lt"/>
              <a:ea typeface="+mn-ea"/>
              <a:cs typeface="+mn-cs"/>
            </a:rPr>
            <a:t>Projected </a:t>
          </a:r>
          <a:r>
            <a:rPr lang="en-US" sz="1200" b="1" baseline="0">
              <a:solidFill>
                <a:schemeClr val="dk1"/>
              </a:solidFill>
              <a:effectLst/>
              <a:latin typeface="+mn-lt"/>
              <a:ea typeface="+mn-ea"/>
              <a:cs typeface="+mn-cs"/>
            </a:rPr>
            <a:t>33.2% change </a:t>
          </a:r>
          <a:r>
            <a:rPr lang="en-US" sz="1200" baseline="0">
              <a:solidFill>
                <a:schemeClr val="dk1"/>
              </a:solidFill>
              <a:effectLst/>
              <a:latin typeface="+mn-lt"/>
              <a:ea typeface="+mn-ea"/>
              <a:cs typeface="+mn-cs"/>
            </a:rPr>
            <a:t>from 2024 to 2025</a:t>
          </a:r>
        </a:p>
        <a:p>
          <a:pPr marL="0" marR="0" lvl="0" indent="0" defTabSz="914400" eaLnBrk="1" fontAlgn="auto" latinLnBrk="0" hangingPunct="1">
            <a:lnSpc>
              <a:spcPct val="100000"/>
            </a:lnSpc>
            <a:spcBef>
              <a:spcPts val="0"/>
            </a:spcBef>
            <a:spcAft>
              <a:spcPts val="0"/>
            </a:spcAft>
            <a:buClrTx/>
            <a:buSzTx/>
            <a:buFontTx/>
            <a:buNone/>
            <a:tabLst/>
            <a:defRPr/>
          </a:pPr>
          <a:endParaRPr lang="en-US" sz="12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u="sng">
              <a:effectLst/>
            </a:rPr>
            <a:t>Extended</a:t>
          </a:r>
          <a:r>
            <a:rPr lang="en-US" sz="1200" b="1" u="sng" baseline="0">
              <a:effectLst/>
            </a:rPr>
            <a:t> Weekday Shift Hours</a:t>
          </a:r>
          <a:r>
            <a:rPr lang="en-US" sz="1200" baseline="0">
              <a:effectLst/>
            </a:rPr>
            <a:t>: (Excluding Special Events)</a:t>
          </a:r>
          <a:endParaRPr lang="en-US" sz="1200">
            <a:effectLst/>
          </a:endParaRPr>
        </a:p>
        <a:p>
          <a:r>
            <a:rPr lang="en-US" sz="1200" b="1" baseline="0"/>
            <a:t>Increase</a:t>
          </a:r>
          <a:r>
            <a:rPr lang="en-US" sz="1200" baseline="0"/>
            <a:t> </a:t>
          </a:r>
          <a:r>
            <a:rPr lang="en-US" sz="1200" b="1" baseline="0"/>
            <a:t>in total hours </a:t>
          </a:r>
          <a:r>
            <a:rPr lang="en-US" sz="1200" baseline="0"/>
            <a:t>from 3588 hours to 4188.5 hours, resulting in a difference of </a:t>
          </a:r>
          <a:r>
            <a:rPr lang="en-US" sz="1200" b="1" baseline="0"/>
            <a:t>601 hours</a:t>
          </a:r>
        </a:p>
        <a:p>
          <a:r>
            <a:rPr lang="en-US" sz="1200" b="1" baseline="0"/>
            <a:t>Increase</a:t>
          </a:r>
          <a:r>
            <a:rPr lang="en-US" sz="1200" baseline="0"/>
            <a:t> in </a:t>
          </a:r>
          <a:r>
            <a:rPr lang="en-US" sz="1200" b="1" baseline="0"/>
            <a:t>total budget </a:t>
          </a:r>
          <a:r>
            <a:rPr lang="en-US" sz="1200" baseline="0"/>
            <a:t>by </a:t>
          </a:r>
          <a:r>
            <a:rPr lang="en-US" sz="1200" b="1" baseline="0"/>
            <a:t>$12,610 </a:t>
          </a:r>
          <a:r>
            <a:rPr lang="en-US" sz="1200" baseline="0"/>
            <a:t>from $75,348 in 2024 to $87,958.50 in 2025</a:t>
          </a:r>
        </a:p>
        <a:p>
          <a:r>
            <a:rPr lang="en-US" sz="1200" baseline="0"/>
            <a:t>Projected </a:t>
          </a:r>
          <a:r>
            <a:rPr lang="en-US" sz="1200" b="1" baseline="0"/>
            <a:t>16.7%</a:t>
          </a:r>
          <a:r>
            <a:rPr lang="en-US" sz="1200" baseline="0"/>
            <a:t> </a:t>
          </a:r>
          <a:r>
            <a:rPr lang="en-US" sz="1200" b="1" baseline="0"/>
            <a:t>change</a:t>
          </a:r>
          <a:r>
            <a:rPr lang="en-US" sz="1200" baseline="0"/>
            <a:t> from 2024 to 2025</a:t>
          </a:r>
        </a:p>
        <a:p>
          <a:endParaRPr lang="en-US" sz="120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chemeClr val="dk1"/>
              </a:solidFill>
              <a:effectLst/>
              <a:latin typeface="+mn-lt"/>
              <a:ea typeface="+mn-ea"/>
              <a:cs typeface="+mn-cs"/>
            </a:rPr>
            <a:t>The seasonal trends are projected to be similar to 2024 (See 2024 Dashboard)</a:t>
          </a:r>
        </a:p>
        <a:p>
          <a:pPr marL="0" marR="0" lvl="0" indent="0" defTabSz="914400" eaLnBrk="1" fontAlgn="auto" latinLnBrk="0" hangingPunct="1">
            <a:lnSpc>
              <a:spcPct val="100000"/>
            </a:lnSpc>
            <a:spcBef>
              <a:spcPts val="0"/>
            </a:spcBef>
            <a:spcAft>
              <a:spcPts val="0"/>
            </a:spcAft>
            <a:buClrTx/>
            <a:buSzTx/>
            <a:buFontTx/>
            <a:buNone/>
            <a:tabLst/>
            <a:defRPr/>
          </a:pPr>
          <a:endParaRPr lang="en-US" sz="1200" baseline="0">
            <a:solidFill>
              <a:schemeClr val="dk1"/>
            </a:solidFill>
            <a:effectLst/>
            <a:latin typeface="+mn-lt"/>
            <a:ea typeface="+mn-ea"/>
            <a:cs typeface="+mn-cs"/>
          </a:endParaRPr>
        </a:p>
        <a:p>
          <a:pPr eaLnBrk="1" fontAlgn="auto" latinLnBrk="0" hangingPunct="1"/>
          <a:r>
            <a:rPr lang="en-US" sz="1200" b="1" u="sng">
              <a:solidFill>
                <a:schemeClr val="dk1"/>
              </a:solidFill>
              <a:effectLst/>
              <a:latin typeface="+mn-lt"/>
              <a:ea typeface="+mn-ea"/>
              <a:cs typeface="+mn-cs"/>
            </a:rPr>
            <a:t>Data Cleaning</a:t>
          </a:r>
          <a:r>
            <a:rPr lang="en-US" sz="1200" b="1" u="sng" baseline="0">
              <a:solidFill>
                <a:schemeClr val="dk1"/>
              </a:solidFill>
              <a:effectLst/>
              <a:latin typeface="+mn-lt"/>
              <a:ea typeface="+mn-ea"/>
              <a:cs typeface="+mn-cs"/>
            </a:rPr>
            <a:t> &amp; Manipulation</a:t>
          </a:r>
          <a:endParaRPr lang="en-US" sz="1200">
            <a:effectLst/>
          </a:endParaRPr>
        </a:p>
        <a:p>
          <a:r>
            <a:rPr lang="en-US" sz="1200">
              <a:solidFill>
                <a:schemeClr val="dk1"/>
              </a:solidFill>
              <a:effectLst/>
              <a:latin typeface="+mn-lt"/>
              <a:ea typeface="+mn-ea"/>
              <a:cs typeface="+mn-cs"/>
            </a:rPr>
            <a:t>Added +2 Hours to all</a:t>
          </a:r>
          <a:r>
            <a:rPr lang="en-US" sz="1200" baseline="0">
              <a:solidFill>
                <a:schemeClr val="dk1"/>
              </a:solidFill>
              <a:effectLst/>
              <a:latin typeface="+mn-lt"/>
              <a:ea typeface="+mn-ea"/>
              <a:cs typeface="+mn-cs"/>
            </a:rPr>
            <a:t> weekday shifts (except Special Events)</a:t>
          </a:r>
          <a:endParaRPr lang="en-US" sz="1200">
            <a:effectLst/>
          </a:endParaRPr>
        </a:p>
        <a:p>
          <a:r>
            <a:rPr lang="en-US" sz="1200" baseline="0">
              <a:solidFill>
                <a:schemeClr val="dk1"/>
              </a:solidFill>
              <a:effectLst/>
              <a:latin typeface="+mn-lt"/>
              <a:ea typeface="+mn-ea"/>
              <a:cs typeface="+mn-cs"/>
            </a:rPr>
            <a:t>Split the MSRC Classes into MSRC Classes and Senior Lunch Program(MSRC Class shifts ending at 2PM)</a:t>
          </a:r>
          <a:endParaRPr lang="en-US" sz="1200">
            <a:effectLst/>
          </a:endParaRPr>
        </a:p>
        <a:p>
          <a:r>
            <a:rPr lang="en-US" sz="1200" baseline="0">
              <a:solidFill>
                <a:schemeClr val="dk1"/>
              </a:solidFill>
              <a:effectLst/>
              <a:latin typeface="+mn-lt"/>
              <a:ea typeface="+mn-ea"/>
              <a:cs typeface="+mn-cs"/>
            </a:rPr>
            <a:t>Senior Lunch Program reduced -2 Hours</a:t>
          </a:r>
          <a:endParaRPr lang="en-US" sz="120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b="1">
            <a:effectLst/>
          </a:endParaRPr>
        </a:p>
      </xdr:txBody>
    </xdr:sp>
    <xdr:clientData/>
  </xdr:twoCellAnchor>
  <xdr:twoCellAnchor>
    <xdr:from>
      <xdr:col>5</xdr:col>
      <xdr:colOff>885825</xdr:colOff>
      <xdr:row>26</xdr:row>
      <xdr:rowOff>0</xdr:rowOff>
    </xdr:from>
    <xdr:to>
      <xdr:col>9</xdr:col>
      <xdr:colOff>619125</xdr:colOff>
      <xdr:row>45</xdr:row>
      <xdr:rowOff>38100</xdr:rowOff>
    </xdr:to>
    <xdr:graphicFrame macro="">
      <xdr:nvGraphicFramePr>
        <xdr:cNvPr id="7" name="Chart 6">
          <a:extLst>
            <a:ext uri="{FF2B5EF4-FFF2-40B4-BE49-F238E27FC236}">
              <a16:creationId xmlns:a16="http://schemas.microsoft.com/office/drawing/2014/main" id="{A1FFE17E-2EA0-610D-60AA-44CFB2FEB2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1162050</xdr:colOff>
      <xdr:row>25</xdr:row>
      <xdr:rowOff>180975</xdr:rowOff>
    </xdr:from>
    <xdr:to>
      <xdr:col>4</xdr:col>
      <xdr:colOff>895350</xdr:colOff>
      <xdr:row>45</xdr:row>
      <xdr:rowOff>28575</xdr:rowOff>
    </xdr:to>
    <xdr:graphicFrame macro="">
      <xdr:nvGraphicFramePr>
        <xdr:cNvPr id="8" name="Chart 7">
          <a:extLst>
            <a:ext uri="{FF2B5EF4-FFF2-40B4-BE49-F238E27FC236}">
              <a16:creationId xmlns:a16="http://schemas.microsoft.com/office/drawing/2014/main" id="{B361CC06-31FA-4329-8794-3610F8D67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76200</xdr:colOff>
      <xdr:row>11</xdr:row>
      <xdr:rowOff>90487</xdr:rowOff>
    </xdr:from>
    <xdr:to>
      <xdr:col>15</xdr:col>
      <xdr:colOff>381000</xdr:colOff>
      <xdr:row>25</xdr:row>
      <xdr:rowOff>166687</xdr:rowOff>
    </xdr:to>
    <xdr:graphicFrame macro="">
      <xdr:nvGraphicFramePr>
        <xdr:cNvPr id="2" name="Chart 1">
          <a:extLst>
            <a:ext uri="{FF2B5EF4-FFF2-40B4-BE49-F238E27FC236}">
              <a16:creationId xmlns:a16="http://schemas.microsoft.com/office/drawing/2014/main" id="{E0A61E35-4C93-DB0E-9974-8B5621B2A8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16</xdr:col>
      <xdr:colOff>804583</xdr:colOff>
      <xdr:row>5</xdr:row>
      <xdr:rowOff>188819</xdr:rowOff>
    </xdr:from>
    <xdr:to>
      <xdr:col>28</xdr:col>
      <xdr:colOff>122705</xdr:colOff>
      <xdr:row>22</xdr:row>
      <xdr:rowOff>168088</xdr:rowOff>
    </xdr:to>
    <xdr:graphicFrame macro="">
      <xdr:nvGraphicFramePr>
        <xdr:cNvPr id="3" name="Chart 2">
          <a:extLst>
            <a:ext uri="{FF2B5EF4-FFF2-40B4-BE49-F238E27FC236}">
              <a16:creationId xmlns:a16="http://schemas.microsoft.com/office/drawing/2014/main" id="{3A964E51-F7D6-A521-C5FB-BB808271BE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784411</xdr:colOff>
      <xdr:row>32</xdr:row>
      <xdr:rowOff>72837</xdr:rowOff>
    </xdr:from>
    <xdr:to>
      <xdr:col>14</xdr:col>
      <xdr:colOff>1217519</xdr:colOff>
      <xdr:row>56</xdr:row>
      <xdr:rowOff>72837</xdr:rowOff>
    </xdr:to>
    <xdr:graphicFrame macro="">
      <xdr:nvGraphicFramePr>
        <xdr:cNvPr id="4" name="Chart 3">
          <a:extLst>
            <a:ext uri="{FF2B5EF4-FFF2-40B4-BE49-F238E27FC236}">
              <a16:creationId xmlns:a16="http://schemas.microsoft.com/office/drawing/2014/main" id="{D5B4456D-101D-A3F9-E531-537B22F3AF42}"/>
            </a:ext>
            <a:ext uri="{147F2762-F138-4A5C-976F-8EAC2B608ADB}">
              <a16:predDERef xmlns:a16="http://schemas.microsoft.com/office/drawing/2014/main" pred="{3A964E51-F7D6-A521-C5FB-BB808271BE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543483</xdr:colOff>
      <xdr:row>79</xdr:row>
      <xdr:rowOff>45943</xdr:rowOff>
    </xdr:from>
    <xdr:to>
      <xdr:col>13</xdr:col>
      <xdr:colOff>722777</xdr:colOff>
      <xdr:row>93</xdr:row>
      <xdr:rowOff>110937</xdr:rowOff>
    </xdr:to>
    <xdr:graphicFrame macro="">
      <xdr:nvGraphicFramePr>
        <xdr:cNvPr id="2" name="Chart 1">
          <a:extLst>
            <a:ext uri="{FF2B5EF4-FFF2-40B4-BE49-F238E27FC236}">
              <a16:creationId xmlns:a16="http://schemas.microsoft.com/office/drawing/2014/main" id="{0BBD3392-90E6-0962-9722-A306B92854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117661</xdr:colOff>
      <xdr:row>78</xdr:row>
      <xdr:rowOff>79560</xdr:rowOff>
    </xdr:from>
    <xdr:to>
      <xdr:col>19</xdr:col>
      <xdr:colOff>431426</xdr:colOff>
      <xdr:row>92</xdr:row>
      <xdr:rowOff>122143</xdr:rowOff>
    </xdr:to>
    <xdr:graphicFrame macro="">
      <xdr:nvGraphicFramePr>
        <xdr:cNvPr id="5" name="Chart 4">
          <a:extLst>
            <a:ext uri="{FF2B5EF4-FFF2-40B4-BE49-F238E27FC236}">
              <a16:creationId xmlns:a16="http://schemas.microsoft.com/office/drawing/2014/main" id="{2EBE7D54-06BD-B0DE-FF22-705FD0457A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577102</xdr:colOff>
      <xdr:row>94</xdr:row>
      <xdr:rowOff>158002</xdr:rowOff>
    </xdr:from>
    <xdr:to>
      <xdr:col>13</xdr:col>
      <xdr:colOff>756396</xdr:colOff>
      <xdr:row>108</xdr:row>
      <xdr:rowOff>43702</xdr:rowOff>
    </xdr:to>
    <xdr:graphicFrame macro="">
      <xdr:nvGraphicFramePr>
        <xdr:cNvPr id="6" name="Chart 5">
          <a:extLst>
            <a:ext uri="{FF2B5EF4-FFF2-40B4-BE49-F238E27FC236}">
              <a16:creationId xmlns:a16="http://schemas.microsoft.com/office/drawing/2014/main" id="{75E96A4E-4714-5688-BC87-2FBD878C6E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453837</xdr:colOff>
      <xdr:row>219</xdr:row>
      <xdr:rowOff>45943</xdr:rowOff>
    </xdr:from>
    <xdr:to>
      <xdr:col>10</xdr:col>
      <xdr:colOff>84043</xdr:colOff>
      <xdr:row>233</xdr:row>
      <xdr:rowOff>122143</xdr:rowOff>
    </xdr:to>
    <xdr:graphicFrame macro="">
      <xdr:nvGraphicFramePr>
        <xdr:cNvPr id="7" name="Chart 6">
          <a:extLst>
            <a:ext uri="{FF2B5EF4-FFF2-40B4-BE49-F238E27FC236}">
              <a16:creationId xmlns:a16="http://schemas.microsoft.com/office/drawing/2014/main" id="{DA29939A-C6E0-4EE8-8DA9-F20FA018CA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1187823</xdr:colOff>
      <xdr:row>216</xdr:row>
      <xdr:rowOff>68355</xdr:rowOff>
    </xdr:from>
    <xdr:to>
      <xdr:col>9</xdr:col>
      <xdr:colOff>717176</xdr:colOff>
      <xdr:row>230</xdr:row>
      <xdr:rowOff>144555</xdr:rowOff>
    </xdr:to>
    <xdr:graphicFrame macro="">
      <xdr:nvGraphicFramePr>
        <xdr:cNvPr id="8" name="Chart 7">
          <a:extLst>
            <a:ext uri="{FF2B5EF4-FFF2-40B4-BE49-F238E27FC236}">
              <a16:creationId xmlns:a16="http://schemas.microsoft.com/office/drawing/2014/main" id="{608733EC-0AB6-432E-AFE5-F54DC1DC47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621926</xdr:colOff>
      <xdr:row>222</xdr:row>
      <xdr:rowOff>68355</xdr:rowOff>
    </xdr:from>
    <xdr:to>
      <xdr:col>11</xdr:col>
      <xdr:colOff>296955</xdr:colOff>
      <xdr:row>236</xdr:row>
      <xdr:rowOff>144555</xdr:rowOff>
    </xdr:to>
    <xdr:graphicFrame macro="">
      <xdr:nvGraphicFramePr>
        <xdr:cNvPr id="9" name="Chart 8">
          <a:extLst>
            <a:ext uri="{FF2B5EF4-FFF2-40B4-BE49-F238E27FC236}">
              <a16:creationId xmlns:a16="http://schemas.microsoft.com/office/drawing/2014/main" id="{FBF88674-9FF6-450E-B134-AF44F8170F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1187823</xdr:colOff>
      <xdr:row>228</xdr:row>
      <xdr:rowOff>68355</xdr:rowOff>
    </xdr:from>
    <xdr:to>
      <xdr:col>9</xdr:col>
      <xdr:colOff>717176</xdr:colOff>
      <xdr:row>242</xdr:row>
      <xdr:rowOff>144555</xdr:rowOff>
    </xdr:to>
    <xdr:graphicFrame macro="">
      <xdr:nvGraphicFramePr>
        <xdr:cNvPr id="10" name="Chart 9">
          <a:extLst>
            <a:ext uri="{FF2B5EF4-FFF2-40B4-BE49-F238E27FC236}">
              <a16:creationId xmlns:a16="http://schemas.microsoft.com/office/drawing/2014/main" id="{6244C34D-CD74-4968-8C88-DD0EFDA43B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819150</xdr:colOff>
      <xdr:row>30</xdr:row>
      <xdr:rowOff>76200</xdr:rowOff>
    </xdr:from>
    <xdr:to>
      <xdr:col>9</xdr:col>
      <xdr:colOff>942975</xdr:colOff>
      <xdr:row>60</xdr:row>
      <xdr:rowOff>114300</xdr:rowOff>
    </xdr:to>
    <xdr:sp macro="" textlink="">
      <xdr:nvSpPr>
        <xdr:cNvPr id="9" name="TextBox 8">
          <a:extLst>
            <a:ext uri="{FF2B5EF4-FFF2-40B4-BE49-F238E27FC236}">
              <a16:creationId xmlns:a16="http://schemas.microsoft.com/office/drawing/2014/main" id="{539D727D-C365-C0C8-CD57-113D39036696}"/>
            </a:ext>
          </a:extLst>
        </xdr:cNvPr>
        <xdr:cNvSpPr txBox="1"/>
      </xdr:nvSpPr>
      <xdr:spPr>
        <a:xfrm>
          <a:off x="9725025" y="8658225"/>
          <a:ext cx="7248525" cy="5772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5</xdr:col>
      <xdr:colOff>857250</xdr:colOff>
      <xdr:row>6</xdr:row>
      <xdr:rowOff>57150</xdr:rowOff>
    </xdr:from>
    <xdr:to>
      <xdr:col>9</xdr:col>
      <xdr:colOff>590550</xdr:colOff>
      <xdr:row>25</xdr:row>
      <xdr:rowOff>95250</xdr:rowOff>
    </xdr:to>
    <xdr:graphicFrame macro="">
      <xdr:nvGraphicFramePr>
        <xdr:cNvPr id="11" name="Chart 10">
          <a:extLst>
            <a:ext uri="{FF2B5EF4-FFF2-40B4-BE49-F238E27FC236}">
              <a16:creationId xmlns:a16="http://schemas.microsoft.com/office/drawing/2014/main" id="{4A92BBCF-41B3-278D-C420-938884A1C5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1219200</xdr:colOff>
      <xdr:row>6</xdr:row>
      <xdr:rowOff>66675</xdr:rowOff>
    </xdr:from>
    <xdr:to>
      <xdr:col>4</xdr:col>
      <xdr:colOff>952500</xdr:colOff>
      <xdr:row>25</xdr:row>
      <xdr:rowOff>104775</xdr:rowOff>
    </xdr:to>
    <xdr:graphicFrame macro="">
      <xdr:nvGraphicFramePr>
        <xdr:cNvPr id="12" name="Chart 11">
          <a:extLst>
            <a:ext uri="{FF2B5EF4-FFF2-40B4-BE49-F238E27FC236}">
              <a16:creationId xmlns:a16="http://schemas.microsoft.com/office/drawing/2014/main" id="{1774FADF-DBEA-44BF-8383-507FC4539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28577</xdr:colOff>
      <xdr:row>15</xdr:row>
      <xdr:rowOff>17370</xdr:rowOff>
    </xdr:from>
    <xdr:to>
      <xdr:col>4</xdr:col>
      <xdr:colOff>773206</xdr:colOff>
      <xdr:row>34</xdr:row>
      <xdr:rowOff>11206</xdr:rowOff>
    </xdr:to>
    <xdr:graphicFrame macro="">
      <xdr:nvGraphicFramePr>
        <xdr:cNvPr id="7" name="Chart 6">
          <a:extLst>
            <a:ext uri="{FF2B5EF4-FFF2-40B4-BE49-F238E27FC236}">
              <a16:creationId xmlns:a16="http://schemas.microsoft.com/office/drawing/2014/main" id="{3CF35D8A-E3F0-B2AF-2BF1-AC638F8E41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1014130</xdr:colOff>
      <xdr:row>15</xdr:row>
      <xdr:rowOff>57149</xdr:rowOff>
    </xdr:from>
    <xdr:to>
      <xdr:col>12</xdr:col>
      <xdr:colOff>739588</xdr:colOff>
      <xdr:row>32</xdr:row>
      <xdr:rowOff>112059</xdr:rowOff>
    </xdr:to>
    <xdr:graphicFrame macro="">
      <xdr:nvGraphicFramePr>
        <xdr:cNvPr id="3" name="Chart 2">
          <a:extLst>
            <a:ext uri="{FF2B5EF4-FFF2-40B4-BE49-F238E27FC236}">
              <a16:creationId xmlns:a16="http://schemas.microsoft.com/office/drawing/2014/main" id="{42D03F43-E14B-357A-A218-5710B7B89F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61631</xdr:colOff>
      <xdr:row>43</xdr:row>
      <xdr:rowOff>45943</xdr:rowOff>
    </xdr:from>
    <xdr:to>
      <xdr:col>9</xdr:col>
      <xdr:colOff>302557</xdr:colOff>
      <xdr:row>59</xdr:row>
      <xdr:rowOff>156882</xdr:rowOff>
    </xdr:to>
    <xdr:graphicFrame macro="">
      <xdr:nvGraphicFramePr>
        <xdr:cNvPr id="4" name="Chart 3">
          <a:extLst>
            <a:ext uri="{FF2B5EF4-FFF2-40B4-BE49-F238E27FC236}">
              <a16:creationId xmlns:a16="http://schemas.microsoft.com/office/drawing/2014/main" id="{86CD624E-44E6-BA30-9F11-B8088CE4B6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268942</xdr:colOff>
      <xdr:row>45</xdr:row>
      <xdr:rowOff>179292</xdr:rowOff>
    </xdr:from>
    <xdr:to>
      <xdr:col>14</xdr:col>
      <xdr:colOff>381000</xdr:colOff>
      <xdr:row>67</xdr:row>
      <xdr:rowOff>179293</xdr:rowOff>
    </xdr:to>
    <xdr:graphicFrame macro="">
      <xdr:nvGraphicFramePr>
        <xdr:cNvPr id="2" name="Chart 1">
          <a:extLst>
            <a:ext uri="{FF2B5EF4-FFF2-40B4-BE49-F238E27FC236}">
              <a16:creationId xmlns:a16="http://schemas.microsoft.com/office/drawing/2014/main" id="{30D515CD-CD24-4443-8F11-7F0FF78CC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140073</xdr:colOff>
      <xdr:row>58</xdr:row>
      <xdr:rowOff>169208</xdr:rowOff>
    </xdr:from>
    <xdr:to>
      <xdr:col>12</xdr:col>
      <xdr:colOff>498661</xdr:colOff>
      <xdr:row>73</xdr:row>
      <xdr:rowOff>54908</xdr:rowOff>
    </xdr:to>
    <xdr:graphicFrame macro="">
      <xdr:nvGraphicFramePr>
        <xdr:cNvPr id="5" name="Chart 4">
          <a:extLst>
            <a:ext uri="{FF2B5EF4-FFF2-40B4-BE49-F238E27FC236}">
              <a16:creationId xmlns:a16="http://schemas.microsoft.com/office/drawing/2014/main" id="{9EA9E5DF-B1A9-AD8C-310A-A61FF6DF64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858370</xdr:colOff>
      <xdr:row>4</xdr:row>
      <xdr:rowOff>4761</xdr:rowOff>
    </xdr:from>
    <xdr:to>
      <xdr:col>10</xdr:col>
      <xdr:colOff>548527</xdr:colOff>
      <xdr:row>25</xdr:row>
      <xdr:rowOff>173130</xdr:rowOff>
    </xdr:to>
    <xdr:graphicFrame macro="">
      <xdr:nvGraphicFramePr>
        <xdr:cNvPr id="3" name="Chart 2">
          <a:extLst>
            <a:ext uri="{FF2B5EF4-FFF2-40B4-BE49-F238E27FC236}">
              <a16:creationId xmlns:a16="http://schemas.microsoft.com/office/drawing/2014/main" id="{DF9F6CAF-9EC1-40BD-A216-C7851C8F5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347662</xdr:colOff>
      <xdr:row>7</xdr:row>
      <xdr:rowOff>185737</xdr:rowOff>
    </xdr:from>
    <xdr:to>
      <xdr:col>16</xdr:col>
      <xdr:colOff>642937</xdr:colOff>
      <xdr:row>22</xdr:row>
      <xdr:rowOff>71437</xdr:rowOff>
    </xdr:to>
    <xdr:graphicFrame macro="">
      <xdr:nvGraphicFramePr>
        <xdr:cNvPr id="6" name="Chart 5">
          <a:extLst>
            <a:ext uri="{FF2B5EF4-FFF2-40B4-BE49-F238E27FC236}">
              <a16:creationId xmlns:a16="http://schemas.microsoft.com/office/drawing/2014/main" id="{55E5800A-2103-6D86-892C-543C3B7B1C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783.882443055554" createdVersion="8" refreshedVersion="8" minRefreshableVersion="3" recordCount="996" xr:uid="{46FE5150-7FC1-4B07-8DD8-0016348CB4A7}">
  <cacheSource type="worksheet">
    <worksheetSource ref="A1:G997" sheet="Total Hours 2024 - SE"/>
  </cacheSource>
  <cacheFields count="10">
    <cacheField name="Date" numFmtId="14">
      <sharedItems containsSemiMixedTypes="0" containsNonDate="0" containsDate="1" containsString="0" minDate="2024-01-02T00:00:00" maxDate="2024-12-22T00:00:00" count="354">
        <d v="2024-01-02T00:00:00"/>
        <d v="2024-01-03T00:00:00"/>
        <d v="2024-01-04T00:00:00"/>
        <d v="2024-01-05T00:00:00"/>
        <d v="2024-01-06T00:00:00"/>
        <d v="2024-01-07T00:00:00"/>
        <d v="2024-01-08T00:00:00"/>
        <d v="2024-01-09T00:00:00"/>
        <d v="2024-01-10T00:00:00"/>
        <d v="2024-01-11T00:00:00"/>
        <d v="2024-01-12T00:00:00"/>
        <d v="2024-01-13T00:00:00"/>
        <d v="2024-01-14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20T00:00:00"/>
        <d v="2024-02-21T00:00:00"/>
        <d v="2024-02-22T00:00:00"/>
        <d v="2024-02-23T00:00:00"/>
        <d v="2024-02-24T00:00:00"/>
        <d v="2024-02-25T00:00:00"/>
        <d v="2024-02-26T00:00:00"/>
        <d v="2024-02-27T00:00:00"/>
        <d v="2024-02-28T00:00:00"/>
        <d v="2024-02-29T00:00:00"/>
        <d v="2024-03-01T00:00:00"/>
        <d v="2024-03-02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4-02T00:00:00"/>
        <d v="2024-04-03T00:00:00"/>
        <d v="2024-04-04T00:00:00"/>
        <d v="2024-04-05T00:00:00"/>
        <d v="2024-04-06T00:00:00"/>
        <d v="2024-04-07T00:00:00"/>
        <d v="2024-04-08T00:00:00"/>
        <d v="2024-04-09T00:00:00"/>
        <d v="2024-04-10T00:00:00"/>
        <d v="2024-04-11T00:00:00"/>
        <d v="2024-04-12T00:00:00"/>
        <d v="2024-04-13T00:00:00"/>
        <d v="2024-04-14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5T00:00:00"/>
        <d v="2024-08-06T00:00:00"/>
        <d v="2024-08-07T00:00:00"/>
        <d v="2024-08-08T00:00:00"/>
        <d v="2024-08-09T00:00:00"/>
        <d v="2024-08-10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30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02-03T00:00:00"/>
        <d v="2024-02-04T00:00:00"/>
        <d v="2024-02-19T00:00:00"/>
        <d v="2024-03-03T00:00:00"/>
        <d v="2024-05-27T00:00:00"/>
        <d v="2024-07-04T00:00:00"/>
        <d v="2024-08-04T00:00:00"/>
        <d v="2024-11-11T00:00:00"/>
        <d v="2024-12-01T00:00:00"/>
        <d v="2024-01-15T00:00:00" u="1"/>
        <d v="2024-03-31T00:00:00" u="1"/>
        <d v="2024-04-01T00:00:00" u="1"/>
        <d v="2024-04-15T00:00:00" u="1"/>
        <d v="2024-05-05T00:00:00" u="1"/>
        <d v="2024-08-11T00:00:00" u="1"/>
        <d v="2024-09-01T00:00:00" u="1"/>
        <d v="2024-09-02T00:00:00" u="1"/>
        <d v="2024-11-28T00:00:00" u="1"/>
        <d v="2024-11-29T00:00:00" u="1"/>
      </sharedItems>
      <fieldGroup par="8"/>
    </cacheField>
    <cacheField name="Shift Type (Rental Attendant, MSRC Class, MCC Class, CRAC Class, AD Class)" numFmtId="0">
      <sharedItems containsBlank="1" count="21">
        <s v="MSRC Classes"/>
        <s v="MCC Classes"/>
        <s v="MCC Rental"/>
        <s v="MSRC Rental"/>
        <s v="MCC Internal Rental"/>
        <s v="CRAC Rental"/>
        <s v="CRAC Classes"/>
        <s v="AD Classes"/>
        <s v="AD Rental"/>
        <s v="MCC Internal"/>
        <s v="MSRC Internal Rental"/>
        <s v="MSC Classes"/>
        <s v="MCC Classes/Rental"/>
        <s v="AD Internal"/>
        <s v="MSC Rental"/>
        <s v="Special Events"/>
        <s v="MSRC Classes " u="1"/>
        <s v="MCC Classes " u="1"/>
        <m u="1"/>
        <s v="CRAC Classes " u="1"/>
        <s v="CRAC Rental " u="1"/>
      </sharedItems>
    </cacheField>
    <cacheField name="Start Time" numFmtId="0">
      <sharedItems containsSemiMixedTypes="0" containsNonDate="0" containsDate="1" containsString="0" minDate="1899-12-30T06:00:00" maxDate="1899-12-30T20:00:00" count="31">
        <d v="1899-12-30T07:45:00"/>
        <d v="1899-12-30T17:00:00"/>
        <d v="1899-12-30T08:00:00"/>
        <d v="1899-12-30T14:00:00"/>
        <d v="1899-12-30T10:00:00"/>
        <d v="1899-12-30T18:00:00"/>
        <d v="1899-12-30T09:30:00"/>
        <d v="1899-12-30T11:00:00"/>
        <d v="1899-12-30T12:30:00"/>
        <d v="1899-12-30T16:00:00"/>
        <d v="1899-12-30T13:00:00"/>
        <d v="1899-12-30T07:00:00"/>
        <d v="1899-12-30T15:00:00"/>
        <d v="1899-12-30T15:45:00"/>
        <d v="1899-12-30T16:30:00"/>
        <d v="1899-12-30T18:30:00"/>
        <d v="1899-12-30T07:30:00"/>
        <d v="1899-12-30T09:00:00"/>
        <d v="1899-12-30T12:00:00"/>
        <d v="1899-12-30T17:30:00"/>
        <d v="1899-12-30T14:30:00"/>
        <d v="1899-12-30T15:30:00"/>
        <d v="1899-12-30T06:00:00"/>
        <d v="1899-12-30T08:30:00"/>
        <d v="1899-12-30T19:00:00"/>
        <d v="1899-12-30T11:30:00"/>
        <d v="1899-12-30T06:45:00"/>
        <d v="1899-12-30T06:30:00"/>
        <d v="1899-12-30T20:00:00"/>
        <d v="1899-12-30T13:30:00"/>
        <d v="1899-12-30T19:30:00"/>
      </sharedItems>
      <fieldGroup par="9"/>
    </cacheField>
    <cacheField name="End Time" numFmtId="0">
      <sharedItems containsSemiMixedTypes="0" containsNonDate="0" containsDate="1" containsString="0" minDate="1899-12-30T00:00:00" maxDate="1899-12-30T23:30:00"/>
    </cacheField>
    <cacheField name="Hours Worked" numFmtId="2">
      <sharedItems containsSemiMixedTypes="0" containsString="0" containsNumber="1" minValue="1.5" maxValue="16"/>
    </cacheField>
    <cacheField name="Lunch Break (if applicable)" numFmtId="0">
      <sharedItems containsString="0" containsBlank="1" containsNumber="1" minValue="0.5" maxValue="1.5"/>
    </cacheField>
    <cacheField name="Total Hours Worked" numFmtId="0">
      <sharedItems containsString="0" containsBlank="1" containsNumber="1" minValue="1235.5" maxValue="5521"/>
    </cacheField>
    <cacheField name="Days (Date)" numFmtId="0" databaseField="0">
      <fieldGroup base="0">
        <rangePr groupBy="days" startDate="2024-01-02T00:00:00" endDate="2024-12-22T00:00:00"/>
        <groupItems count="368">
          <s v="&lt;1/2/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2024"/>
        </groupItems>
      </fieldGroup>
    </cacheField>
    <cacheField name="Months (Date)" numFmtId="0" databaseField="0">
      <fieldGroup base="0">
        <rangePr groupBy="months" startDate="2024-01-02T00:00:00" endDate="2024-12-22T00:00:00"/>
        <groupItems count="14">
          <s v="&lt;1/2/2024"/>
          <s v="Jan"/>
          <s v="Feb"/>
          <s v="Mar"/>
          <s v="Apr"/>
          <s v="May"/>
          <s v="Jun"/>
          <s v="Jul"/>
          <s v="Aug"/>
          <s v="Sep"/>
          <s v="Oct"/>
          <s v="Nov"/>
          <s v="Dec"/>
          <s v="&gt;12/22/2024"/>
        </groupItems>
      </fieldGroup>
    </cacheField>
    <cacheField name="Hours (Start Time)" numFmtId="0" databaseField="0">
      <fieldGroup base="2">
        <rangePr groupBy="hours" startDate="1899-12-30T06:00:00" endDate="1899-12-30T20:00: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mar Reyes" refreshedDate="45784.685494328703" createdVersion="8" refreshedVersion="8" minRefreshableVersion="3" recordCount="162" xr:uid="{3552BB1E-18B1-4D87-BFBA-88DDA925D2E4}">
  <cacheSource type="worksheet">
    <worksheetSource ref="A1:B163" sheet="Sheet3"/>
  </cacheSource>
  <cacheFields count="2">
    <cacheField name="Special Events" numFmtId="0">
      <sharedItems count="39">
        <s v="Dia De Los Muertos"/>
        <s v="MSRC Flapjack Feast"/>
        <s v="4th Of July"/>
        <s v="Big Bunny Scramble"/>
        <s v="Bike To Wherever"/>
        <s v="Commisionner's Recognition"/>
        <s v="Earth Day"/>
        <s v="Family Campout"/>
        <s v="Family Game Night"/>
        <s v="Fiesta"/>
        <s v="Flag Raising"/>
        <s v="Haunted House Assistance"/>
        <s v="Hero's Event"/>
        <s v="Holi Festival"/>
        <s v="Independence Day Pool Party"/>
        <s v="Lantern Festival"/>
        <s v="Lantern"/>
        <s v="Lunar New Year"/>
        <s v="MCT Assistance"/>
        <s v="Memorial Day"/>
        <s v="Milpitas Fiesta"/>
        <s v="Mipitas Fiesta"/>
        <s v="Movie Night"/>
        <s v="Pumpkins in the Park"/>
        <s v="Rider"/>
        <s v="Riser"/>
        <s v="Skate Park Mural"/>
        <s v="Special Event Help"/>
        <s v="Stage Riser"/>
        <s v="State of The City"/>
        <s v="Summer Concert"/>
        <s v="Tech Booth"/>
        <s v="Tree Lighting"/>
        <s v="Veterans Day"/>
        <s v="Veterans Day Rehersal"/>
        <s v="Veterans Luncheon"/>
        <s v="Volunteer Appreciation Picnic"/>
        <s v="Willy Wonka Strike (MCC)"/>
        <s v="Winter Wonderland Ball"/>
      </sharedItems>
    </cacheField>
    <cacheField name="Hours" numFmtId="0">
      <sharedItems containsSemiMixedTypes="0" containsString="0" containsNumber="1" minValue="2" maxValue="2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mar Reyes" refreshedDate="45784.689245254631" createdVersion="8" refreshedVersion="8" minRefreshableVersion="3" recordCount="162" xr:uid="{6946BA74-9E6C-487B-9B7D-AB5CC8C43CF6}">
  <cacheSource type="worksheet">
    <worksheetSource ref="D1:E163" sheet="Sheet3"/>
  </cacheSource>
  <cacheFields count="2">
    <cacheField name="Special Events" numFmtId="0">
      <sharedItems count="33">
        <s v="Dia De Los Muertos"/>
        <s v="MSRC Flapjack Feast"/>
        <s v="4th Of July"/>
        <s v="Big Bunny Scramble"/>
        <s v="Bike To Wherever"/>
        <s v="Commisionner's Recognition"/>
        <s v="Earth Day"/>
        <s v="Family Campout"/>
        <s v="Family Game Night"/>
        <s v="Fiesta"/>
        <s v="Flag Raising"/>
        <s v="Haunted House Assistance"/>
        <s v="Hero's Event"/>
        <s v="Holi Festival"/>
        <s v="Independence Day Pool Party"/>
        <s v="Lantern Festival"/>
        <s v="Lunar New Year"/>
        <s v="MCT Assistance"/>
        <s v="Memorial Day"/>
        <s v="Milpitas Fiesta"/>
        <s v="Movie Night"/>
        <s v="Pumpkins in the Park"/>
        <s v="Stage Stage Riser"/>
        <s v="Skate Park Mural"/>
        <s v="Special Event Help"/>
        <s v="State of The City"/>
        <s v="Summer Concert"/>
        <s v="Tech Booth"/>
        <s v="Tree Lighting"/>
        <s v="Veterans Day"/>
        <s v="Volunteer Appreciation Picnic"/>
        <s v="Willy Wonka Strike (MCC)"/>
        <s v="Winter Wonderland Ball"/>
      </sharedItems>
    </cacheField>
    <cacheField name="Hours" numFmtId="0">
      <sharedItems containsSemiMixedTypes="0" containsString="0" containsNumber="1" minValue="2" maxValue="2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mar Reyes" refreshedDate="45790.53989270833" createdVersion="8" refreshedVersion="8" minRefreshableVersion="3" recordCount="997" xr:uid="{AC7CE5FA-026D-4F46-A42A-141061C5F989}">
  <cacheSource type="worksheet">
    <worksheetSource ref="A1:I1048576" sheet="Added Hours 2024 - SE"/>
  </cacheSource>
  <cacheFields count="11">
    <cacheField name="Date" numFmtId="167">
      <sharedItems containsNonDate="0" containsDate="1" containsString="0" containsBlank="1" minDate="2024-01-02T00:00:00" maxDate="2024-12-22T00:00:00" count="345">
        <d v="2024-01-02T00:00:00"/>
        <d v="2024-01-03T00:00:00"/>
        <d v="2024-01-04T00:00:00"/>
        <d v="2024-01-05T00:00:00"/>
        <d v="2024-01-06T00:00:00"/>
        <d v="2024-01-07T00:00:00"/>
        <d v="2024-01-08T00:00:00"/>
        <d v="2024-01-09T00:00:00"/>
        <d v="2024-01-10T00:00:00"/>
        <d v="2024-01-11T00:00:00"/>
        <d v="2024-01-12T00:00:00"/>
        <d v="2024-01-13T00:00:00"/>
        <d v="2024-01-14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20T00:00:00"/>
        <d v="2024-02-21T00:00:00"/>
        <d v="2024-02-22T00:00:00"/>
        <d v="2024-02-23T00:00:00"/>
        <d v="2024-02-24T00:00:00"/>
        <d v="2024-02-25T00:00:00"/>
        <d v="2024-02-26T00:00:00"/>
        <d v="2024-02-27T00:00:00"/>
        <d v="2024-02-28T00:00:00"/>
        <d v="2024-02-29T00:00:00"/>
        <d v="2024-03-01T00:00:00"/>
        <d v="2024-03-02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4-02T00:00:00"/>
        <d v="2024-04-03T00:00:00"/>
        <d v="2024-04-04T00:00:00"/>
        <d v="2024-04-05T00:00:00"/>
        <d v="2024-04-06T00:00:00"/>
        <d v="2024-04-07T00:00:00"/>
        <d v="2024-04-08T00:00:00"/>
        <d v="2024-04-09T00:00:00"/>
        <d v="2024-04-10T00:00:00"/>
        <d v="2024-04-11T00:00:00"/>
        <d v="2024-04-12T00:00:00"/>
        <d v="2024-04-13T00:00:00"/>
        <d v="2024-04-14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5T00:00:00"/>
        <d v="2024-08-06T00:00:00"/>
        <d v="2024-08-07T00:00:00"/>
        <d v="2024-08-08T00:00:00"/>
        <d v="2024-08-09T00:00:00"/>
        <d v="2024-08-10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30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02-03T00:00:00"/>
        <d v="2024-02-04T00:00:00"/>
        <d v="2024-02-19T00:00:00"/>
        <d v="2024-03-03T00:00:00"/>
        <d v="2024-05-27T00:00:00"/>
        <d v="2024-07-04T00:00:00"/>
        <d v="2024-08-04T00:00:00"/>
        <d v="2024-11-11T00:00:00"/>
        <d v="2024-12-01T00:00:00"/>
        <m/>
      </sharedItems>
      <fieldGroup par="10"/>
    </cacheField>
    <cacheField name="Shift Type (Rental Attendant, MSRC Class, MCC Class, CRAC Class, AD Class)" numFmtId="0">
      <sharedItems containsBlank="1"/>
    </cacheField>
    <cacheField name="Start Time" numFmtId="0">
      <sharedItems containsNonDate="0" containsDate="1" containsString="0" containsBlank="1" minDate="1899-12-30T06:00:00" maxDate="1899-12-30T20:00:00"/>
    </cacheField>
    <cacheField name="End Time" numFmtId="0">
      <sharedItems containsNonDate="0" containsDate="1" containsString="0" containsBlank="1" minDate="1899-12-30T00:00:00" maxDate="1899-12-30T23:30:00"/>
    </cacheField>
    <cacheField name="Hours Worked" numFmtId="0">
      <sharedItems containsString="0" containsBlank="1" containsNumber="1" minValue="1.5" maxValue="16"/>
    </cacheField>
    <cacheField name="Lunch Break (if applicable)" numFmtId="0">
      <sharedItems containsString="0" containsBlank="1" containsNumber="1" minValue="0.5" maxValue="1.5"/>
    </cacheField>
    <cacheField name="Total Hours Worked" numFmtId="0">
      <sharedItems containsString="0" containsBlank="1" containsNumber="1" minValue="1235.5" maxValue="5521"/>
    </cacheField>
    <cacheField name="Added Hours Worked" numFmtId="0">
      <sharedItems containsString="0" containsBlank="1" containsNumber="1" minValue="1.9999999999999996" maxValue="17"/>
    </cacheField>
    <cacheField name="Total Added Hours" numFmtId="0">
      <sharedItems containsBlank="1" containsMixedTypes="1" containsNumber="1" minValue="4.5" maxValue="6757" count="4">
        <n v="6757"/>
        <m/>
        <s v="Looks like 2 rentals, 11 am-3 pm and 5-7:30 pm this is listed as 6 hours of work"/>
        <n v="4.5"/>
      </sharedItems>
    </cacheField>
    <cacheField name="Days (Date)" numFmtId="0" databaseField="0">
      <fieldGroup base="0">
        <rangePr groupBy="days" startDate="2024-01-02T00:00:00" endDate="2024-12-22T00:00:00"/>
        <groupItems count="368">
          <s v="&lt;1/2/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2024"/>
        </groupItems>
      </fieldGroup>
    </cacheField>
    <cacheField name="Months (Date)" numFmtId="0" databaseField="0">
      <fieldGroup base="0">
        <rangePr groupBy="months" startDate="2024-01-02T00:00:00" endDate="2024-12-22T00:00:00"/>
        <groupItems count="14">
          <s v="&lt;1/2/2024"/>
          <s v="Jan"/>
          <s v="Feb"/>
          <s v="Mar"/>
          <s v="Apr"/>
          <s v="May"/>
          <s v="Jun"/>
          <s v="Jul"/>
          <s v="Aug"/>
          <s v="Sep"/>
          <s v="Oct"/>
          <s v="Nov"/>
          <s v="Dec"/>
          <s v="&gt;12/22/2024"/>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mar Reyes" refreshedDate="45791.522340625001" createdVersion="6" refreshedVersion="6" minRefreshableVersion="3" recordCount="996" xr:uid="{62A6E3DF-FD04-47BF-898B-60C1AC979014}">
  <cacheSource type="worksheet">
    <worksheetSource ref="A1:M997" sheet="Added Hours 2024 - SE"/>
  </cacheSource>
  <cacheFields count="14">
    <cacheField name="Date" numFmtId="167">
      <sharedItems containsSemiMixedTypes="0" containsNonDate="0" containsDate="1" containsString="0" minDate="2024-01-02T00:00:00" maxDate="2024-12-22T00:00:00" count="344">
        <d v="2024-01-02T00:00:00"/>
        <d v="2024-01-03T00:00:00"/>
        <d v="2024-01-04T00:00:00"/>
        <d v="2024-01-05T00:00:00"/>
        <d v="2024-01-06T00:00:00"/>
        <d v="2024-01-07T00:00:00"/>
        <d v="2024-01-08T00:00:00"/>
        <d v="2024-01-09T00:00:00"/>
        <d v="2024-01-10T00:00:00"/>
        <d v="2024-01-11T00:00:00"/>
        <d v="2024-01-12T00:00:00"/>
        <d v="2024-01-13T00:00:00"/>
        <d v="2024-01-14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20T00:00:00"/>
        <d v="2024-02-21T00:00:00"/>
        <d v="2024-02-22T00:00:00"/>
        <d v="2024-02-23T00:00:00"/>
        <d v="2024-02-24T00:00:00"/>
        <d v="2024-02-25T00:00:00"/>
        <d v="2024-02-26T00:00:00"/>
        <d v="2024-02-27T00:00:00"/>
        <d v="2024-02-28T00:00:00"/>
        <d v="2024-02-29T00:00:00"/>
        <d v="2024-03-01T00:00:00"/>
        <d v="2024-03-02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4-02T00:00:00"/>
        <d v="2024-04-03T00:00:00"/>
        <d v="2024-04-04T00:00:00"/>
        <d v="2024-04-05T00:00:00"/>
        <d v="2024-04-06T00:00:00"/>
        <d v="2024-04-07T00:00:00"/>
        <d v="2024-04-08T00:00:00"/>
        <d v="2024-04-09T00:00:00"/>
        <d v="2024-04-10T00:00:00"/>
        <d v="2024-04-11T00:00:00"/>
        <d v="2024-04-12T00:00:00"/>
        <d v="2024-04-13T00:00:00"/>
        <d v="2024-04-14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5T00:00:00"/>
        <d v="2024-08-06T00:00:00"/>
        <d v="2024-08-07T00:00:00"/>
        <d v="2024-08-08T00:00:00"/>
        <d v="2024-08-09T00:00:00"/>
        <d v="2024-08-10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30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02-03T00:00:00"/>
        <d v="2024-02-04T00:00:00"/>
        <d v="2024-02-19T00:00:00"/>
        <d v="2024-03-03T00:00:00"/>
        <d v="2024-05-27T00:00:00"/>
        <d v="2024-07-04T00:00:00"/>
        <d v="2024-08-04T00:00:00"/>
        <d v="2024-11-11T00:00:00"/>
        <d v="2024-12-01T00:00:00"/>
      </sharedItems>
      <fieldGroup par="13" base="0">
        <rangePr groupBy="days" startDate="2024-01-02T00:00:00" endDate="2024-12-22T00:00:00"/>
        <groupItems count="368">
          <s v="&lt;1/2/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2024"/>
        </groupItems>
      </fieldGroup>
    </cacheField>
    <cacheField name="c" numFmtId="0">
      <sharedItems count="14">
        <s v="MSRC Classes"/>
        <s v="MCC Classes"/>
        <s v="MCC Rental"/>
        <s v="MSRC Rental"/>
        <s v="MCC Internal"/>
        <s v="CRAC Rental"/>
        <s v="CRAC Classes"/>
        <s v="AD Classes"/>
        <s v="AD Rental"/>
        <s v="MSRC Internal"/>
        <s v="MSC Classes"/>
        <s v="AD Internal"/>
        <s v="MSC Rental"/>
        <s v="Special Events"/>
      </sharedItems>
    </cacheField>
    <cacheField name="Start Time" numFmtId="0">
      <sharedItems containsSemiMixedTypes="0" containsNonDate="0" containsDate="1" containsString="0" minDate="1899-12-30T06:00:00" maxDate="1899-12-30T20:00:00"/>
    </cacheField>
    <cacheField name="End Time" numFmtId="0">
      <sharedItems containsSemiMixedTypes="0" containsNonDate="0" containsDate="1" containsString="0" minDate="1899-12-30T00:00:00" maxDate="1899-12-30T23:30:00"/>
    </cacheField>
    <cacheField name="Hours Worked" numFmtId="2">
      <sharedItems containsSemiMixedTypes="0" containsString="0" containsNumber="1" minValue="1.5" maxValue="16"/>
    </cacheField>
    <cacheField name="Lunch Break (if applicable)" numFmtId="0">
      <sharedItems containsString="0" containsBlank="1" containsNumber="1" minValue="0.5" maxValue="1.5"/>
    </cacheField>
    <cacheField name="Total Hours Worked" numFmtId="0">
      <sharedItems containsString="0" containsBlank="1" containsNumber="1" minValue="1235.5" maxValue="5521"/>
    </cacheField>
    <cacheField name="Added Hours Worked" numFmtId="2">
      <sharedItems containsString="0" containsBlank="1" containsNumber="1" minValue="1.9999999999999996" maxValue="17"/>
    </cacheField>
    <cacheField name="Total Added Hours" numFmtId="0">
      <sharedItems containsBlank="1" containsMixedTypes="1" containsNumber="1" minValue="4.5" maxValue="4182" count="4">
        <n v="4182"/>
        <m/>
        <s v="Looks like 2 rentals, 11 am-3 pm and 5-7:30 pm this is listed as 6 hours of work"/>
        <n v="4.5"/>
      </sharedItems>
    </cacheField>
    <cacheField name="Total Removed Hours MSRC Classes" numFmtId="0">
      <sharedItems containsBlank="1" containsMixedTypes="1" containsNumber="1" minValue="-0.5" maxValue="6.0000000000000018" count="28">
        <n v="3.75"/>
        <n v="2.5"/>
        <m/>
        <n v="2"/>
        <n v="3.0000000000000009"/>
        <n v="3.4999999999999991"/>
        <n v="1.9999999999999991"/>
        <n v="1.4999999999999982"/>
        <n v="6.0000000000000018"/>
        <n v="5"/>
        <n v="1.0000000000000013"/>
        <n v="3.5000000000000018"/>
        <n v="2.5000000000000018"/>
        <n v="3.5"/>
        <n v="3"/>
        <n v="-0.5"/>
        <n v="4.5"/>
        <n v="2.9999999999999991"/>
        <n v="1.5000000000000009"/>
        <n v="5.0000000000000018"/>
        <n v="3.0000000000000018"/>
        <n v="4.0000000000000009"/>
        <n v="1"/>
        <n v="4"/>
        <n v="0"/>
        <n v="4.0000000000000018"/>
        <n v="2.9999999999999982"/>
        <s v="on sheets"/>
      </sharedItems>
    </cacheField>
    <cacheField name="Total Removed Hours" numFmtId="0">
      <sharedItems containsString="0" containsBlank="1" containsNumber="1" containsInteger="1" minValue="1191" maxValue="1191"/>
    </cacheField>
    <cacheField name="Total Hours " numFmtId="0">
      <sharedItems containsString="0" containsBlank="1" containsNumber="1" containsInteger="1" minValue="5373" maxValue="5373"/>
    </cacheField>
    <cacheField name="Updated Hours (Combined)" numFmtId="0">
      <sharedItems containsSemiMixedTypes="0" containsString="0" containsNumber="1" minValue="-0.5" maxValue="17"/>
    </cacheField>
    <cacheField name="Months" numFmtId="0" databaseField="0">
      <fieldGroup base="0">
        <rangePr groupBy="months" startDate="2024-01-02T00:00:00" endDate="2024-12-22T00:00:00"/>
        <groupItems count="14">
          <s v="&lt;1/2/2024"/>
          <s v="Jan"/>
          <s v="Feb"/>
          <s v="Mar"/>
          <s v="Apr"/>
          <s v="May"/>
          <s v="Jun"/>
          <s v="Jul"/>
          <s v="Aug"/>
          <s v="Sep"/>
          <s v="Oct"/>
          <s v="Nov"/>
          <s v="Dec"/>
          <s v="&gt;12/22/2024"/>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mar Reyes" refreshedDate="45791.534835185186" createdVersion="6" refreshedVersion="6" minRefreshableVersion="3" recordCount="1008" xr:uid="{70ED8C67-8650-4B1D-AC12-A35582EB4FA8}">
  <cacheSource type="worksheet">
    <worksheetSource ref="A1:I1048576" sheet="Projected Hours"/>
  </cacheSource>
  <cacheFields count="12">
    <cacheField name="Date" numFmtId="167">
      <sharedItems containsNonDate="0" containsDate="1" containsString="0" containsBlank="1" minDate="2024-01-02T00:00:00" maxDate="2024-12-22T00:00:00" count="345">
        <d v="2024-01-02T00:00:00"/>
        <d v="2024-01-03T00:00:00"/>
        <d v="2024-01-04T00:00:00"/>
        <d v="2024-01-05T00:00:00"/>
        <d v="2024-01-06T00:00:00"/>
        <d v="2024-01-07T00:00:00"/>
        <d v="2024-01-08T00:00:00"/>
        <d v="2024-01-09T00:00:00"/>
        <d v="2024-01-10T00:00:00"/>
        <d v="2024-01-11T00:00:00"/>
        <d v="2024-01-12T00:00:00"/>
        <d v="2024-01-13T00:00:00"/>
        <d v="2024-01-14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20T00:00:00"/>
        <d v="2024-02-21T00:00:00"/>
        <d v="2024-02-22T00:00:00"/>
        <d v="2024-02-23T00:00:00"/>
        <d v="2024-02-24T00:00:00"/>
        <d v="2024-02-25T00:00:00"/>
        <d v="2024-02-26T00:00:00"/>
        <d v="2024-02-27T00:00:00"/>
        <d v="2024-02-28T00:00:00"/>
        <d v="2024-02-29T00:00:00"/>
        <d v="2024-03-01T00:00:00"/>
        <d v="2024-03-02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4-02T00:00:00"/>
        <d v="2024-04-03T00:00:00"/>
        <d v="2024-04-04T00:00:00"/>
        <d v="2024-04-05T00:00:00"/>
        <d v="2024-04-06T00:00:00"/>
        <d v="2024-04-07T00:00:00"/>
        <d v="2024-04-08T00:00:00"/>
        <d v="2024-04-09T00:00:00"/>
        <d v="2024-04-10T00:00:00"/>
        <d v="2024-04-11T00:00:00"/>
        <d v="2024-04-12T00:00:00"/>
        <d v="2024-04-13T00:00:00"/>
        <d v="2024-04-14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5T00:00:00"/>
        <d v="2024-08-06T00:00:00"/>
        <d v="2024-08-07T00:00:00"/>
        <d v="2024-08-08T00:00:00"/>
        <d v="2024-08-09T00:00:00"/>
        <d v="2024-08-10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30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02-03T00:00:00"/>
        <d v="2024-02-04T00:00:00"/>
        <d v="2024-02-19T00:00:00"/>
        <d v="2024-03-03T00:00:00"/>
        <d v="2024-05-27T00:00:00"/>
        <d v="2024-07-04T00:00:00"/>
        <d v="2024-08-04T00:00:00"/>
        <d v="2024-11-11T00:00:00"/>
        <d v="2024-12-01T00:00:00"/>
        <m/>
      </sharedItems>
      <fieldGroup par="9" base="0">
        <rangePr groupBy="days" startDate="2024-01-02T00:00:00" endDate="2024-12-22T00:00:00"/>
        <groupItems count="368">
          <s v="(blank)"/>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2024"/>
        </groupItems>
      </fieldGroup>
    </cacheField>
    <cacheField name="c" numFmtId="0">
      <sharedItems containsBlank="1" count="15">
        <s v="MSRC Classes"/>
        <s v="MCC Classes"/>
        <s v="MCC Rental"/>
        <s v="MSRC Rental"/>
        <s v="MCC Internal"/>
        <s v="CRAC Rental"/>
        <s v="CRAC Classes"/>
        <s v="AD Classes"/>
        <s v="AD Rental"/>
        <s v="MSRC Internal"/>
        <s v="MSC Classes"/>
        <s v="AD Internal"/>
        <s v="MSC Rental"/>
        <s v="Special Events"/>
        <m/>
      </sharedItems>
    </cacheField>
    <cacheField name="Start Time" numFmtId="0">
      <sharedItems containsNonDate="0" containsDate="1" containsString="0" containsBlank="1" minDate="1899-12-30T06:00:00" maxDate="1899-12-30T20:00:00" count="32">
        <d v="1899-12-30T07:45:00"/>
        <d v="1899-12-30T17:00:00"/>
        <d v="1899-12-30T08:00:00"/>
        <d v="1899-12-30T14:00:00"/>
        <d v="1899-12-30T10:00:00"/>
        <d v="1899-12-30T18:00:00"/>
        <d v="1899-12-30T09:30:00"/>
        <d v="1899-12-30T11:00:00"/>
        <d v="1899-12-30T12:30:00"/>
        <d v="1899-12-30T16:00:00"/>
        <d v="1899-12-30T13:00:00"/>
        <d v="1899-12-30T07:00:00"/>
        <d v="1899-12-30T15:00:00"/>
        <d v="1899-12-30T15:45:00"/>
        <d v="1899-12-30T16:30:00"/>
        <d v="1899-12-30T18:30:00"/>
        <d v="1899-12-30T07:30:00"/>
        <d v="1899-12-30T09:00:00"/>
        <d v="1899-12-30T12:00:00"/>
        <d v="1899-12-30T17:30:00"/>
        <d v="1899-12-30T14:30:00"/>
        <d v="1899-12-30T15:30:00"/>
        <d v="1899-12-30T06:00:00"/>
        <d v="1899-12-30T08:30:00"/>
        <d v="1899-12-30T19:00:00"/>
        <d v="1899-12-30T11:30:00"/>
        <d v="1899-12-30T06:45:00"/>
        <d v="1899-12-30T06:30:00"/>
        <d v="1899-12-30T20:00:00"/>
        <d v="1899-12-30T13:30:00"/>
        <d v="1899-12-30T19:30:00"/>
        <m/>
      </sharedItems>
    </cacheField>
    <cacheField name="End Time" numFmtId="0">
      <sharedItems containsNonDate="0" containsDate="1" containsString="0" containsBlank="1" minDate="1899-12-30T00:00:00" maxDate="1899-12-30T23:30:00" count="32">
        <d v="1899-12-30T14:00:00"/>
        <d v="1899-12-30T21:30:00"/>
        <d v="1899-12-30T11:00:00"/>
        <d v="1899-12-30T12:00:00"/>
        <d v="1899-12-30T00:30:00"/>
        <d v="1899-12-30T22:00:00"/>
        <d v="1899-12-30T17:00:00"/>
        <d v="1899-12-30T23:00:00"/>
        <d v="1899-12-30T00:00:00"/>
        <d v="1899-12-30T17:30:00"/>
        <d v="1899-12-30T19:00:00"/>
        <d v="1899-12-30T16:00:00"/>
        <d v="1899-12-30T18:00:00"/>
        <d v="1899-12-30T21:00:00"/>
        <d v="1899-12-30T22:30:00"/>
        <d v="1899-12-30T01:00:00"/>
        <d v="1899-12-30T20:30:00"/>
        <d v="1899-12-30T13:00:00"/>
        <d v="1899-12-30T19:30:00"/>
        <d v="1899-12-30T20:00:00"/>
        <d v="1899-12-30T15:30:00"/>
        <d v="1899-12-30T23:30:00"/>
        <d v="1899-12-30T18:30:00"/>
        <d v="1899-12-30T13:30:00"/>
        <d v="1899-12-30T12:30:00"/>
        <d v="1899-12-30T15:00:00"/>
        <d v="1899-12-30T16:30:00"/>
        <d v="1899-12-30T01:30:00"/>
        <d v="1899-12-30T14:30:00"/>
        <d v="1899-12-30T10:00:00"/>
        <d v="1899-12-30T11:30:00"/>
        <m/>
      </sharedItems>
      <fieldGroup par="11"/>
    </cacheField>
    <cacheField name="Hours Worked" numFmtId="0">
      <sharedItems containsString="0" containsBlank="1" containsNumber="1" minValue="1.5" maxValue="16" count="62">
        <n v="5.75"/>
        <n v="4.5"/>
        <n v="3"/>
        <n v="4"/>
        <n v="9.5"/>
        <n v="7.4999999999999982"/>
        <n v="6.5"/>
        <n v="5.0000000000000009"/>
        <n v="9"/>
        <n v="7.5"/>
        <n v="10"/>
        <n v="5.9999999999999982"/>
        <n v="5.5000000000000018"/>
        <n v="3.9999999999999991"/>
        <n v="8"/>
        <n v="6.4999999999999991"/>
        <n v="8.25"/>
        <n v="7"/>
        <n v="5.4999999999999991"/>
        <n v="3.4999999999999982"/>
        <n v="8.0000000000000018"/>
        <n v="10.5"/>
        <n v="2.4999999999999991"/>
        <n v="6.5000000000000018"/>
        <n v="5.5"/>
        <n v="12.000000000000002"/>
        <n v="6"/>
        <n v="3.0000000000000013"/>
        <n v="13"/>
        <n v="10.999999999999998"/>
        <n v="4.9999999999999982"/>
        <n v="2.0000000000000009"/>
        <n v="6.0000000000000009"/>
        <n v="4.5000000000000018"/>
        <n v="8.5"/>
        <n v="5.4999999999999982"/>
        <n v="5"/>
        <n v="1.5"/>
        <n v="4.9999999999999991"/>
        <n v="3.5000000000000009"/>
        <n v="4.4999999999999982"/>
        <n v="16"/>
        <n v="11"/>
        <n v="12.999999999999998"/>
        <n v="15"/>
        <n v="5.0000000000000018"/>
        <n v="4.7499999999999982"/>
        <n v="7.25"/>
        <n v="7.9999999999999982"/>
        <n v="7.2499999999999991"/>
        <n v="4.5000000000000009"/>
        <n v="2.5000000000000004"/>
        <n v="4.0000000000000018"/>
        <n v="7.0000000000000018"/>
        <n v="3.4999999999999996"/>
        <n v="9.9999999999999982"/>
        <n v="2.9999999999999987"/>
        <n v="1.9999999999999996"/>
        <n v="11.5"/>
        <n v="6.0000000000000018"/>
        <n v="1.9999999999999982"/>
        <m/>
      </sharedItems>
    </cacheField>
    <cacheField name="Lunch Break (if applicable)" numFmtId="0">
      <sharedItems containsString="0" containsBlank="1" containsNumber="1" minValue="0.5" maxValue="1.5"/>
    </cacheField>
    <cacheField name="Added Hours Worked" numFmtId="0">
      <sharedItems containsString="0" containsBlank="1" containsNumber="1" minValue="1.9999999999999996" maxValue="17"/>
    </cacheField>
    <cacheField name="Total Removed Hours MSRC Classes" numFmtId="0">
      <sharedItems containsBlank="1" containsMixedTypes="1" containsNumber="1" minValue="-0.5" maxValue="8.0000000000000018" count="33">
        <n v="3.75"/>
        <n v="2.5"/>
        <m/>
        <n v="4"/>
        <n v="3.0000000000000009"/>
        <n v="3.4999999999999991"/>
        <n v="1.9999999999999991"/>
        <n v="1.4999999999999982"/>
        <n v="8.0000000000000018"/>
        <n v="5"/>
        <n v="1.0000000000000013"/>
        <n v="3.5000000000000018"/>
        <n v="4.5000000000000018"/>
        <n v="3.5"/>
        <n v="5.5"/>
        <n v="3.9999999999999991"/>
        <n v="3"/>
        <n v="5.4999999999999991"/>
        <n v="-0.5"/>
        <n v="6.5"/>
        <n v="4.9999999999999991"/>
        <n v="3.5000000000000009"/>
        <n v="7.0000000000000018"/>
        <n v="3.0000000000000018"/>
        <n v="4.0000000000000009"/>
        <n v="1"/>
        <n v="6"/>
        <n v="2.9999999999999991"/>
        <n v="8.8817841970012523E-16"/>
        <n v="4.0000000000000018"/>
        <n v="2.9999999999999982"/>
        <n v="5.0000000000000009"/>
        <s v="on sheets"/>
      </sharedItems>
    </cacheField>
    <cacheField name="Updated Hours (Combined)" numFmtId="0">
      <sharedItems containsString="0" containsBlank="1" containsNumber="1" minValue="-0.5" maxValue="17"/>
    </cacheField>
    <cacheField name="Months" numFmtId="0" databaseField="0">
      <fieldGroup base="0">
        <rangePr groupBy="months" startDate="2024-01-02T00:00:00" endDate="2024-12-22T00:00:00"/>
        <groupItems count="14">
          <s v="&lt;1/2/2024"/>
          <s v="Jan"/>
          <s v="Feb"/>
          <s v="Mar"/>
          <s v="Apr"/>
          <s v="May"/>
          <s v="Jun"/>
          <s v="Jul"/>
          <s v="Aug"/>
          <s v="Sep"/>
          <s v="Oct"/>
          <s v="Nov"/>
          <s v="Dec"/>
          <s v="&gt;12/22/2024"/>
        </groupItems>
      </fieldGroup>
    </cacheField>
    <cacheField name="Minutes (End Time)" numFmtId="0" databaseField="0">
      <fieldGroup base="3">
        <rangePr groupBy="minutes" startDate="1899-12-30T00:00:00" endDate="1899-12-30T23:30:00"/>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End Time)" numFmtId="0" databaseField="0">
      <fieldGroup base="3">
        <rangePr groupBy="hours" startDate="1899-12-30T00:00:00" endDate="1899-12-30T23:30: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6">
  <r>
    <x v="0"/>
    <x v="0"/>
    <x v="0"/>
    <d v="1899-12-30T14:00:00"/>
    <n v="5.75"/>
    <n v="0.5"/>
    <n v="5521"/>
  </r>
  <r>
    <x v="1"/>
    <x v="0"/>
    <x v="0"/>
    <d v="1899-12-30T14:00:00"/>
    <n v="5.75"/>
    <n v="0.5"/>
    <m/>
  </r>
  <r>
    <x v="1"/>
    <x v="0"/>
    <x v="1"/>
    <d v="1899-12-30T21:30:00"/>
    <n v="4.5"/>
    <m/>
    <m/>
  </r>
  <r>
    <x v="2"/>
    <x v="0"/>
    <x v="0"/>
    <d v="1899-12-30T14:00:00"/>
    <n v="5.75"/>
    <n v="0.5"/>
    <m/>
  </r>
  <r>
    <x v="3"/>
    <x v="0"/>
    <x v="0"/>
    <d v="1899-12-30T14:00:00"/>
    <n v="5.75"/>
    <n v="0.5"/>
    <m/>
  </r>
  <r>
    <x v="4"/>
    <x v="1"/>
    <x v="2"/>
    <d v="1899-12-30T11:00:00"/>
    <n v="3"/>
    <m/>
    <m/>
  </r>
  <r>
    <x v="4"/>
    <x v="0"/>
    <x v="2"/>
    <d v="1899-12-30T12:00:00"/>
    <n v="4"/>
    <m/>
    <m/>
  </r>
  <r>
    <x v="4"/>
    <x v="2"/>
    <x v="3"/>
    <d v="1899-12-30T00:30:00"/>
    <n v="9.5"/>
    <n v="1"/>
    <m/>
  </r>
  <r>
    <x v="4"/>
    <x v="3"/>
    <x v="3"/>
    <d v="1899-12-30T22:00:00"/>
    <n v="7.4999999999999982"/>
    <n v="0.5"/>
    <m/>
  </r>
  <r>
    <x v="5"/>
    <x v="3"/>
    <x v="4"/>
    <d v="1899-12-30T17:00:00"/>
    <n v="6.5"/>
    <n v="0.5"/>
    <m/>
  </r>
  <r>
    <x v="6"/>
    <x v="0"/>
    <x v="0"/>
    <d v="1899-12-30T14:00:00"/>
    <n v="5.75"/>
    <n v="0.5"/>
    <m/>
  </r>
  <r>
    <x v="7"/>
    <x v="0"/>
    <x v="0"/>
    <d v="1899-12-30T14:00:00"/>
    <n v="5.75"/>
    <n v="0.5"/>
    <m/>
  </r>
  <r>
    <x v="8"/>
    <x v="0"/>
    <x v="0"/>
    <d v="1899-12-30T14:00:00"/>
    <n v="5.75"/>
    <n v="0.5"/>
    <m/>
  </r>
  <r>
    <x v="8"/>
    <x v="0"/>
    <x v="1"/>
    <d v="1899-12-30T21:30:00"/>
    <n v="4.5"/>
    <m/>
    <m/>
  </r>
  <r>
    <x v="9"/>
    <x v="0"/>
    <x v="0"/>
    <d v="1899-12-30T14:00:00"/>
    <n v="5.75"/>
    <n v="0.5"/>
    <m/>
  </r>
  <r>
    <x v="9"/>
    <x v="0"/>
    <x v="5"/>
    <d v="1899-12-30T23:00:00"/>
    <n v="5.0000000000000009"/>
    <m/>
    <m/>
  </r>
  <r>
    <x v="10"/>
    <x v="0"/>
    <x v="0"/>
    <d v="1899-12-30T14:00:00"/>
    <n v="5.75"/>
    <n v="0.5"/>
    <m/>
  </r>
  <r>
    <x v="10"/>
    <x v="4"/>
    <x v="3"/>
    <d v="1899-12-30T00:00:00"/>
    <n v="9"/>
    <n v="1"/>
    <m/>
  </r>
  <r>
    <x v="11"/>
    <x v="0"/>
    <x v="2"/>
    <d v="1899-12-30T12:00:00"/>
    <n v="4"/>
    <m/>
    <m/>
  </r>
  <r>
    <x v="11"/>
    <x v="2"/>
    <x v="6"/>
    <d v="1899-12-30T17:30:00"/>
    <n v="7.5"/>
    <n v="0.5"/>
    <m/>
  </r>
  <r>
    <x v="11"/>
    <x v="5"/>
    <x v="7"/>
    <d v="1899-12-30T22:00:00"/>
    <n v="10"/>
    <n v="1"/>
    <m/>
  </r>
  <r>
    <x v="11"/>
    <x v="3"/>
    <x v="8"/>
    <d v="1899-12-30T19:00:00"/>
    <n v="5.9999999999999982"/>
    <n v="0.5"/>
    <m/>
  </r>
  <r>
    <x v="12"/>
    <x v="3"/>
    <x v="2"/>
    <d v="1899-12-30T16:00:00"/>
    <n v="7.5"/>
    <n v="0.5"/>
    <m/>
  </r>
  <r>
    <x v="12"/>
    <x v="2"/>
    <x v="7"/>
    <d v="1899-12-30T18:00:00"/>
    <n v="6.5"/>
    <n v="0.5"/>
    <m/>
  </r>
  <r>
    <x v="13"/>
    <x v="0"/>
    <x v="0"/>
    <d v="1899-12-30T14:00:00"/>
    <n v="5.75"/>
    <n v="0.5"/>
    <m/>
  </r>
  <r>
    <x v="14"/>
    <x v="0"/>
    <x v="0"/>
    <d v="1899-12-30T14:00:00"/>
    <n v="5.75"/>
    <n v="0.5"/>
    <m/>
  </r>
  <r>
    <x v="14"/>
    <x v="3"/>
    <x v="9"/>
    <d v="1899-12-30T21:30:00"/>
    <n v="5.5000000000000018"/>
    <m/>
    <m/>
  </r>
  <r>
    <x v="14"/>
    <x v="2"/>
    <x v="1"/>
    <d v="1899-12-30T21:00:00"/>
    <n v="3.9999999999999991"/>
    <m/>
    <m/>
  </r>
  <r>
    <x v="15"/>
    <x v="0"/>
    <x v="0"/>
    <d v="1899-12-30T14:00:00"/>
    <n v="5.75"/>
    <n v="0.5"/>
    <m/>
  </r>
  <r>
    <x v="15"/>
    <x v="0"/>
    <x v="5"/>
    <d v="1899-12-30T22:30:00"/>
    <n v="4.5"/>
    <m/>
    <m/>
  </r>
  <r>
    <x v="16"/>
    <x v="0"/>
    <x v="0"/>
    <d v="1899-12-30T14:00:00"/>
    <n v="5.75"/>
    <n v="0.5"/>
    <m/>
  </r>
  <r>
    <x v="17"/>
    <x v="0"/>
    <x v="2"/>
    <d v="1899-12-30T12:00:00"/>
    <n v="4"/>
    <m/>
    <m/>
  </r>
  <r>
    <x v="17"/>
    <x v="2"/>
    <x v="7"/>
    <d v="1899-12-30T18:00:00"/>
    <n v="6.5"/>
    <n v="0.5"/>
    <m/>
  </r>
  <r>
    <x v="17"/>
    <x v="3"/>
    <x v="10"/>
    <d v="1899-12-30T22:00:00"/>
    <n v="8"/>
    <n v="1"/>
    <m/>
  </r>
  <r>
    <x v="18"/>
    <x v="3"/>
    <x v="11"/>
    <d v="1899-12-30T14:00:00"/>
    <n v="6.5"/>
    <n v="0.5"/>
    <m/>
  </r>
  <r>
    <x v="19"/>
    <x v="0"/>
    <x v="0"/>
    <d v="1899-12-30T14:00:00"/>
    <n v="5.75"/>
    <n v="0.5"/>
    <m/>
  </r>
  <r>
    <x v="20"/>
    <x v="0"/>
    <x v="0"/>
    <d v="1899-12-30T14:00:00"/>
    <n v="5.75"/>
    <n v="0.5"/>
    <m/>
  </r>
  <r>
    <x v="21"/>
    <x v="0"/>
    <x v="0"/>
    <d v="1899-12-30T14:00:00"/>
    <n v="5.75"/>
    <n v="0.5"/>
    <m/>
  </r>
  <r>
    <x v="21"/>
    <x v="0"/>
    <x v="1"/>
    <d v="1899-12-30T21:30:00"/>
    <n v="4.5"/>
    <m/>
    <m/>
  </r>
  <r>
    <x v="22"/>
    <x v="0"/>
    <x v="0"/>
    <d v="1899-12-30T14:00:00"/>
    <n v="5.75"/>
    <n v="0.5"/>
    <m/>
  </r>
  <r>
    <x v="22"/>
    <x v="0"/>
    <x v="5"/>
    <d v="1899-12-30T22:30:00"/>
    <n v="4.5"/>
    <m/>
    <m/>
  </r>
  <r>
    <x v="23"/>
    <x v="0"/>
    <x v="0"/>
    <d v="1899-12-30T14:00:00"/>
    <n v="5.75"/>
    <n v="0.5"/>
    <m/>
  </r>
  <r>
    <x v="23"/>
    <x v="2"/>
    <x v="12"/>
    <d v="1899-12-30T22:00:00"/>
    <n v="6.4999999999999991"/>
    <n v="0.5"/>
    <m/>
  </r>
  <r>
    <x v="23"/>
    <x v="3"/>
    <x v="13"/>
    <d v="1899-12-30T01:00:00"/>
    <n v="8.25"/>
    <n v="1"/>
    <m/>
  </r>
  <r>
    <x v="24"/>
    <x v="0"/>
    <x v="2"/>
    <d v="1899-12-30T12:00:00"/>
    <n v="4"/>
    <m/>
    <m/>
  </r>
  <r>
    <x v="24"/>
    <x v="3"/>
    <x v="10"/>
    <d v="1899-12-30T20:30:00"/>
    <n v="7"/>
    <n v="0.5"/>
    <m/>
  </r>
  <r>
    <x v="25"/>
    <x v="3"/>
    <x v="4"/>
    <d v="1899-12-30T17:00:00"/>
    <n v="6.5"/>
    <n v="0.5"/>
    <m/>
  </r>
  <r>
    <x v="26"/>
    <x v="0"/>
    <x v="0"/>
    <d v="1899-12-30T14:00:00"/>
    <n v="5.75"/>
    <n v="0.5"/>
    <m/>
  </r>
  <r>
    <x v="26"/>
    <x v="1"/>
    <x v="14"/>
    <d v="1899-12-30T20:30:00"/>
    <n v="3.9999999999999991"/>
    <m/>
    <m/>
  </r>
  <r>
    <x v="27"/>
    <x v="0"/>
    <x v="0"/>
    <d v="1899-12-30T14:00:00"/>
    <n v="5.75"/>
    <n v="0.5"/>
    <m/>
  </r>
  <r>
    <x v="27"/>
    <x v="0"/>
    <x v="1"/>
    <d v="1899-12-30T22:30:00"/>
    <n v="5.4999999999999991"/>
    <m/>
    <m/>
  </r>
  <r>
    <x v="28"/>
    <x v="0"/>
    <x v="0"/>
    <d v="1899-12-30T14:00:00"/>
    <n v="5.75"/>
    <n v="0.5"/>
    <m/>
  </r>
  <r>
    <x v="28"/>
    <x v="0"/>
    <x v="1"/>
    <d v="1899-12-30T21:30:00"/>
    <n v="4.5"/>
    <m/>
    <m/>
  </r>
  <r>
    <x v="29"/>
    <x v="0"/>
    <x v="0"/>
    <d v="1899-12-30T14:00:00"/>
    <n v="5.75"/>
    <n v="0.5"/>
    <n v="5521"/>
  </r>
  <r>
    <x v="29"/>
    <x v="0"/>
    <x v="15"/>
    <d v="1899-12-30T22:30:00"/>
    <n v="3.9999999999999991"/>
    <m/>
    <m/>
  </r>
  <r>
    <x v="30"/>
    <x v="0"/>
    <x v="0"/>
    <d v="1899-12-30T14:00:00"/>
    <n v="5.75"/>
    <n v="0.5"/>
    <m/>
  </r>
  <r>
    <x v="31"/>
    <x v="0"/>
    <x v="0"/>
    <d v="1899-12-30T14:00:00"/>
    <n v="5.75"/>
    <n v="0.5"/>
    <m/>
  </r>
  <r>
    <x v="32"/>
    <x v="0"/>
    <x v="0"/>
    <d v="1899-12-30T14:00:00"/>
    <n v="5.75"/>
    <n v="0.5"/>
    <m/>
  </r>
  <r>
    <x v="33"/>
    <x v="0"/>
    <x v="0"/>
    <d v="1899-12-30T14:00:00"/>
    <n v="5.75"/>
    <n v="0.5"/>
    <m/>
  </r>
  <r>
    <x v="33"/>
    <x v="0"/>
    <x v="14"/>
    <d v="1899-12-30T21:00:00"/>
    <n v="4.5"/>
    <m/>
    <m/>
  </r>
  <r>
    <x v="33"/>
    <x v="1"/>
    <x v="1"/>
    <d v="1899-12-30T21:30:00"/>
    <n v="4.5"/>
    <m/>
    <m/>
  </r>
  <r>
    <x v="34"/>
    <x v="0"/>
    <x v="0"/>
    <d v="1899-12-30T14:00:00"/>
    <n v="5.75"/>
    <n v="0.5"/>
    <m/>
  </r>
  <r>
    <x v="34"/>
    <x v="0"/>
    <x v="15"/>
    <d v="1899-12-30T22:00:00"/>
    <n v="3.4999999999999982"/>
    <m/>
    <m/>
  </r>
  <r>
    <x v="35"/>
    <x v="0"/>
    <x v="0"/>
    <d v="1899-12-30T14:00:00"/>
    <n v="5.75"/>
    <n v="0.5"/>
    <m/>
  </r>
  <r>
    <x v="35"/>
    <x v="2"/>
    <x v="5"/>
    <d v="1899-12-30T22:00:00"/>
    <n v="3.9999999999999991"/>
    <m/>
    <m/>
  </r>
  <r>
    <x v="35"/>
    <x v="3"/>
    <x v="5"/>
    <d v="1899-12-30T23:00:00"/>
    <n v="5.0000000000000009"/>
    <m/>
    <m/>
  </r>
  <r>
    <x v="36"/>
    <x v="1"/>
    <x v="2"/>
    <d v="1899-12-30T14:00:00"/>
    <n v="5.5000000000000018"/>
    <n v="0.5"/>
    <m/>
  </r>
  <r>
    <x v="36"/>
    <x v="0"/>
    <x v="2"/>
    <d v="1899-12-30T17:00:00"/>
    <n v="8.0000000000000018"/>
    <n v="1"/>
    <m/>
  </r>
  <r>
    <x v="36"/>
    <x v="6"/>
    <x v="2"/>
    <d v="1899-12-30T12:00:00"/>
    <n v="4"/>
    <m/>
    <m/>
  </r>
  <r>
    <x v="36"/>
    <x v="2"/>
    <x v="12"/>
    <d v="1899-12-30T01:00:00"/>
    <n v="9"/>
    <n v="1"/>
    <m/>
  </r>
  <r>
    <x v="36"/>
    <x v="3"/>
    <x v="1"/>
    <d v="1899-12-30T00:00:00"/>
    <n v="6.4999999999999991"/>
    <n v="0.5"/>
    <m/>
  </r>
  <r>
    <x v="37"/>
    <x v="2"/>
    <x v="16"/>
    <d v="1899-12-30T19:00:00"/>
    <n v="10.5"/>
    <n v="1"/>
    <m/>
  </r>
  <r>
    <x v="38"/>
    <x v="0"/>
    <x v="0"/>
    <d v="1899-12-30T14:00:00"/>
    <n v="5.75"/>
    <n v="0.5"/>
    <m/>
  </r>
  <r>
    <x v="39"/>
    <x v="0"/>
    <x v="0"/>
    <d v="1899-12-30T14:00:00"/>
    <n v="5.75"/>
    <n v="0.5"/>
    <m/>
  </r>
  <r>
    <x v="39"/>
    <x v="7"/>
    <x v="12"/>
    <d v="1899-12-30T17:30:00"/>
    <n v="2.4999999999999991"/>
    <m/>
    <m/>
  </r>
  <r>
    <x v="40"/>
    <x v="0"/>
    <x v="0"/>
    <d v="1899-12-30T14:00:00"/>
    <n v="5.75"/>
    <n v="0.5"/>
    <m/>
  </r>
  <r>
    <x v="40"/>
    <x v="1"/>
    <x v="1"/>
    <d v="1899-12-30T21:30:00"/>
    <n v="4.5"/>
    <m/>
    <m/>
  </r>
  <r>
    <x v="41"/>
    <x v="0"/>
    <x v="0"/>
    <d v="1899-12-30T14:00:00"/>
    <n v="5.75"/>
    <n v="0.5"/>
    <m/>
  </r>
  <r>
    <x v="41"/>
    <x v="0"/>
    <x v="5"/>
    <d v="1899-12-30T22:00:00"/>
    <n v="3.9999999999999991"/>
    <m/>
    <m/>
  </r>
  <r>
    <x v="42"/>
    <x v="0"/>
    <x v="0"/>
    <d v="1899-12-30T14:00:00"/>
    <n v="5.75"/>
    <n v="0.5"/>
    <m/>
  </r>
  <r>
    <x v="42"/>
    <x v="3"/>
    <x v="5"/>
    <d v="1899-12-30T23:00:00"/>
    <n v="5.0000000000000009"/>
    <m/>
    <m/>
  </r>
  <r>
    <x v="43"/>
    <x v="0"/>
    <x v="2"/>
    <d v="1899-12-30T12:00:00"/>
    <n v="4"/>
    <m/>
    <m/>
  </r>
  <r>
    <x v="43"/>
    <x v="1"/>
    <x v="17"/>
    <d v="1899-12-30T13:00:00"/>
    <n v="3.9999999999999991"/>
    <m/>
    <m/>
  </r>
  <r>
    <x v="43"/>
    <x v="3"/>
    <x v="18"/>
    <d v="1899-12-30T19:30:00"/>
    <n v="7"/>
    <n v="0.5"/>
    <m/>
  </r>
  <r>
    <x v="43"/>
    <x v="8"/>
    <x v="10"/>
    <d v="1899-12-30T20:00:00"/>
    <n v="6.5000000000000018"/>
    <n v="0.5"/>
    <m/>
  </r>
  <r>
    <x v="43"/>
    <x v="2"/>
    <x v="12"/>
    <d v="1899-12-30T23:00:00"/>
    <n v="7.5"/>
    <n v="0.5"/>
    <m/>
  </r>
  <r>
    <x v="44"/>
    <x v="2"/>
    <x v="7"/>
    <d v="1899-12-30T21:00:00"/>
    <n v="9"/>
    <n v="1"/>
    <m/>
  </r>
  <r>
    <x v="44"/>
    <x v="3"/>
    <x v="9"/>
    <d v="1899-12-30T20:30:00"/>
    <n v="4.5"/>
    <m/>
    <m/>
  </r>
  <r>
    <x v="45"/>
    <x v="0"/>
    <x v="0"/>
    <d v="1899-12-30T14:00:00"/>
    <n v="5.75"/>
    <n v="0.5"/>
    <m/>
  </r>
  <r>
    <x v="46"/>
    <x v="0"/>
    <x v="0"/>
    <d v="1899-12-30T14:00:00"/>
    <n v="5.75"/>
    <n v="0.5"/>
    <m/>
  </r>
  <r>
    <x v="46"/>
    <x v="1"/>
    <x v="1"/>
    <d v="1899-12-30T21:30:00"/>
    <n v="4.5"/>
    <m/>
    <m/>
  </r>
  <r>
    <x v="47"/>
    <x v="0"/>
    <x v="0"/>
    <d v="1899-12-30T14:00:00"/>
    <n v="5.75"/>
    <n v="0.5"/>
    <m/>
  </r>
  <r>
    <x v="47"/>
    <x v="0"/>
    <x v="12"/>
    <d v="1899-12-30T23:00:00"/>
    <n v="7"/>
    <n v="1"/>
    <m/>
  </r>
  <r>
    <x v="47"/>
    <x v="1"/>
    <x v="15"/>
    <d v="1899-12-30T22:30:00"/>
    <n v="3.9999999999999991"/>
    <m/>
    <m/>
  </r>
  <r>
    <x v="48"/>
    <x v="0"/>
    <x v="0"/>
    <d v="1899-12-30T14:00:00"/>
    <n v="5.75"/>
    <n v="0.5"/>
    <m/>
  </r>
  <r>
    <x v="48"/>
    <x v="3"/>
    <x v="5"/>
    <d v="1899-12-30T23:00:00"/>
    <n v="5.0000000000000009"/>
    <m/>
    <m/>
  </r>
  <r>
    <x v="49"/>
    <x v="0"/>
    <x v="2"/>
    <d v="1899-12-30T12:00:00"/>
    <n v="4"/>
    <m/>
    <m/>
  </r>
  <r>
    <x v="49"/>
    <x v="2"/>
    <x v="6"/>
    <d v="1899-12-30T15:30:00"/>
    <n v="5.5000000000000018"/>
    <n v="0.5"/>
    <m/>
  </r>
  <r>
    <x v="49"/>
    <x v="3"/>
    <x v="14"/>
    <d v="1899-12-30T22:30:00"/>
    <n v="5.5"/>
    <n v="0.5"/>
    <m/>
  </r>
  <r>
    <x v="50"/>
    <x v="2"/>
    <x v="10"/>
    <d v="1899-12-30T00:00:00"/>
    <n v="10"/>
    <n v="1"/>
    <m/>
  </r>
  <r>
    <x v="51"/>
    <x v="0"/>
    <x v="0"/>
    <d v="1899-12-30T14:00:00"/>
    <n v="5.75"/>
    <n v="0.5"/>
    <m/>
  </r>
  <r>
    <x v="51"/>
    <x v="0"/>
    <x v="19"/>
    <d v="1899-12-30T22:00:00"/>
    <n v="4.5"/>
    <m/>
    <m/>
  </r>
  <r>
    <x v="52"/>
    <x v="0"/>
    <x v="0"/>
    <d v="1899-12-30T14:00:00"/>
    <n v="5.75"/>
    <n v="0.5"/>
    <m/>
  </r>
  <r>
    <x v="52"/>
    <x v="7"/>
    <x v="12"/>
    <d v="1899-12-30T17:30:00"/>
    <n v="2.4999999999999991"/>
    <m/>
    <m/>
  </r>
  <r>
    <x v="53"/>
    <x v="0"/>
    <x v="0"/>
    <d v="1899-12-30T14:00:00"/>
    <n v="5.75"/>
    <n v="0.5"/>
    <m/>
  </r>
  <r>
    <x v="53"/>
    <x v="1"/>
    <x v="14"/>
    <d v="1899-12-30T21:30:00"/>
    <n v="5.0000000000000009"/>
    <m/>
    <m/>
  </r>
  <r>
    <x v="54"/>
    <x v="1"/>
    <x v="1"/>
    <d v="1899-12-30T23:00:00"/>
    <n v="5.5"/>
    <n v="0.5"/>
    <m/>
  </r>
  <r>
    <x v="54"/>
    <x v="0"/>
    <x v="15"/>
    <d v="1899-12-30T22:30:00"/>
    <n v="3.9999999999999991"/>
    <m/>
    <m/>
  </r>
  <r>
    <x v="55"/>
    <x v="0"/>
    <x v="0"/>
    <d v="1899-12-30T14:00:00"/>
    <n v="5.75"/>
    <n v="0.5"/>
    <n v="5521"/>
  </r>
  <r>
    <x v="55"/>
    <x v="1"/>
    <x v="14"/>
    <d v="1899-12-30T23:30:00"/>
    <n v="6.4999999999999991"/>
    <n v="0.5"/>
    <m/>
  </r>
  <r>
    <x v="55"/>
    <x v="0"/>
    <x v="15"/>
    <d v="1899-12-30T23:00:00"/>
    <n v="4.5"/>
    <m/>
    <m/>
  </r>
  <r>
    <x v="56"/>
    <x v="0"/>
    <x v="2"/>
    <d v="1899-12-30T12:00:00"/>
    <n v="4"/>
    <m/>
    <m/>
  </r>
  <r>
    <x v="56"/>
    <x v="8"/>
    <x v="7"/>
    <d v="1899-12-30T17:00:00"/>
    <n v="5.5000000000000018"/>
    <n v="0.5"/>
    <m/>
  </r>
  <r>
    <x v="56"/>
    <x v="3"/>
    <x v="18"/>
    <d v="1899-12-30T19:00:00"/>
    <n v="6.4999999999999991"/>
    <n v="0.5"/>
    <m/>
  </r>
  <r>
    <x v="57"/>
    <x v="0"/>
    <x v="0"/>
    <d v="1899-12-30T14:00:00"/>
    <n v="5.75"/>
    <n v="0.5"/>
    <m/>
  </r>
  <r>
    <x v="58"/>
    <x v="0"/>
    <x v="0"/>
    <d v="1899-12-30T14:00:00"/>
    <n v="5.75"/>
    <n v="0.5"/>
    <m/>
  </r>
  <r>
    <x v="58"/>
    <x v="0"/>
    <x v="1"/>
    <d v="1899-12-30T21:00:00"/>
    <n v="3.9999999999999991"/>
    <m/>
    <m/>
  </r>
  <r>
    <x v="59"/>
    <x v="0"/>
    <x v="17"/>
    <d v="1899-12-30T14:00:00"/>
    <n v="5.0000000000000009"/>
    <m/>
    <m/>
  </r>
  <r>
    <x v="59"/>
    <x v="0"/>
    <x v="14"/>
    <d v="1899-12-30T21:30:00"/>
    <n v="5.0000000000000009"/>
    <m/>
    <m/>
  </r>
  <r>
    <x v="60"/>
    <x v="0"/>
    <x v="0"/>
    <d v="1899-12-30T14:00:00"/>
    <n v="5.75"/>
    <n v="0.5"/>
    <m/>
  </r>
  <r>
    <x v="60"/>
    <x v="0"/>
    <x v="15"/>
    <d v="1899-12-30T22:30:00"/>
    <n v="3.9999999999999991"/>
    <m/>
    <m/>
  </r>
  <r>
    <x v="61"/>
    <x v="0"/>
    <x v="0"/>
    <d v="1899-12-30T14:00:00"/>
    <n v="5.75"/>
    <n v="0.5"/>
    <m/>
  </r>
  <r>
    <x v="61"/>
    <x v="3"/>
    <x v="5"/>
    <d v="1899-12-30T23:00:00"/>
    <n v="5.0000000000000009"/>
    <m/>
    <m/>
  </r>
  <r>
    <x v="62"/>
    <x v="0"/>
    <x v="2"/>
    <d v="1899-12-30T12:00:00"/>
    <n v="4"/>
    <m/>
    <m/>
  </r>
  <r>
    <x v="62"/>
    <x v="8"/>
    <x v="18"/>
    <d v="1899-12-30T19:00:00"/>
    <n v="6.4999999999999991"/>
    <n v="0.5"/>
    <m/>
  </r>
  <r>
    <x v="62"/>
    <x v="3"/>
    <x v="18"/>
    <d v="1899-12-30T01:00:00"/>
    <n v="12.000000000000002"/>
    <n v="1"/>
    <m/>
  </r>
  <r>
    <x v="62"/>
    <x v="2"/>
    <x v="3"/>
    <d v="1899-12-30T20:00:00"/>
    <n v="5.5"/>
    <n v="0.5"/>
    <m/>
  </r>
  <r>
    <x v="62"/>
    <x v="5"/>
    <x v="12"/>
    <d v="1899-12-30T01:00:00"/>
    <n v="9"/>
    <n v="1"/>
    <m/>
  </r>
  <r>
    <x v="63"/>
    <x v="3"/>
    <x v="4"/>
    <d v="1899-12-30T20:30:00"/>
    <n v="6"/>
    <n v="0.5"/>
    <m/>
  </r>
  <r>
    <x v="64"/>
    <x v="0"/>
    <x v="7"/>
    <d v="1899-12-30T14:00:00"/>
    <n v="3.0000000000000013"/>
    <m/>
    <m/>
  </r>
  <r>
    <x v="64"/>
    <x v="9"/>
    <x v="14"/>
    <d v="1899-12-30T22:00:00"/>
    <n v="5.4999999999999991"/>
    <m/>
    <m/>
  </r>
  <r>
    <x v="65"/>
    <x v="0"/>
    <x v="17"/>
    <d v="1899-12-30T14:00:00"/>
    <n v="5.0000000000000009"/>
    <m/>
    <m/>
  </r>
  <r>
    <x v="66"/>
    <x v="0"/>
    <x v="0"/>
    <d v="1899-12-30T14:00:00"/>
    <n v="5.75"/>
    <n v="0.5"/>
    <m/>
  </r>
  <r>
    <x v="66"/>
    <x v="1"/>
    <x v="14"/>
    <d v="1899-12-30T21:30:00"/>
    <n v="5.0000000000000009"/>
    <m/>
    <m/>
  </r>
  <r>
    <x v="67"/>
    <x v="2"/>
    <x v="11"/>
    <d v="1899-12-30T14:00:00"/>
    <n v="7"/>
    <m/>
    <m/>
  </r>
  <r>
    <x v="67"/>
    <x v="0"/>
    <x v="0"/>
    <d v="1899-12-30T14:00:00"/>
    <n v="5.75"/>
    <n v="0.5"/>
    <m/>
  </r>
  <r>
    <x v="67"/>
    <x v="2"/>
    <x v="1"/>
    <d v="1899-12-30T19:30:00"/>
    <n v="2.4999999999999991"/>
    <m/>
    <m/>
  </r>
  <r>
    <x v="67"/>
    <x v="0"/>
    <x v="15"/>
    <d v="1899-12-30T22:30:00"/>
    <n v="3.9999999999999991"/>
    <m/>
    <m/>
  </r>
  <r>
    <x v="68"/>
    <x v="0"/>
    <x v="0"/>
    <d v="1899-12-30T14:00:00"/>
    <n v="5.75"/>
    <n v="0.5"/>
    <m/>
  </r>
  <r>
    <x v="68"/>
    <x v="9"/>
    <x v="10"/>
    <d v="1899-12-30T22:00:00"/>
    <n v="8"/>
    <n v="1"/>
    <m/>
  </r>
  <r>
    <x v="68"/>
    <x v="3"/>
    <x v="5"/>
    <d v="1899-12-30T23:00:00"/>
    <n v="5.0000000000000009"/>
    <m/>
    <m/>
  </r>
  <r>
    <x v="69"/>
    <x v="0"/>
    <x v="2"/>
    <d v="1899-12-30T12:00:00"/>
    <n v="4"/>
    <m/>
    <m/>
  </r>
  <r>
    <x v="69"/>
    <x v="2"/>
    <x v="7"/>
    <d v="1899-12-30T01:00:00"/>
    <n v="13"/>
    <n v="1"/>
    <m/>
  </r>
  <r>
    <x v="69"/>
    <x v="5"/>
    <x v="18"/>
    <d v="1899-12-30T19:00:00"/>
    <n v="6.4999999999999991"/>
    <n v="0.5"/>
    <m/>
  </r>
  <r>
    <x v="69"/>
    <x v="3"/>
    <x v="3"/>
    <d v="1899-12-30T23:00:00"/>
    <n v="8"/>
    <n v="1"/>
    <m/>
  </r>
  <r>
    <x v="70"/>
    <x v="3"/>
    <x v="4"/>
    <d v="1899-12-30T22:00:00"/>
    <n v="10.999999999999998"/>
    <n v="1"/>
    <m/>
  </r>
  <r>
    <x v="70"/>
    <x v="2"/>
    <x v="7"/>
    <d v="1899-12-30T21:00:00"/>
    <n v="9"/>
    <n v="1"/>
    <m/>
  </r>
  <r>
    <x v="71"/>
    <x v="0"/>
    <x v="0"/>
    <d v="1899-12-30T14:00:00"/>
    <n v="5.75"/>
    <n v="0.5"/>
    <m/>
  </r>
  <r>
    <x v="72"/>
    <x v="0"/>
    <x v="0"/>
    <d v="1899-12-30T14:00:00"/>
    <n v="5.75"/>
    <n v="0.5"/>
    <m/>
  </r>
  <r>
    <x v="73"/>
    <x v="0"/>
    <x v="0"/>
    <d v="1899-12-30T14:00:00"/>
    <n v="5.75"/>
    <n v="0.5"/>
    <m/>
  </r>
  <r>
    <x v="73"/>
    <x v="2"/>
    <x v="1"/>
    <d v="1899-12-30T22:00:00"/>
    <n v="4.9999999999999982"/>
    <m/>
    <m/>
  </r>
  <r>
    <x v="74"/>
    <x v="0"/>
    <x v="0"/>
    <d v="1899-12-30T14:00:00"/>
    <n v="5.75"/>
    <n v="0.5"/>
    <m/>
  </r>
  <r>
    <x v="74"/>
    <x v="1"/>
    <x v="14"/>
    <d v="1899-12-30T18:30:00"/>
    <n v="2.0000000000000009"/>
    <m/>
    <m/>
  </r>
  <r>
    <x v="74"/>
    <x v="0"/>
    <x v="15"/>
    <d v="1899-12-30T22:30:00"/>
    <n v="3.9999999999999991"/>
    <m/>
    <m/>
  </r>
  <r>
    <x v="75"/>
    <x v="0"/>
    <x v="0"/>
    <d v="1899-12-30T14:00:00"/>
    <n v="5.75"/>
    <n v="0.5"/>
    <m/>
  </r>
  <r>
    <x v="75"/>
    <x v="3"/>
    <x v="5"/>
    <d v="1899-12-30T23:00:00"/>
    <n v="5.0000000000000009"/>
    <m/>
    <m/>
  </r>
  <r>
    <x v="76"/>
    <x v="0"/>
    <x v="2"/>
    <d v="1899-12-30T12:00:00"/>
    <n v="4"/>
    <m/>
    <m/>
  </r>
  <r>
    <x v="76"/>
    <x v="8"/>
    <x v="20"/>
    <d v="1899-12-30T20:30:00"/>
    <n v="5.5"/>
    <n v="0.5"/>
    <m/>
  </r>
  <r>
    <x v="76"/>
    <x v="3"/>
    <x v="5"/>
    <d v="1899-12-30T23:00:00"/>
    <n v="5.0000000000000009"/>
    <m/>
    <m/>
  </r>
  <r>
    <x v="77"/>
    <x v="2"/>
    <x v="2"/>
    <d v="1899-12-30T16:00:00"/>
    <n v="8"/>
    <m/>
    <m/>
  </r>
  <r>
    <x v="78"/>
    <x v="0"/>
    <x v="0"/>
    <d v="1899-12-30T14:00:00"/>
    <n v="5.75"/>
    <n v="0.5"/>
    <m/>
  </r>
  <r>
    <x v="79"/>
    <x v="0"/>
    <x v="0"/>
    <d v="1899-12-30T14:00:00"/>
    <n v="5.75"/>
    <n v="0.5"/>
    <m/>
  </r>
  <r>
    <x v="79"/>
    <x v="0"/>
    <x v="1"/>
    <d v="1899-12-30T21:00:00"/>
    <n v="3.9999999999999991"/>
    <m/>
    <m/>
  </r>
  <r>
    <x v="80"/>
    <x v="0"/>
    <x v="0"/>
    <d v="1899-12-30T14:00:00"/>
    <n v="5.75"/>
    <n v="0.5"/>
    <m/>
  </r>
  <r>
    <x v="80"/>
    <x v="1"/>
    <x v="1"/>
    <d v="1899-12-30T21:30:00"/>
    <n v="4.5"/>
    <m/>
    <m/>
  </r>
  <r>
    <x v="81"/>
    <x v="0"/>
    <x v="0"/>
    <d v="1899-12-30T14:00:00"/>
    <n v="5.75"/>
    <n v="0.5"/>
    <m/>
  </r>
  <r>
    <x v="81"/>
    <x v="2"/>
    <x v="14"/>
    <d v="1899-12-30T00:00:00"/>
    <n v="7"/>
    <n v="0.5"/>
    <m/>
  </r>
  <r>
    <x v="81"/>
    <x v="0"/>
    <x v="15"/>
    <d v="1899-12-30T22:30:00"/>
    <n v="3.9999999999999991"/>
    <m/>
    <m/>
  </r>
  <r>
    <x v="82"/>
    <x v="0"/>
    <x v="0"/>
    <d v="1899-12-30T14:00:00"/>
    <n v="5.75"/>
    <n v="0.5"/>
    <m/>
  </r>
  <r>
    <x v="82"/>
    <x v="3"/>
    <x v="14"/>
    <d v="1899-12-30T23:00:00"/>
    <n v="6.0000000000000009"/>
    <n v="0.5"/>
    <m/>
  </r>
  <r>
    <x v="83"/>
    <x v="0"/>
    <x v="2"/>
    <d v="1899-12-30T12:00:00"/>
    <n v="4"/>
    <m/>
    <m/>
  </r>
  <r>
    <x v="83"/>
    <x v="5"/>
    <x v="7"/>
    <d v="1899-12-30T17:00:00"/>
    <n v="5.5000000000000018"/>
    <n v="0.5"/>
    <m/>
  </r>
  <r>
    <x v="83"/>
    <x v="3"/>
    <x v="18"/>
    <d v="1899-12-30T22:00:00"/>
    <n v="9"/>
    <n v="1"/>
    <m/>
  </r>
  <r>
    <x v="84"/>
    <x v="0"/>
    <x v="17"/>
    <d v="1899-12-30T13:30:00"/>
    <n v="4.5"/>
    <m/>
    <m/>
  </r>
  <r>
    <x v="85"/>
    <x v="0"/>
    <x v="2"/>
    <d v="1899-12-30T14:00:00"/>
    <n v="5.5000000000000018"/>
    <n v="0.5"/>
    <m/>
  </r>
  <r>
    <x v="85"/>
    <x v="0"/>
    <x v="9"/>
    <d v="1899-12-30T21:00:00"/>
    <n v="5.0000000000000009"/>
    <m/>
    <m/>
  </r>
  <r>
    <x v="86"/>
    <x v="0"/>
    <x v="2"/>
    <d v="1899-12-30T14:00:00"/>
    <n v="5.5000000000000018"/>
    <n v="0.5"/>
    <m/>
  </r>
  <r>
    <x v="86"/>
    <x v="0"/>
    <x v="5"/>
    <d v="1899-12-30T22:30:00"/>
    <n v="4.5"/>
    <m/>
    <m/>
  </r>
  <r>
    <x v="87"/>
    <x v="0"/>
    <x v="2"/>
    <d v="1899-12-30T14:00:00"/>
    <n v="5.5000000000000018"/>
    <n v="0.5"/>
    <m/>
  </r>
  <r>
    <x v="87"/>
    <x v="2"/>
    <x v="21"/>
    <d v="1899-12-30T23:30:00"/>
    <n v="7.4999999999999982"/>
    <n v="0.5"/>
    <m/>
  </r>
  <r>
    <x v="87"/>
    <x v="3"/>
    <x v="5"/>
    <d v="1899-12-30T23:00:00"/>
    <n v="5.0000000000000009"/>
    <m/>
    <m/>
  </r>
  <r>
    <x v="88"/>
    <x v="0"/>
    <x v="2"/>
    <d v="1899-12-30T12:30:00"/>
    <n v="4.5000000000000018"/>
    <m/>
    <m/>
  </r>
  <r>
    <x v="88"/>
    <x v="1"/>
    <x v="2"/>
    <d v="1899-12-30T11:00:00"/>
    <n v="3"/>
    <m/>
    <m/>
  </r>
  <r>
    <x v="88"/>
    <x v="3"/>
    <x v="8"/>
    <d v="1899-12-30T20:00:00"/>
    <n v="7"/>
    <n v="0.5"/>
    <m/>
  </r>
  <r>
    <x v="88"/>
    <x v="5"/>
    <x v="3"/>
    <d v="1899-12-30T00:00:00"/>
    <n v="9"/>
    <n v="1"/>
    <m/>
  </r>
  <r>
    <x v="88"/>
    <x v="2"/>
    <x v="12"/>
    <d v="1899-12-30T00:30:00"/>
    <n v="8.5"/>
    <n v="1"/>
    <m/>
  </r>
  <r>
    <x v="89"/>
    <x v="8"/>
    <x v="9"/>
    <d v="1899-12-30T22:00:00"/>
    <n v="5.5"/>
    <n v="0.5"/>
    <m/>
  </r>
  <r>
    <x v="90"/>
    <x v="0"/>
    <x v="2"/>
    <d v="1899-12-30T14:00:00"/>
    <n v="5.5000000000000018"/>
    <n v="0.5"/>
    <m/>
  </r>
  <r>
    <x v="91"/>
    <x v="0"/>
    <x v="2"/>
    <d v="1899-12-30T13:30:00"/>
    <n v="5.5"/>
    <m/>
    <m/>
  </r>
  <r>
    <x v="92"/>
    <x v="0"/>
    <x v="2"/>
    <d v="1899-12-30T14:00:00"/>
    <n v="5.5000000000000018"/>
    <n v="0.5"/>
    <m/>
  </r>
  <r>
    <x v="92"/>
    <x v="1"/>
    <x v="14"/>
    <d v="1899-12-30T21:30:00"/>
    <n v="5.0000000000000009"/>
    <m/>
    <m/>
  </r>
  <r>
    <x v="93"/>
    <x v="0"/>
    <x v="2"/>
    <d v="1899-12-30T14:00:00"/>
    <n v="5.5000000000000018"/>
    <n v="0.5"/>
    <m/>
  </r>
  <r>
    <x v="93"/>
    <x v="0"/>
    <x v="5"/>
    <d v="1899-12-30T22:30:00"/>
    <n v="4.5"/>
    <m/>
    <m/>
  </r>
  <r>
    <x v="94"/>
    <x v="0"/>
    <x v="2"/>
    <d v="1899-12-30T14:00:00"/>
    <n v="5.5000000000000018"/>
    <n v="0.5"/>
    <m/>
  </r>
  <r>
    <x v="94"/>
    <x v="2"/>
    <x v="1"/>
    <d v="1899-12-30T01:00:00"/>
    <n v="7.4999999999999982"/>
    <n v="0.5"/>
    <m/>
  </r>
  <r>
    <x v="94"/>
    <x v="3"/>
    <x v="5"/>
    <d v="1899-12-30T23:00:00"/>
    <n v="5.0000000000000009"/>
    <m/>
    <m/>
  </r>
  <r>
    <x v="95"/>
    <x v="3"/>
    <x v="22"/>
    <d v="1899-12-30T12:30:00"/>
    <n v="6.0000000000000009"/>
    <n v="0.5"/>
    <m/>
  </r>
  <r>
    <x v="95"/>
    <x v="0"/>
    <x v="8"/>
    <d v="1899-12-30T18:30:00"/>
    <n v="5.5"/>
    <n v="0.5"/>
    <m/>
  </r>
  <r>
    <x v="95"/>
    <x v="8"/>
    <x v="10"/>
    <d v="1899-12-30T18:00:00"/>
    <n v="5.0000000000000009"/>
    <m/>
    <m/>
  </r>
  <r>
    <x v="95"/>
    <x v="2"/>
    <x v="10"/>
    <d v="1899-12-30T19:00:00"/>
    <n v="5.5"/>
    <n v="0.5"/>
    <m/>
  </r>
  <r>
    <x v="96"/>
    <x v="2"/>
    <x v="7"/>
    <d v="1899-12-30T17:30:00"/>
    <n v="6"/>
    <n v="0.5"/>
    <m/>
  </r>
  <r>
    <x v="97"/>
    <x v="0"/>
    <x v="2"/>
    <d v="1899-12-30T14:00:00"/>
    <n v="5.5000000000000018"/>
    <n v="0.5"/>
    <m/>
  </r>
  <r>
    <x v="98"/>
    <x v="0"/>
    <x v="2"/>
    <d v="1899-12-30T14:00:00"/>
    <n v="5.5000000000000018"/>
    <n v="0.5"/>
    <m/>
  </r>
  <r>
    <x v="98"/>
    <x v="1"/>
    <x v="14"/>
    <d v="1899-12-30T21:00:00"/>
    <n v="4.5"/>
    <m/>
    <m/>
  </r>
  <r>
    <x v="98"/>
    <x v="3"/>
    <x v="1"/>
    <d v="1899-12-30T21:00:00"/>
    <n v="3.9999999999999991"/>
    <m/>
    <m/>
  </r>
  <r>
    <x v="99"/>
    <x v="0"/>
    <x v="7"/>
    <d v="1899-12-30T14:00:00"/>
    <n v="3.0000000000000013"/>
    <m/>
    <m/>
  </r>
  <r>
    <x v="99"/>
    <x v="0"/>
    <x v="15"/>
    <d v="1899-12-30T22:30:00"/>
    <n v="3.9999999999999991"/>
    <m/>
    <m/>
  </r>
  <r>
    <x v="100"/>
    <x v="0"/>
    <x v="2"/>
    <d v="1899-12-30T14:00:00"/>
    <n v="5.5000000000000018"/>
    <n v="0.5"/>
    <m/>
  </r>
  <r>
    <x v="100"/>
    <x v="0"/>
    <x v="5"/>
    <d v="1899-12-30T23:00:00"/>
    <n v="5.0000000000000009"/>
    <m/>
    <m/>
  </r>
  <r>
    <x v="101"/>
    <x v="0"/>
    <x v="2"/>
    <d v="1899-12-30T12:00:00"/>
    <n v="4"/>
    <m/>
    <m/>
  </r>
  <r>
    <x v="101"/>
    <x v="8"/>
    <x v="4"/>
    <d v="1899-12-30T16:00:00"/>
    <n v="5.4999999999999982"/>
    <n v="0.5"/>
    <m/>
  </r>
  <r>
    <x v="101"/>
    <x v="2"/>
    <x v="8"/>
    <d v="1899-12-30T18:00:00"/>
    <n v="5.4999999999999991"/>
    <m/>
    <m/>
  </r>
  <r>
    <x v="102"/>
    <x v="2"/>
    <x v="11"/>
    <d v="1899-12-30T17:00:00"/>
    <n v="9"/>
    <n v="1"/>
    <m/>
  </r>
  <r>
    <x v="102"/>
    <x v="3"/>
    <x v="4"/>
    <d v="1899-12-30T15:00:00"/>
    <n v="5"/>
    <m/>
    <m/>
  </r>
  <r>
    <x v="103"/>
    <x v="0"/>
    <x v="2"/>
    <d v="1899-12-30T14:00:00"/>
    <n v="5.5000000000000018"/>
    <n v="0.5"/>
    <m/>
  </r>
  <r>
    <x v="104"/>
    <x v="0"/>
    <x v="2"/>
    <d v="1899-12-30T14:00:00"/>
    <n v="5.5000000000000018"/>
    <n v="0.5"/>
    <m/>
  </r>
  <r>
    <x v="105"/>
    <x v="0"/>
    <x v="2"/>
    <d v="1899-12-30T14:00:00"/>
    <n v="5.5000000000000018"/>
    <n v="0.5"/>
    <m/>
  </r>
  <r>
    <x v="105"/>
    <x v="1"/>
    <x v="14"/>
    <d v="1899-12-30T21:00:00"/>
    <n v="4.5"/>
    <m/>
    <m/>
  </r>
  <r>
    <x v="106"/>
    <x v="0"/>
    <x v="2"/>
    <d v="1899-12-30T14:00:00"/>
    <n v="5.5000000000000018"/>
    <n v="0.5"/>
    <m/>
  </r>
  <r>
    <x v="106"/>
    <x v="0"/>
    <x v="15"/>
    <d v="1899-12-30T22:30:00"/>
    <n v="3.9999999999999991"/>
    <m/>
    <m/>
  </r>
  <r>
    <x v="107"/>
    <x v="0"/>
    <x v="17"/>
    <d v="1899-12-30T14:00:00"/>
    <n v="5.0000000000000009"/>
    <m/>
    <m/>
  </r>
  <r>
    <x v="107"/>
    <x v="0"/>
    <x v="5"/>
    <d v="1899-12-30T23:00:00"/>
    <n v="5.0000000000000009"/>
    <m/>
    <m/>
  </r>
  <r>
    <x v="108"/>
    <x v="2"/>
    <x v="23"/>
    <d v="1899-12-30T15:00:00"/>
    <n v="6"/>
    <n v="0.5"/>
    <m/>
  </r>
  <r>
    <x v="108"/>
    <x v="0"/>
    <x v="17"/>
    <d v="1899-12-30T13:00:00"/>
    <n v="3.9999999999999991"/>
    <m/>
    <m/>
  </r>
  <r>
    <x v="108"/>
    <x v="8"/>
    <x v="17"/>
    <d v="1899-12-30T17:00:00"/>
    <n v="7.5"/>
    <n v="0.5"/>
    <m/>
  </r>
  <r>
    <x v="108"/>
    <x v="0"/>
    <x v="18"/>
    <d v="1899-12-30T18:00:00"/>
    <n v="5.5"/>
    <n v="0.5"/>
    <m/>
  </r>
  <r>
    <x v="108"/>
    <x v="5"/>
    <x v="12"/>
    <d v="1899-12-30T18:00:00"/>
    <n v="3"/>
    <m/>
    <m/>
  </r>
  <r>
    <x v="109"/>
    <x v="2"/>
    <x v="18"/>
    <d v="1899-12-30T19:00:00"/>
    <n v="6.4999999999999991"/>
    <n v="0.5"/>
    <m/>
  </r>
  <r>
    <x v="109"/>
    <x v="3"/>
    <x v="12"/>
    <d v="1899-12-30T20:00:00"/>
    <n v="5.0000000000000009"/>
    <m/>
    <m/>
  </r>
  <r>
    <x v="110"/>
    <x v="0"/>
    <x v="2"/>
    <d v="1899-12-30T14:00:00"/>
    <n v="5.5000000000000018"/>
    <n v="0.5"/>
    <m/>
  </r>
  <r>
    <x v="111"/>
    <x v="0"/>
    <x v="2"/>
    <d v="1899-12-30T13:00:00"/>
    <n v="5"/>
    <m/>
    <m/>
  </r>
  <r>
    <x v="112"/>
    <x v="0"/>
    <x v="2"/>
    <d v="1899-12-30T14:00:00"/>
    <n v="5.5000000000000018"/>
    <n v="0.5"/>
    <n v="5521"/>
  </r>
  <r>
    <x v="112"/>
    <x v="1"/>
    <x v="14"/>
    <d v="1899-12-30T21:00:00"/>
    <n v="4.5"/>
    <m/>
    <m/>
  </r>
  <r>
    <x v="113"/>
    <x v="0"/>
    <x v="15"/>
    <d v="1899-12-30T22:30:00"/>
    <n v="3.9999999999999991"/>
    <m/>
    <m/>
  </r>
  <r>
    <x v="113"/>
    <x v="0"/>
    <x v="2"/>
    <d v="1899-12-30T14:00:00"/>
    <n v="5.5000000000000018"/>
    <n v="0.5"/>
    <m/>
  </r>
  <r>
    <x v="114"/>
    <x v="0"/>
    <x v="2"/>
    <d v="1899-12-30T14:00:00"/>
    <n v="5.5000000000000018"/>
    <n v="0.5"/>
    <m/>
  </r>
  <r>
    <x v="115"/>
    <x v="0"/>
    <x v="8"/>
    <d v="1899-12-30T18:00:00"/>
    <n v="5.4999999999999991"/>
    <m/>
    <m/>
  </r>
  <r>
    <x v="115"/>
    <x v="3"/>
    <x v="12"/>
    <d v="1899-12-30T21:00:00"/>
    <n v="5.5"/>
    <n v="0.5"/>
    <m/>
  </r>
  <r>
    <x v="115"/>
    <x v="2"/>
    <x v="12"/>
    <d v="1899-12-30T20:00:00"/>
    <n v="5.0000000000000009"/>
    <m/>
    <m/>
  </r>
  <r>
    <x v="116"/>
    <x v="0"/>
    <x v="2"/>
    <d v="1899-12-30T14:00:00"/>
    <n v="5.5000000000000018"/>
    <n v="0.5"/>
    <m/>
  </r>
  <r>
    <x v="117"/>
    <x v="0"/>
    <x v="17"/>
    <d v="1899-12-30T13:30:00"/>
    <n v="4.5"/>
    <m/>
    <m/>
  </r>
  <r>
    <x v="118"/>
    <x v="0"/>
    <x v="2"/>
    <d v="1899-12-30T13:00:00"/>
    <n v="5"/>
    <m/>
    <m/>
  </r>
  <r>
    <x v="118"/>
    <x v="0"/>
    <x v="9"/>
    <d v="1899-12-30T17:30:00"/>
    <n v="1.5"/>
    <m/>
    <m/>
  </r>
  <r>
    <x v="118"/>
    <x v="1"/>
    <x v="14"/>
    <d v="1899-12-30T21:00:00"/>
    <n v="4.5"/>
    <m/>
    <m/>
  </r>
  <r>
    <x v="119"/>
    <x v="1"/>
    <x v="15"/>
    <d v="1899-12-30T23:00:00"/>
    <n v="4.5"/>
    <m/>
    <m/>
  </r>
  <r>
    <x v="119"/>
    <x v="0"/>
    <x v="2"/>
    <d v="1899-12-30T14:00:00"/>
    <n v="5.5000000000000018"/>
    <n v="0.5"/>
    <m/>
  </r>
  <r>
    <x v="119"/>
    <x v="0"/>
    <x v="15"/>
    <d v="1899-12-30T22:30:00"/>
    <n v="3.9999999999999991"/>
    <m/>
    <m/>
  </r>
  <r>
    <x v="120"/>
    <x v="1"/>
    <x v="5"/>
    <d v="1899-12-30T23:30:00"/>
    <n v="4.9999999999999991"/>
    <n v="0.5"/>
    <m/>
  </r>
  <r>
    <x v="120"/>
    <x v="0"/>
    <x v="2"/>
    <d v="1899-12-30T14:00:00"/>
    <n v="5.5000000000000018"/>
    <n v="0.5"/>
    <m/>
  </r>
  <r>
    <x v="121"/>
    <x v="2"/>
    <x v="8"/>
    <d v="1899-12-30T16:30:00"/>
    <n v="3.9999999999999991"/>
    <m/>
    <m/>
  </r>
  <r>
    <x v="121"/>
    <x v="3"/>
    <x v="3"/>
    <d v="1899-12-30T20:30:00"/>
    <n v="5.9999999999999982"/>
    <n v="0.5"/>
    <m/>
  </r>
  <r>
    <x v="121"/>
    <x v="2"/>
    <x v="16"/>
    <d v="1899-12-30T12:30:00"/>
    <n v="5.0000000000000009"/>
    <m/>
    <m/>
  </r>
  <r>
    <x v="121"/>
    <x v="8"/>
    <x v="4"/>
    <d v="1899-12-30T17:00:00"/>
    <n v="6.5"/>
    <n v="0.5"/>
    <m/>
  </r>
  <r>
    <x v="122"/>
    <x v="1"/>
    <x v="12"/>
    <d v="1899-12-30T19:00:00"/>
    <n v="3.9999999999999991"/>
    <m/>
    <m/>
  </r>
  <r>
    <x v="123"/>
    <x v="0"/>
    <x v="2"/>
    <d v="1899-12-30T14:00:00"/>
    <n v="5.5000000000000018"/>
    <n v="0.5"/>
    <m/>
  </r>
  <r>
    <x v="124"/>
    <x v="0"/>
    <x v="2"/>
    <d v="1899-12-30T14:00:00"/>
    <n v="5.5000000000000018"/>
    <n v="0.5"/>
    <m/>
  </r>
  <r>
    <x v="125"/>
    <x v="0"/>
    <x v="2"/>
    <d v="1899-12-30T14:00:00"/>
    <n v="5.5000000000000018"/>
    <n v="0.5"/>
    <m/>
  </r>
  <r>
    <x v="125"/>
    <x v="0"/>
    <x v="9"/>
    <d v="1899-12-30T21:00:00"/>
    <n v="5.0000000000000009"/>
    <m/>
    <m/>
  </r>
  <r>
    <x v="125"/>
    <x v="1"/>
    <x v="14"/>
    <d v="1899-12-30T21:00:00"/>
    <n v="4.5"/>
    <m/>
    <m/>
  </r>
  <r>
    <x v="126"/>
    <x v="0"/>
    <x v="2"/>
    <d v="1899-12-30T14:00:00"/>
    <n v="5.5000000000000018"/>
    <n v="0.5"/>
    <m/>
  </r>
  <r>
    <x v="126"/>
    <x v="10"/>
    <x v="11"/>
    <d v="1899-12-30T11:00:00"/>
    <n v="3.9999999999999991"/>
    <m/>
    <m/>
  </r>
  <r>
    <x v="126"/>
    <x v="0"/>
    <x v="5"/>
    <d v="1899-12-30T23:00:00"/>
    <n v="5.0000000000000009"/>
    <m/>
    <m/>
  </r>
  <r>
    <x v="126"/>
    <x v="7"/>
    <x v="24"/>
    <d v="1899-12-30T22:00:00"/>
    <n v="3"/>
    <m/>
    <m/>
  </r>
  <r>
    <x v="127"/>
    <x v="0"/>
    <x v="17"/>
    <d v="1899-12-30T14:00:00"/>
    <n v="5.0000000000000009"/>
    <m/>
    <m/>
  </r>
  <r>
    <x v="128"/>
    <x v="3"/>
    <x v="21"/>
    <d v="1899-12-30T22:30:00"/>
    <n v="6.4999999999999991"/>
    <n v="0.5"/>
    <m/>
  </r>
  <r>
    <x v="128"/>
    <x v="0"/>
    <x v="2"/>
    <d v="1899-12-30T12:30:00"/>
    <n v="4.5000000000000018"/>
    <m/>
    <m/>
  </r>
  <r>
    <x v="129"/>
    <x v="5"/>
    <x v="3"/>
    <d v="1899-12-30T19:00:00"/>
    <n v="4.9999999999999982"/>
    <m/>
    <m/>
  </r>
  <r>
    <x v="129"/>
    <x v="3"/>
    <x v="12"/>
    <d v="1899-12-30T22:30:00"/>
    <n v="7"/>
    <n v="0.5"/>
    <m/>
  </r>
  <r>
    <x v="130"/>
    <x v="0"/>
    <x v="2"/>
    <d v="1899-12-30T14:00:00"/>
    <n v="5.5000000000000018"/>
    <n v="0.5"/>
    <m/>
  </r>
  <r>
    <x v="130"/>
    <x v="3"/>
    <x v="5"/>
    <d v="1899-12-30T21:30:00"/>
    <n v="3.5000000000000009"/>
    <m/>
    <m/>
  </r>
  <r>
    <x v="131"/>
    <x v="0"/>
    <x v="2"/>
    <d v="1899-12-30T14:00:00"/>
    <n v="5.5000000000000018"/>
    <n v="0.5"/>
    <m/>
  </r>
  <r>
    <x v="132"/>
    <x v="0"/>
    <x v="14"/>
    <d v="1899-12-30T21:00:00"/>
    <n v="4.5"/>
    <m/>
    <m/>
  </r>
  <r>
    <x v="132"/>
    <x v="0"/>
    <x v="2"/>
    <d v="1899-12-30T13:00:00"/>
    <n v="5"/>
    <m/>
    <m/>
  </r>
  <r>
    <x v="133"/>
    <x v="0"/>
    <x v="2"/>
    <d v="1899-12-30T14:00:00"/>
    <n v="5.5000000000000018"/>
    <n v="0.5"/>
    <m/>
  </r>
  <r>
    <x v="133"/>
    <x v="0"/>
    <x v="15"/>
    <d v="1899-12-30T22:30:00"/>
    <n v="3.9999999999999991"/>
    <m/>
    <m/>
  </r>
  <r>
    <x v="133"/>
    <x v="9"/>
    <x v="1"/>
    <d v="1899-12-30T22:00:00"/>
    <n v="4.4999999999999982"/>
    <n v="0.5"/>
    <m/>
  </r>
  <r>
    <x v="134"/>
    <x v="0"/>
    <x v="2"/>
    <d v="1899-12-30T14:00:00"/>
    <n v="5.5000000000000018"/>
    <n v="0.5"/>
    <m/>
  </r>
  <r>
    <x v="134"/>
    <x v="9"/>
    <x v="15"/>
    <d v="1899-12-30T23:30:00"/>
    <n v="4.9999999999999982"/>
    <m/>
    <m/>
  </r>
  <r>
    <x v="135"/>
    <x v="3"/>
    <x v="18"/>
    <d v="1899-12-30T21:30:00"/>
    <n v="8.5"/>
    <n v="1"/>
    <m/>
  </r>
  <r>
    <x v="135"/>
    <x v="2"/>
    <x v="24"/>
    <d v="1899-12-30T21:00:00"/>
    <n v="2.0000000000000009"/>
    <m/>
    <m/>
  </r>
  <r>
    <x v="135"/>
    <x v="8"/>
    <x v="8"/>
    <d v="1899-12-30T19:00:00"/>
    <n v="5.9999999999999982"/>
    <n v="0.5"/>
    <m/>
  </r>
  <r>
    <x v="136"/>
    <x v="9"/>
    <x v="9"/>
    <d v="1899-12-30T23:00:00"/>
    <n v="6.5000000000000018"/>
    <n v="0.5"/>
    <m/>
  </r>
  <r>
    <x v="137"/>
    <x v="0"/>
    <x v="2"/>
    <d v="1899-12-30T14:00:00"/>
    <n v="5.5000000000000018"/>
    <n v="0.5"/>
    <m/>
  </r>
  <r>
    <x v="138"/>
    <x v="1"/>
    <x v="14"/>
    <d v="1899-12-30T21:00:00"/>
    <n v="4.5"/>
    <m/>
    <m/>
  </r>
  <r>
    <x v="139"/>
    <x v="0"/>
    <x v="5"/>
    <d v="1899-12-30T23:00:00"/>
    <n v="5.0000000000000009"/>
    <m/>
    <m/>
  </r>
  <r>
    <x v="139"/>
    <x v="7"/>
    <x v="24"/>
    <d v="1899-12-30T22:00:00"/>
    <n v="3"/>
    <m/>
    <m/>
  </r>
  <r>
    <x v="139"/>
    <x v="2"/>
    <x v="21"/>
    <d v="1899-12-30T22:00:00"/>
    <n v="5.9999999999999982"/>
    <n v="0.5"/>
    <m/>
  </r>
  <r>
    <x v="139"/>
    <x v="0"/>
    <x v="17"/>
    <d v="1899-12-30T14:00:00"/>
    <n v="5.0000000000000009"/>
    <m/>
    <m/>
  </r>
  <r>
    <x v="140"/>
    <x v="0"/>
    <x v="2"/>
    <d v="1899-12-30T14:00:00"/>
    <n v="5.5000000000000018"/>
    <n v="0.5"/>
    <m/>
  </r>
  <r>
    <x v="141"/>
    <x v="2"/>
    <x v="17"/>
    <d v="1899-12-30T13:00:00"/>
    <n v="3.9999999999999991"/>
    <m/>
    <n v="5521"/>
  </r>
  <r>
    <x v="141"/>
    <x v="8"/>
    <x v="17"/>
    <d v="1899-12-30T17:00:00"/>
    <n v="7.5"/>
    <n v="0.5"/>
    <m/>
  </r>
  <r>
    <x v="141"/>
    <x v="3"/>
    <x v="10"/>
    <d v="1899-12-30T21:00:00"/>
    <n v="7.5"/>
    <n v="0.5"/>
    <m/>
  </r>
  <r>
    <x v="141"/>
    <x v="2"/>
    <x v="9"/>
    <d v="1899-12-30T21:00:00"/>
    <n v="5.0000000000000009"/>
    <m/>
    <m/>
  </r>
  <r>
    <x v="142"/>
    <x v="2"/>
    <x v="9"/>
    <d v="1899-12-30T23:00:00"/>
    <n v="6.5000000000000018"/>
    <n v="0.5"/>
    <m/>
  </r>
  <r>
    <x v="143"/>
    <x v="0"/>
    <x v="2"/>
    <d v="1899-12-30T14:00:00"/>
    <n v="5.5000000000000018"/>
    <n v="0.5"/>
    <m/>
  </r>
  <r>
    <x v="144"/>
    <x v="0"/>
    <x v="2"/>
    <d v="1899-12-30T14:00:00"/>
    <n v="5.5000000000000018"/>
    <n v="0.5"/>
    <m/>
  </r>
  <r>
    <x v="144"/>
    <x v="2"/>
    <x v="1"/>
    <d v="1899-12-30T23:00:00"/>
    <n v="5.5"/>
    <n v="0.5"/>
    <m/>
  </r>
  <r>
    <x v="145"/>
    <x v="0"/>
    <x v="2"/>
    <d v="1899-12-30T14:00:00"/>
    <n v="5.5000000000000018"/>
    <n v="0.5"/>
    <m/>
  </r>
  <r>
    <x v="145"/>
    <x v="3"/>
    <x v="9"/>
    <d v="1899-12-30T21:00:00"/>
    <n v="5.0000000000000009"/>
    <m/>
    <m/>
  </r>
  <r>
    <x v="145"/>
    <x v="1"/>
    <x v="9"/>
    <d v="1899-12-30T21:30:00"/>
    <n v="5.5000000000000018"/>
    <m/>
    <m/>
  </r>
  <r>
    <x v="146"/>
    <x v="2"/>
    <x v="11"/>
    <d v="1899-12-30T14:00:00"/>
    <n v="6.5"/>
    <n v="0.5"/>
    <m/>
  </r>
  <r>
    <x v="146"/>
    <x v="0"/>
    <x v="2"/>
    <d v="1899-12-30T14:00:00"/>
    <n v="5.5000000000000018"/>
    <n v="0.5"/>
    <m/>
  </r>
  <r>
    <x v="146"/>
    <x v="0"/>
    <x v="5"/>
    <d v="1899-12-30T23:00:00"/>
    <n v="5.0000000000000009"/>
    <m/>
    <m/>
  </r>
  <r>
    <x v="146"/>
    <x v="1"/>
    <x v="24"/>
    <d v="1899-12-30T22:30:00"/>
    <n v="3.5000000000000009"/>
    <m/>
    <m/>
  </r>
  <r>
    <x v="147"/>
    <x v="0"/>
    <x v="2"/>
    <d v="1899-12-30T14:00:00"/>
    <n v="5.5000000000000018"/>
    <n v="0.5"/>
    <m/>
  </r>
  <r>
    <x v="148"/>
    <x v="0"/>
    <x v="2"/>
    <d v="1899-12-30T12:30:00"/>
    <n v="4.5000000000000018"/>
    <m/>
    <m/>
  </r>
  <r>
    <x v="148"/>
    <x v="2"/>
    <x v="17"/>
    <d v="1899-12-30T20:00:00"/>
    <n v="10"/>
    <n v="1"/>
    <m/>
  </r>
  <r>
    <x v="148"/>
    <x v="3"/>
    <x v="10"/>
    <d v="1899-12-30T22:30:00"/>
    <n v="8.5"/>
    <n v="1"/>
    <m/>
  </r>
  <r>
    <x v="149"/>
    <x v="3"/>
    <x v="25"/>
    <d v="1899-12-30T18:30:00"/>
    <n v="6.5"/>
    <n v="0.5"/>
    <m/>
  </r>
  <r>
    <x v="150"/>
    <x v="0"/>
    <x v="2"/>
    <d v="1899-12-30T14:00:00"/>
    <n v="5.5000000000000018"/>
    <n v="0.5"/>
    <m/>
  </r>
  <r>
    <x v="150"/>
    <x v="7"/>
    <x v="2"/>
    <d v="1899-12-30T13:00:00"/>
    <n v="5"/>
    <m/>
    <m/>
  </r>
  <r>
    <x v="150"/>
    <x v="6"/>
    <x v="8"/>
    <d v="1899-12-30T16:30:00"/>
    <n v="3.9999999999999991"/>
    <m/>
    <m/>
  </r>
  <r>
    <x v="151"/>
    <x v="0"/>
    <x v="2"/>
    <d v="1899-12-30T14:00:00"/>
    <n v="5.5000000000000018"/>
    <n v="0.5"/>
    <m/>
  </r>
  <r>
    <x v="151"/>
    <x v="6"/>
    <x v="8"/>
    <d v="1899-12-30T16:30:00"/>
    <n v="3.9999999999999991"/>
    <m/>
    <m/>
  </r>
  <r>
    <x v="152"/>
    <x v="0"/>
    <x v="2"/>
    <d v="1899-12-30T14:00:00"/>
    <n v="5.5000000000000018"/>
    <n v="0.5"/>
    <m/>
  </r>
  <r>
    <x v="152"/>
    <x v="11"/>
    <x v="18"/>
    <d v="1899-12-30T16:00:00"/>
    <n v="3.9999999999999991"/>
    <m/>
    <m/>
  </r>
  <r>
    <x v="152"/>
    <x v="6"/>
    <x v="8"/>
    <d v="1899-12-30T16:30:00"/>
    <n v="3.9999999999999991"/>
    <m/>
    <m/>
  </r>
  <r>
    <x v="152"/>
    <x v="1"/>
    <x v="9"/>
    <d v="1899-12-30T21:30:00"/>
    <n v="5.5000000000000018"/>
    <m/>
    <m/>
  </r>
  <r>
    <x v="153"/>
    <x v="0"/>
    <x v="2"/>
    <d v="1899-12-30T14:00:00"/>
    <n v="5.5000000000000018"/>
    <n v="0.5"/>
    <m/>
  </r>
  <r>
    <x v="153"/>
    <x v="6"/>
    <x v="8"/>
    <d v="1899-12-30T16:30:00"/>
    <n v="3.9999999999999991"/>
    <m/>
    <m/>
  </r>
  <r>
    <x v="153"/>
    <x v="1"/>
    <x v="5"/>
    <d v="1899-12-30T22:30:00"/>
    <n v="4.5"/>
    <m/>
    <m/>
  </r>
  <r>
    <x v="153"/>
    <x v="0"/>
    <x v="5"/>
    <d v="1899-12-30T23:00:00"/>
    <n v="5.0000000000000009"/>
    <m/>
    <m/>
  </r>
  <r>
    <x v="154"/>
    <x v="0"/>
    <x v="2"/>
    <d v="1899-12-30T14:00:00"/>
    <n v="5.5000000000000018"/>
    <n v="0.5"/>
    <m/>
  </r>
  <r>
    <x v="154"/>
    <x v="6"/>
    <x v="8"/>
    <d v="1899-12-30T16:30:00"/>
    <n v="3.9999999999999991"/>
    <m/>
    <m/>
  </r>
  <r>
    <x v="154"/>
    <x v="8"/>
    <x v="3"/>
    <d v="1899-12-30T23:00:00"/>
    <n v="8"/>
    <n v="1"/>
    <m/>
  </r>
  <r>
    <x v="155"/>
    <x v="0"/>
    <x v="2"/>
    <d v="1899-12-30T12:30:00"/>
    <n v="4.5000000000000018"/>
    <m/>
    <m/>
  </r>
  <r>
    <x v="155"/>
    <x v="12"/>
    <x v="2"/>
    <d v="1899-12-30T01:30:00"/>
    <n v="16"/>
    <n v="1.5"/>
    <m/>
  </r>
  <r>
    <x v="155"/>
    <x v="8"/>
    <x v="3"/>
    <d v="1899-12-30T23:00:00"/>
    <n v="8"/>
    <n v="1"/>
    <m/>
  </r>
  <r>
    <x v="156"/>
    <x v="8"/>
    <x v="4"/>
    <d v="1899-12-30T15:00:00"/>
    <n v="5"/>
    <m/>
    <m/>
  </r>
  <r>
    <x v="156"/>
    <x v="2"/>
    <x v="3"/>
    <d v="1899-12-30T22:00:00"/>
    <n v="7.4999999999999982"/>
    <n v="0.5"/>
    <m/>
  </r>
  <r>
    <x v="157"/>
    <x v="0"/>
    <x v="2"/>
    <d v="1899-12-30T14:00:00"/>
    <n v="5.5000000000000018"/>
    <n v="0.5"/>
    <m/>
  </r>
  <r>
    <x v="157"/>
    <x v="6"/>
    <x v="2"/>
    <d v="1899-12-30T16:30:00"/>
    <n v="8"/>
    <n v="0.5"/>
    <m/>
  </r>
  <r>
    <x v="158"/>
    <x v="0"/>
    <x v="2"/>
    <d v="1899-12-30T14:00:00"/>
    <n v="5.5000000000000018"/>
    <n v="0.5"/>
    <m/>
  </r>
  <r>
    <x v="158"/>
    <x v="6"/>
    <x v="18"/>
    <d v="1899-12-30T16:30:00"/>
    <n v="4.5"/>
    <m/>
    <m/>
  </r>
  <r>
    <x v="159"/>
    <x v="0"/>
    <x v="2"/>
    <d v="1899-12-30T14:00:00"/>
    <n v="5.5000000000000018"/>
    <n v="0.5"/>
    <m/>
  </r>
  <r>
    <x v="159"/>
    <x v="6"/>
    <x v="18"/>
    <d v="1899-12-30T16:30:00"/>
    <n v="4.5"/>
    <m/>
    <m/>
  </r>
  <r>
    <x v="159"/>
    <x v="8"/>
    <x v="9"/>
    <d v="1899-12-30T22:00:00"/>
    <n v="5.5"/>
    <n v="0.5"/>
    <m/>
  </r>
  <r>
    <x v="159"/>
    <x v="3"/>
    <x v="1"/>
    <d v="1899-12-30T21:00:00"/>
    <n v="3.9999999999999991"/>
    <m/>
    <m/>
  </r>
  <r>
    <x v="160"/>
    <x v="0"/>
    <x v="2"/>
    <d v="1899-12-30T14:00:00"/>
    <n v="5.5000000000000018"/>
    <n v="0.5"/>
    <m/>
  </r>
  <r>
    <x v="160"/>
    <x v="6"/>
    <x v="18"/>
    <d v="1899-12-30T16:30:00"/>
    <n v="4.5"/>
    <m/>
    <m/>
  </r>
  <r>
    <x v="160"/>
    <x v="1"/>
    <x v="5"/>
    <d v="1899-12-30T22:30:00"/>
    <n v="4.5"/>
    <m/>
    <m/>
  </r>
  <r>
    <x v="160"/>
    <x v="0"/>
    <x v="5"/>
    <d v="1899-12-30T23:00:00"/>
    <n v="5.0000000000000009"/>
    <m/>
    <m/>
  </r>
  <r>
    <x v="161"/>
    <x v="0"/>
    <x v="2"/>
    <d v="1899-12-30T14:00:00"/>
    <n v="5.5000000000000018"/>
    <n v="0.5"/>
    <m/>
  </r>
  <r>
    <x v="161"/>
    <x v="6"/>
    <x v="18"/>
    <d v="1899-12-30T16:30:00"/>
    <n v="4.5"/>
    <m/>
    <m/>
  </r>
  <r>
    <x v="161"/>
    <x v="2"/>
    <x v="10"/>
    <d v="1899-12-30T01:00:00"/>
    <n v="11"/>
    <n v="1"/>
    <m/>
  </r>
  <r>
    <x v="161"/>
    <x v="3"/>
    <x v="1"/>
    <d v="1899-12-30T23:00:00"/>
    <n v="5.5"/>
    <n v="0.5"/>
    <m/>
  </r>
  <r>
    <x v="162"/>
    <x v="0"/>
    <x v="2"/>
    <d v="1899-12-30T12:30:00"/>
    <n v="4.5000000000000018"/>
    <m/>
    <m/>
  </r>
  <r>
    <x v="162"/>
    <x v="5"/>
    <x v="23"/>
    <d v="1899-12-30T17:00:00"/>
    <n v="8"/>
    <n v="0.5"/>
    <m/>
  </r>
  <r>
    <x v="162"/>
    <x v="12"/>
    <x v="2"/>
    <d v="1899-12-30T22:00:00"/>
    <n v="12.999999999999998"/>
    <n v="1"/>
    <m/>
  </r>
  <r>
    <x v="162"/>
    <x v="3"/>
    <x v="3"/>
    <d v="1899-12-30T00:00:00"/>
    <n v="9"/>
    <n v="1"/>
    <m/>
  </r>
  <r>
    <x v="162"/>
    <x v="8"/>
    <x v="7"/>
    <d v="1899-12-30T21:00:00"/>
    <n v="9"/>
    <n v="1"/>
    <m/>
  </r>
  <r>
    <x v="163"/>
    <x v="8"/>
    <x v="7"/>
    <d v="1899-12-30T18:00:00"/>
    <n v="6.5"/>
    <n v="0.5"/>
    <m/>
  </r>
  <r>
    <x v="163"/>
    <x v="2"/>
    <x v="3"/>
    <d v="1899-12-30T22:00:00"/>
    <n v="7.4999999999999982"/>
    <n v="0.5"/>
    <m/>
  </r>
  <r>
    <x v="164"/>
    <x v="0"/>
    <x v="2"/>
    <d v="1899-12-30T14:00:00"/>
    <n v="5.5000000000000018"/>
    <n v="0.5"/>
    <m/>
  </r>
  <r>
    <x v="164"/>
    <x v="6"/>
    <x v="2"/>
    <d v="1899-12-30T16:30:00"/>
    <n v="8"/>
    <n v="0.5"/>
    <m/>
  </r>
  <r>
    <x v="165"/>
    <x v="0"/>
    <x v="2"/>
    <d v="1899-12-30T14:00:00"/>
    <n v="5.5000000000000018"/>
    <n v="0.5"/>
    <m/>
  </r>
  <r>
    <x v="165"/>
    <x v="6"/>
    <x v="2"/>
    <d v="1899-12-30T16:30:00"/>
    <n v="8"/>
    <n v="0.5"/>
    <m/>
  </r>
  <r>
    <x v="166"/>
    <x v="0"/>
    <x v="2"/>
    <d v="1899-12-30T14:00:00"/>
    <n v="5.5000000000000018"/>
    <n v="0.5"/>
    <m/>
  </r>
  <r>
    <x v="166"/>
    <x v="6"/>
    <x v="2"/>
    <d v="1899-12-30T16:30:00"/>
    <n v="8"/>
    <n v="0.5"/>
    <m/>
  </r>
  <r>
    <x v="166"/>
    <x v="1"/>
    <x v="9"/>
    <d v="1899-12-30T21:30:00"/>
    <n v="5.5000000000000018"/>
    <m/>
    <m/>
  </r>
  <r>
    <x v="167"/>
    <x v="0"/>
    <x v="2"/>
    <d v="1899-12-30T14:00:00"/>
    <n v="5.5000000000000018"/>
    <n v="0.5"/>
    <m/>
  </r>
  <r>
    <x v="167"/>
    <x v="6"/>
    <x v="18"/>
    <d v="1899-12-30T16:30:00"/>
    <n v="4.5"/>
    <m/>
    <m/>
  </r>
  <r>
    <x v="167"/>
    <x v="1"/>
    <x v="5"/>
    <d v="1899-12-30T22:30:00"/>
    <n v="4.5"/>
    <m/>
    <m/>
  </r>
  <r>
    <x v="167"/>
    <x v="0"/>
    <x v="5"/>
    <d v="1899-12-30T23:00:00"/>
    <n v="5.0000000000000009"/>
    <m/>
    <m/>
  </r>
  <r>
    <x v="168"/>
    <x v="0"/>
    <x v="2"/>
    <d v="1899-12-30T14:00:00"/>
    <n v="5.5000000000000018"/>
    <n v="0.5"/>
    <m/>
  </r>
  <r>
    <x v="168"/>
    <x v="6"/>
    <x v="18"/>
    <d v="1899-12-30T16:30:00"/>
    <n v="4.5"/>
    <m/>
    <m/>
  </r>
  <r>
    <x v="169"/>
    <x v="0"/>
    <x v="2"/>
    <d v="1899-12-30T12:30:00"/>
    <n v="4.5000000000000018"/>
    <m/>
    <m/>
  </r>
  <r>
    <x v="169"/>
    <x v="1"/>
    <x v="2"/>
    <d v="1899-12-30T00:00:00"/>
    <n v="15"/>
    <n v="1"/>
    <m/>
  </r>
  <r>
    <x v="169"/>
    <x v="5"/>
    <x v="23"/>
    <d v="1899-12-30T16:30:00"/>
    <n v="7.5"/>
    <n v="0.5"/>
    <m/>
  </r>
  <r>
    <x v="169"/>
    <x v="3"/>
    <x v="10"/>
    <d v="1899-12-30T20:00:00"/>
    <n v="6.5000000000000018"/>
    <n v="0.5"/>
    <m/>
  </r>
  <r>
    <x v="169"/>
    <x v="8"/>
    <x v="7"/>
    <d v="1899-12-30T20:00:00"/>
    <n v="8.0000000000000018"/>
    <n v="1"/>
    <m/>
  </r>
  <r>
    <x v="170"/>
    <x v="0"/>
    <x v="2"/>
    <d v="1899-12-30T14:00:00"/>
    <n v="5.5000000000000018"/>
    <n v="0.5"/>
    <n v="5521"/>
  </r>
  <r>
    <x v="171"/>
    <x v="0"/>
    <x v="2"/>
    <d v="1899-12-30T14:00:00"/>
    <n v="5.5000000000000018"/>
    <n v="0.5"/>
    <m/>
  </r>
  <r>
    <x v="172"/>
    <x v="1"/>
    <x v="9"/>
    <d v="1899-12-30T21:30:00"/>
    <n v="5.0000000000000018"/>
    <n v="0.5"/>
    <m/>
  </r>
  <r>
    <x v="172"/>
    <x v="0"/>
    <x v="2"/>
    <d v="1899-12-30T14:00:00"/>
    <n v="5.5000000000000018"/>
    <n v="0.5"/>
    <m/>
  </r>
  <r>
    <x v="173"/>
    <x v="0"/>
    <x v="2"/>
    <d v="1899-12-30T14:00:00"/>
    <n v="5.5000000000000018"/>
    <n v="0.5"/>
    <m/>
  </r>
  <r>
    <x v="174"/>
    <x v="2"/>
    <x v="10"/>
    <d v="1899-12-30T18:00:00"/>
    <n v="5.0000000000000009"/>
    <m/>
    <m/>
  </r>
  <r>
    <x v="174"/>
    <x v="1"/>
    <x v="0"/>
    <d v="1899-12-30T13:00:00"/>
    <n v="4.7499999999999982"/>
    <n v="0.5"/>
    <m/>
  </r>
  <r>
    <x v="174"/>
    <x v="0"/>
    <x v="2"/>
    <d v="1899-12-30T13:00:00"/>
    <n v="5"/>
    <m/>
    <m/>
  </r>
  <r>
    <x v="174"/>
    <x v="2"/>
    <x v="5"/>
    <d v="1899-12-30T22:30:00"/>
    <n v="4.5"/>
    <m/>
    <m/>
  </r>
  <r>
    <x v="174"/>
    <x v="3"/>
    <x v="19"/>
    <d v="1899-12-30T23:30:00"/>
    <n v="5.5"/>
    <n v="0.5"/>
    <m/>
  </r>
  <r>
    <x v="175"/>
    <x v="3"/>
    <x v="18"/>
    <d v="1899-12-30T18:00:00"/>
    <n v="5.5"/>
    <n v="0.5"/>
    <m/>
  </r>
  <r>
    <x v="176"/>
    <x v="0"/>
    <x v="2"/>
    <d v="1899-12-30T14:00:00"/>
    <n v="5.5000000000000018"/>
    <n v="0.5"/>
    <m/>
  </r>
  <r>
    <x v="176"/>
    <x v="1"/>
    <x v="2"/>
    <d v="1899-12-30T12:00:00"/>
    <n v="4"/>
    <m/>
    <m/>
  </r>
  <r>
    <x v="176"/>
    <x v="6"/>
    <x v="2"/>
    <d v="1899-12-30T16:30:00"/>
    <n v="8"/>
    <n v="0.5"/>
    <m/>
  </r>
  <r>
    <x v="177"/>
    <x v="0"/>
    <x v="2"/>
    <d v="1899-12-30T14:00:00"/>
    <n v="5.5000000000000018"/>
    <n v="0.5"/>
    <m/>
  </r>
  <r>
    <x v="178"/>
    <x v="1"/>
    <x v="9"/>
    <d v="1899-12-30T21:30:00"/>
    <n v="5.0000000000000018"/>
    <n v="0.5"/>
    <m/>
  </r>
  <r>
    <x v="178"/>
    <x v="0"/>
    <x v="2"/>
    <d v="1899-12-30T14:00:00"/>
    <n v="5.5000000000000018"/>
    <n v="0.5"/>
    <m/>
  </r>
  <r>
    <x v="179"/>
    <x v="0"/>
    <x v="2"/>
    <d v="1899-12-30T14:00:00"/>
    <n v="5.5000000000000018"/>
    <n v="0.5"/>
    <m/>
  </r>
  <r>
    <x v="179"/>
    <x v="0"/>
    <x v="5"/>
    <d v="1899-12-30T23:00:00"/>
    <n v="5.0000000000000009"/>
    <m/>
    <m/>
  </r>
  <r>
    <x v="180"/>
    <x v="0"/>
    <x v="2"/>
    <d v="1899-12-30T14:00:00"/>
    <n v="5.5000000000000018"/>
    <n v="0.5"/>
    <m/>
  </r>
  <r>
    <x v="181"/>
    <x v="5"/>
    <x v="10"/>
    <d v="1899-12-30T21:00:00"/>
    <n v="7.5"/>
    <n v="0.5"/>
    <m/>
  </r>
  <r>
    <x v="181"/>
    <x v="1"/>
    <x v="0"/>
    <d v="1899-12-30T15:30:00"/>
    <n v="7.25"/>
    <n v="0.5"/>
    <m/>
  </r>
  <r>
    <x v="181"/>
    <x v="0"/>
    <x v="2"/>
    <d v="1899-12-30T13:00:00"/>
    <n v="5"/>
    <m/>
    <m/>
  </r>
  <r>
    <x v="181"/>
    <x v="2"/>
    <x v="12"/>
    <d v="1899-12-30T19:00:00"/>
    <n v="3.9999999999999991"/>
    <m/>
    <m/>
  </r>
  <r>
    <x v="181"/>
    <x v="2"/>
    <x v="24"/>
    <d v="1899-12-30T00:00:00"/>
    <n v="5.0000000000000009"/>
    <m/>
    <m/>
  </r>
  <r>
    <x v="181"/>
    <x v="8"/>
    <x v="12"/>
    <d v="1899-12-30T22:00:00"/>
    <n v="6.4999999999999991"/>
    <n v="0.5"/>
    <m/>
  </r>
  <r>
    <x v="181"/>
    <x v="3"/>
    <x v="10"/>
    <d v="1899-12-30T21:00:00"/>
    <n v="7.5"/>
    <n v="0.5"/>
    <m/>
  </r>
  <r>
    <x v="182"/>
    <x v="2"/>
    <x v="11"/>
    <d v="1899-12-30T11:00:00"/>
    <n v="3.9999999999999991"/>
    <m/>
    <m/>
  </r>
  <r>
    <x v="182"/>
    <x v="2"/>
    <x v="7"/>
    <d v="1899-12-30T18:00:00"/>
    <n v="6.5"/>
    <n v="0.5"/>
    <m/>
  </r>
  <r>
    <x v="182"/>
    <x v="8"/>
    <x v="11"/>
    <d v="1899-12-30T16:00:00"/>
    <n v="7.9999999999999982"/>
    <n v="1"/>
    <m/>
  </r>
  <r>
    <x v="183"/>
    <x v="0"/>
    <x v="2"/>
    <d v="1899-12-30T14:00:00"/>
    <n v="5.5000000000000018"/>
    <n v="0.5"/>
    <m/>
  </r>
  <r>
    <x v="184"/>
    <x v="3"/>
    <x v="1"/>
    <d v="1899-12-30T22:00:00"/>
    <n v="4.9999999999999982"/>
    <m/>
    <m/>
  </r>
  <r>
    <x v="184"/>
    <x v="0"/>
    <x v="2"/>
    <d v="1899-12-30T14:00:00"/>
    <n v="5.5000000000000018"/>
    <n v="0.5"/>
    <m/>
  </r>
  <r>
    <x v="185"/>
    <x v="0"/>
    <x v="2"/>
    <d v="1899-12-30T14:00:00"/>
    <n v="5.5000000000000018"/>
    <n v="0.5"/>
    <m/>
  </r>
  <r>
    <x v="185"/>
    <x v="3"/>
    <x v="1"/>
    <d v="1899-12-30T21:00:00"/>
    <n v="3.9999999999999991"/>
    <m/>
    <m/>
  </r>
  <r>
    <x v="185"/>
    <x v="1"/>
    <x v="9"/>
    <d v="1899-12-30T21:30:00"/>
    <n v="5.0000000000000018"/>
    <n v="0.5"/>
    <m/>
  </r>
  <r>
    <x v="186"/>
    <x v="0"/>
    <x v="5"/>
    <d v="1899-12-30T23:00:00"/>
    <n v="5.0000000000000009"/>
    <m/>
    <m/>
  </r>
  <r>
    <x v="186"/>
    <x v="0"/>
    <x v="2"/>
    <d v="1899-12-30T14:00:00"/>
    <n v="5.5000000000000018"/>
    <n v="0.5"/>
    <m/>
  </r>
  <r>
    <x v="187"/>
    <x v="0"/>
    <x v="2"/>
    <d v="1899-12-30T14:00:00"/>
    <n v="5.5000000000000018"/>
    <n v="0.5"/>
    <m/>
  </r>
  <r>
    <x v="187"/>
    <x v="3"/>
    <x v="9"/>
    <d v="1899-12-30T23:00:00"/>
    <n v="6.5000000000000018"/>
    <n v="0.5"/>
    <m/>
  </r>
  <r>
    <x v="188"/>
    <x v="1"/>
    <x v="26"/>
    <d v="1899-12-30T14:30:00"/>
    <n v="7.2499999999999991"/>
    <n v="0.5"/>
    <m/>
  </r>
  <r>
    <x v="188"/>
    <x v="0"/>
    <x v="2"/>
    <d v="1899-12-30T13:00:00"/>
    <n v="5"/>
    <m/>
    <m/>
  </r>
  <r>
    <x v="188"/>
    <x v="2"/>
    <x v="20"/>
    <d v="1899-12-30T23:30:00"/>
    <n v="8"/>
    <n v="1"/>
    <m/>
  </r>
  <r>
    <x v="188"/>
    <x v="3"/>
    <x v="12"/>
    <d v="1899-12-30T23:00:00"/>
    <n v="7.5"/>
    <n v="0.5"/>
    <m/>
  </r>
  <r>
    <x v="188"/>
    <x v="8"/>
    <x v="7"/>
    <d v="1899-12-30T19:00:00"/>
    <n v="7.5"/>
    <n v="0.5"/>
    <m/>
  </r>
  <r>
    <x v="189"/>
    <x v="2"/>
    <x v="9"/>
    <d v="1899-12-30T21:00:00"/>
    <n v="5.0000000000000009"/>
    <m/>
    <m/>
  </r>
  <r>
    <x v="189"/>
    <x v="2"/>
    <x v="2"/>
    <d v="1899-12-30T16:00:00"/>
    <n v="7.5"/>
    <n v="0.5"/>
    <m/>
  </r>
  <r>
    <x v="189"/>
    <x v="3"/>
    <x v="23"/>
    <d v="1899-12-30T15:00:00"/>
    <n v="6"/>
    <n v="0.5"/>
    <m/>
  </r>
  <r>
    <x v="190"/>
    <x v="0"/>
    <x v="2"/>
    <d v="1899-12-30T14:00:00"/>
    <n v="5.5000000000000018"/>
    <n v="0.5"/>
    <m/>
  </r>
  <r>
    <x v="191"/>
    <x v="0"/>
    <x v="2"/>
    <d v="1899-12-30T14:00:00"/>
    <n v="5.5000000000000018"/>
    <n v="0.5"/>
    <m/>
  </r>
  <r>
    <x v="192"/>
    <x v="0"/>
    <x v="2"/>
    <d v="1899-12-30T14:00:00"/>
    <n v="5.5000000000000018"/>
    <n v="0.5"/>
    <m/>
  </r>
  <r>
    <x v="192"/>
    <x v="1"/>
    <x v="9"/>
    <d v="1899-12-30T22:30:00"/>
    <n v="6.0000000000000009"/>
    <n v="0.5"/>
    <m/>
  </r>
  <r>
    <x v="193"/>
    <x v="0"/>
    <x v="2"/>
    <d v="1899-12-30T14:00:00"/>
    <n v="5.5000000000000018"/>
    <n v="0.5"/>
    <m/>
  </r>
  <r>
    <x v="193"/>
    <x v="0"/>
    <x v="5"/>
    <d v="1899-12-30T23:00:00"/>
    <n v="5.0000000000000009"/>
    <m/>
    <m/>
  </r>
  <r>
    <x v="194"/>
    <x v="0"/>
    <x v="2"/>
    <d v="1899-12-30T14:00:00"/>
    <n v="5.5000000000000018"/>
    <n v="0.5"/>
    <m/>
  </r>
  <r>
    <x v="195"/>
    <x v="1"/>
    <x v="11"/>
    <d v="1899-12-30T15:30:00"/>
    <n v="8"/>
    <n v="0.5"/>
    <m/>
  </r>
  <r>
    <x v="195"/>
    <x v="0"/>
    <x v="2"/>
    <d v="1899-12-30T13:00:00"/>
    <n v="5"/>
    <m/>
    <m/>
  </r>
  <r>
    <x v="195"/>
    <x v="8"/>
    <x v="10"/>
    <d v="1899-12-30T18:00:00"/>
    <n v="4.5000000000000009"/>
    <n v="0.5"/>
    <m/>
  </r>
  <r>
    <x v="195"/>
    <x v="3"/>
    <x v="21"/>
    <d v="1899-12-30T21:30:00"/>
    <n v="5.5"/>
    <n v="0.5"/>
    <m/>
  </r>
  <r>
    <x v="196"/>
    <x v="2"/>
    <x v="4"/>
    <d v="1899-12-30T15:00:00"/>
    <n v="5"/>
    <m/>
    <m/>
  </r>
  <r>
    <x v="197"/>
    <x v="3"/>
    <x v="14"/>
    <d v="1899-12-30T21:30:00"/>
    <n v="5.0000000000000009"/>
    <m/>
    <m/>
  </r>
  <r>
    <x v="197"/>
    <x v="0"/>
    <x v="2"/>
    <d v="1899-12-30T14:00:00"/>
    <n v="5.5000000000000018"/>
    <n v="0.5"/>
    <m/>
  </r>
  <r>
    <x v="198"/>
    <x v="0"/>
    <x v="2"/>
    <d v="1899-12-30T14:00:00"/>
    <n v="5.5000000000000018"/>
    <n v="0.5"/>
    <m/>
  </r>
  <r>
    <x v="199"/>
    <x v="0"/>
    <x v="2"/>
    <d v="1899-12-30T14:00:00"/>
    <n v="5.5000000000000018"/>
    <n v="0.5"/>
    <m/>
  </r>
  <r>
    <x v="199"/>
    <x v="0"/>
    <x v="9"/>
    <d v="1899-12-30T22:00:00"/>
    <n v="5.5"/>
    <n v="0.5"/>
    <m/>
  </r>
  <r>
    <x v="200"/>
    <x v="0"/>
    <x v="2"/>
    <d v="1899-12-30T14:00:00"/>
    <n v="5.5000000000000018"/>
    <n v="0.5"/>
    <n v="5521"/>
  </r>
  <r>
    <x v="200"/>
    <x v="0"/>
    <x v="5"/>
    <d v="1899-12-30T23:00:00"/>
    <n v="5.0000000000000009"/>
    <m/>
    <m/>
  </r>
  <r>
    <x v="201"/>
    <x v="0"/>
    <x v="2"/>
    <d v="1899-12-30T14:00:00"/>
    <n v="5.5000000000000018"/>
    <n v="0.5"/>
    <m/>
  </r>
  <r>
    <x v="202"/>
    <x v="1"/>
    <x v="16"/>
    <d v="1899-12-30T10:00:00"/>
    <n v="2.5000000000000004"/>
    <m/>
    <m/>
  </r>
  <r>
    <x v="202"/>
    <x v="0"/>
    <x v="2"/>
    <d v="1899-12-30T13:00:00"/>
    <n v="5"/>
    <m/>
    <m/>
  </r>
  <r>
    <x v="202"/>
    <x v="8"/>
    <x v="12"/>
    <d v="1899-12-30T20:00:00"/>
    <n v="5.0000000000000009"/>
    <m/>
    <m/>
  </r>
  <r>
    <x v="203"/>
    <x v="1"/>
    <x v="17"/>
    <d v="1899-12-30T15:00:00"/>
    <n v="5.5"/>
    <n v="0.5"/>
    <m/>
  </r>
  <r>
    <x v="203"/>
    <x v="0"/>
    <x v="2"/>
    <d v="1899-12-30T14:00:00"/>
    <n v="5.5000000000000018"/>
    <n v="0.5"/>
    <m/>
  </r>
  <r>
    <x v="204"/>
    <x v="0"/>
    <x v="2"/>
    <d v="1899-12-30T14:00:00"/>
    <n v="5.5000000000000018"/>
    <n v="0.5"/>
    <m/>
  </r>
  <r>
    <x v="205"/>
    <x v="0"/>
    <x v="2"/>
    <d v="1899-12-30T14:00:00"/>
    <n v="5.5000000000000018"/>
    <n v="0.5"/>
    <m/>
  </r>
  <r>
    <x v="205"/>
    <x v="1"/>
    <x v="5"/>
    <d v="1899-12-30T22:00:00"/>
    <n v="3.9999999999999991"/>
    <m/>
    <m/>
  </r>
  <r>
    <x v="205"/>
    <x v="0"/>
    <x v="9"/>
    <d v="1899-12-30T21:00:00"/>
    <n v="5.0000000000000009"/>
    <m/>
    <m/>
  </r>
  <r>
    <x v="206"/>
    <x v="0"/>
    <x v="2"/>
    <d v="1899-12-30T14:00:00"/>
    <n v="5.5000000000000018"/>
    <n v="0.5"/>
    <m/>
  </r>
  <r>
    <x v="206"/>
    <x v="2"/>
    <x v="9"/>
    <d v="1899-12-30T22:00:00"/>
    <n v="5.5"/>
    <n v="0.5"/>
    <m/>
  </r>
  <r>
    <x v="207"/>
    <x v="0"/>
    <x v="17"/>
    <d v="1899-12-30T14:00:00"/>
    <n v="5.0000000000000009"/>
    <m/>
    <m/>
  </r>
  <r>
    <x v="207"/>
    <x v="2"/>
    <x v="9"/>
    <d v="1899-12-30T23:00:00"/>
    <n v="6.5000000000000018"/>
    <n v="0.5"/>
    <m/>
  </r>
  <r>
    <x v="208"/>
    <x v="0"/>
    <x v="2"/>
    <d v="1899-12-30T13:00:00"/>
    <n v="5"/>
    <m/>
    <m/>
  </r>
  <r>
    <x v="208"/>
    <x v="3"/>
    <x v="15"/>
    <d v="1899-12-30T01:00:00"/>
    <n v="5.9999999999999982"/>
    <n v="0.5"/>
    <m/>
  </r>
  <r>
    <x v="208"/>
    <x v="1"/>
    <x v="27"/>
    <d v="1899-12-30T12:30:00"/>
    <n v="5.5000000000000018"/>
    <n v="0.5"/>
    <m/>
  </r>
  <r>
    <x v="208"/>
    <x v="8"/>
    <x v="25"/>
    <d v="1899-12-30T18:30:00"/>
    <n v="6.5"/>
    <n v="0.5"/>
    <m/>
  </r>
  <r>
    <x v="208"/>
    <x v="3"/>
    <x v="10"/>
    <d v="1899-12-30T18:30:00"/>
    <n v="5.0000000000000018"/>
    <n v="0.5"/>
    <m/>
  </r>
  <r>
    <x v="209"/>
    <x v="0"/>
    <x v="2"/>
    <d v="1899-12-30T14:00:00"/>
    <n v="5.5000000000000018"/>
    <n v="0.5"/>
    <m/>
  </r>
  <r>
    <x v="210"/>
    <x v="0"/>
    <x v="2"/>
    <d v="1899-12-30T14:00:00"/>
    <n v="5.5000000000000018"/>
    <n v="0.5"/>
    <m/>
  </r>
  <r>
    <x v="211"/>
    <x v="0"/>
    <x v="2"/>
    <d v="1899-12-30T14:00:00"/>
    <n v="5.5000000000000018"/>
    <n v="0.5"/>
    <m/>
  </r>
  <r>
    <x v="211"/>
    <x v="1"/>
    <x v="9"/>
    <d v="1899-12-30T21:30:00"/>
    <n v="5.0000000000000018"/>
    <n v="0.5"/>
    <m/>
  </r>
  <r>
    <x v="212"/>
    <x v="0"/>
    <x v="15"/>
    <d v="1899-12-30T23:00:00"/>
    <n v="4.5"/>
    <m/>
    <m/>
  </r>
  <r>
    <x v="212"/>
    <x v="0"/>
    <x v="2"/>
    <d v="1899-12-30T14:00:00"/>
    <n v="5.5000000000000018"/>
    <n v="0.5"/>
    <m/>
  </r>
  <r>
    <x v="213"/>
    <x v="2"/>
    <x v="14"/>
    <d v="1899-12-30T23:00:00"/>
    <n v="6.0000000000000009"/>
    <n v="0.5"/>
    <m/>
  </r>
  <r>
    <x v="213"/>
    <x v="7"/>
    <x v="2"/>
    <d v="1899-12-30T16:00:00"/>
    <n v="7.5"/>
    <n v="0.5"/>
    <m/>
  </r>
  <r>
    <x v="213"/>
    <x v="0"/>
    <x v="2"/>
    <d v="1899-12-30T14:00:00"/>
    <n v="5.5000000000000018"/>
    <n v="0.5"/>
    <m/>
  </r>
  <r>
    <x v="214"/>
    <x v="5"/>
    <x v="4"/>
    <d v="1899-12-30T17:00:00"/>
    <n v="6.5"/>
    <n v="0.5"/>
    <m/>
  </r>
  <r>
    <x v="214"/>
    <x v="1"/>
    <x v="27"/>
    <d v="1899-12-30T12:30:00"/>
    <n v="5.5000000000000018"/>
    <n v="0.5"/>
    <m/>
  </r>
  <r>
    <x v="214"/>
    <x v="0"/>
    <x v="2"/>
    <d v="1899-12-30T12:30:00"/>
    <n v="4.5000000000000018"/>
    <m/>
    <m/>
  </r>
  <r>
    <x v="214"/>
    <x v="3"/>
    <x v="8"/>
    <d v="1899-12-30T19:30:00"/>
    <n v="6.4999999999999991"/>
    <n v="0.5"/>
    <m/>
  </r>
  <r>
    <x v="214"/>
    <x v="8"/>
    <x v="18"/>
    <d v="1899-12-30T19:00:00"/>
    <n v="6.4999999999999991"/>
    <n v="0.5"/>
    <m/>
  </r>
  <r>
    <x v="215"/>
    <x v="3"/>
    <x v="6"/>
    <d v="1899-12-30T16:30:00"/>
    <n v="6.5"/>
    <n v="0.5"/>
    <m/>
  </r>
  <r>
    <x v="215"/>
    <x v="5"/>
    <x v="4"/>
    <d v="1899-12-30T16:30:00"/>
    <n v="6"/>
    <n v="0.5"/>
    <m/>
  </r>
  <r>
    <x v="215"/>
    <x v="2"/>
    <x v="10"/>
    <d v="1899-12-30T19:00:00"/>
    <n v="5.5"/>
    <n v="0.5"/>
    <m/>
  </r>
  <r>
    <x v="215"/>
    <x v="2"/>
    <x v="2"/>
    <d v="1899-12-30T13:00:00"/>
    <n v="5"/>
    <m/>
    <m/>
  </r>
  <r>
    <x v="216"/>
    <x v="0"/>
    <x v="2"/>
    <d v="1899-12-30T14:00:00"/>
    <n v="5.5000000000000018"/>
    <n v="0.5"/>
    <m/>
  </r>
  <r>
    <x v="217"/>
    <x v="0"/>
    <x v="2"/>
    <d v="1899-12-30T14:00:00"/>
    <n v="5.5000000000000018"/>
    <n v="0.5"/>
    <m/>
  </r>
  <r>
    <x v="217"/>
    <x v="9"/>
    <x v="3"/>
    <d v="1899-12-30T20:00:00"/>
    <n v="5.5"/>
    <n v="0.5"/>
    <m/>
  </r>
  <r>
    <x v="217"/>
    <x v="9"/>
    <x v="28"/>
    <d v="1899-12-30T00:00:00"/>
    <n v="3.9999999999999991"/>
    <m/>
    <m/>
  </r>
  <r>
    <x v="218"/>
    <x v="0"/>
    <x v="2"/>
    <d v="1899-12-30T14:00:00"/>
    <n v="5.5000000000000018"/>
    <n v="0.5"/>
    <m/>
  </r>
  <r>
    <x v="218"/>
    <x v="1"/>
    <x v="9"/>
    <d v="1899-12-30T21:30:00"/>
    <n v="5.0000000000000018"/>
    <n v="0.5"/>
    <m/>
  </r>
  <r>
    <x v="219"/>
    <x v="2"/>
    <x v="10"/>
    <d v="1899-12-30T18:30:00"/>
    <n v="5.0000000000000018"/>
    <n v="0.5"/>
    <m/>
  </r>
  <r>
    <x v="219"/>
    <x v="2"/>
    <x v="15"/>
    <d v="1899-12-30T23:30:00"/>
    <n v="4.9999999999999982"/>
    <m/>
    <m/>
  </r>
  <r>
    <x v="219"/>
    <x v="0"/>
    <x v="2"/>
    <d v="1899-12-30T14:00:00"/>
    <n v="5.5000000000000018"/>
    <n v="0.5"/>
    <m/>
  </r>
  <r>
    <x v="219"/>
    <x v="0"/>
    <x v="1"/>
    <d v="1899-12-30T23:00:00"/>
    <n v="5.5"/>
    <n v="0.5"/>
    <m/>
  </r>
  <r>
    <x v="220"/>
    <x v="0"/>
    <x v="2"/>
    <d v="1899-12-30T14:00:00"/>
    <n v="5.5000000000000018"/>
    <n v="0.5"/>
    <m/>
  </r>
  <r>
    <x v="221"/>
    <x v="1"/>
    <x v="27"/>
    <d v="1899-12-30T12:30:00"/>
    <n v="5.5000000000000018"/>
    <n v="0.5"/>
    <m/>
  </r>
  <r>
    <x v="221"/>
    <x v="2"/>
    <x v="29"/>
    <d v="1899-12-30T19:30:00"/>
    <n v="5.5"/>
    <n v="0.5"/>
    <m/>
  </r>
  <r>
    <x v="221"/>
    <x v="0"/>
    <x v="2"/>
    <d v="1899-12-30T15:00:00"/>
    <n v="6.5"/>
    <n v="0.5"/>
    <m/>
  </r>
  <r>
    <x v="222"/>
    <x v="0"/>
    <x v="29"/>
    <d v="1899-12-30T19:00:00"/>
    <n v="4.9999999999999991"/>
    <n v="0.5"/>
    <m/>
  </r>
  <r>
    <x v="222"/>
    <x v="3"/>
    <x v="2"/>
    <d v="1899-12-30T13:30:00"/>
    <n v="5"/>
    <n v="0.5"/>
    <m/>
  </r>
  <r>
    <x v="222"/>
    <x v="3"/>
    <x v="24"/>
    <d v="1899-12-30T00:00:00"/>
    <n v="5.0000000000000009"/>
    <m/>
    <m/>
  </r>
  <r>
    <x v="223"/>
    <x v="0"/>
    <x v="2"/>
    <d v="1899-12-30T14:00:00"/>
    <n v="5.5000000000000018"/>
    <n v="0.5"/>
    <m/>
  </r>
  <r>
    <x v="223"/>
    <x v="0"/>
    <x v="9"/>
    <d v="1899-12-30T21:00:00"/>
    <n v="5.0000000000000009"/>
    <m/>
    <m/>
  </r>
  <r>
    <x v="224"/>
    <x v="0"/>
    <x v="2"/>
    <d v="1899-12-30T14:00:00"/>
    <n v="5.5000000000000018"/>
    <n v="0.5"/>
    <m/>
  </r>
  <r>
    <x v="225"/>
    <x v="0"/>
    <x v="2"/>
    <d v="1899-12-30T14:00:00"/>
    <n v="5.5000000000000018"/>
    <n v="0.5"/>
    <m/>
  </r>
  <r>
    <x v="225"/>
    <x v="1"/>
    <x v="9"/>
    <d v="1899-12-30T21:30:00"/>
    <n v="5.0000000000000018"/>
    <n v="0.5"/>
    <m/>
  </r>
  <r>
    <x v="226"/>
    <x v="0"/>
    <x v="2"/>
    <d v="1899-12-30T14:00:00"/>
    <n v="5.5000000000000018"/>
    <n v="0.5"/>
    <m/>
  </r>
  <r>
    <x v="226"/>
    <x v="0"/>
    <x v="15"/>
    <d v="1899-12-30T23:00:00"/>
    <n v="4.5"/>
    <m/>
    <m/>
  </r>
  <r>
    <x v="227"/>
    <x v="0"/>
    <x v="2"/>
    <d v="1899-12-30T14:00:00"/>
    <n v="5.5000000000000018"/>
    <n v="0.5"/>
    <m/>
  </r>
  <r>
    <x v="228"/>
    <x v="0"/>
    <x v="2"/>
    <d v="1899-12-30T13:00:00"/>
    <n v="5"/>
    <m/>
    <m/>
  </r>
  <r>
    <x v="228"/>
    <x v="2"/>
    <x v="3"/>
    <d v="1899-12-30T19:30:00"/>
    <n v="4.9999999999999991"/>
    <n v="0.5"/>
    <m/>
  </r>
  <r>
    <x v="228"/>
    <x v="3"/>
    <x v="28"/>
    <d v="1899-12-30T01:00:00"/>
    <n v="4.9999999999999982"/>
    <m/>
    <m/>
  </r>
  <r>
    <x v="228"/>
    <x v="3"/>
    <x v="3"/>
    <d v="1899-12-30T20:00:00"/>
    <n v="5.5"/>
    <n v="0.5"/>
    <m/>
  </r>
  <r>
    <x v="228"/>
    <x v="1"/>
    <x v="2"/>
    <d v="1899-12-30T12:30:00"/>
    <n v="4.5000000000000018"/>
    <m/>
    <m/>
  </r>
  <r>
    <x v="228"/>
    <x v="2"/>
    <x v="30"/>
    <d v="1899-12-30T00:00:00"/>
    <n v="4.5"/>
    <m/>
    <m/>
  </r>
  <r>
    <x v="229"/>
    <x v="0"/>
    <x v="2"/>
    <d v="1899-12-30T14:00:00"/>
    <n v="5.5000000000000018"/>
    <n v="0.5"/>
    <m/>
  </r>
  <r>
    <x v="229"/>
    <x v="1"/>
    <x v="14"/>
    <d v="1899-12-30T21:30:00"/>
    <n v="4.5000000000000009"/>
    <n v="0.5"/>
    <m/>
  </r>
  <r>
    <x v="230"/>
    <x v="0"/>
    <x v="2"/>
    <d v="1899-12-30T14:00:00"/>
    <n v="5.5000000000000018"/>
    <n v="0.5"/>
    <m/>
  </r>
  <r>
    <x v="230"/>
    <x v="0"/>
    <x v="9"/>
    <d v="1899-12-30T21:30:00"/>
    <n v="5.5000000000000018"/>
    <m/>
    <m/>
  </r>
  <r>
    <x v="231"/>
    <x v="0"/>
    <x v="5"/>
    <d v="1899-12-30T23:00:00"/>
    <n v="5.0000000000000009"/>
    <m/>
    <m/>
  </r>
  <r>
    <x v="231"/>
    <x v="0"/>
    <x v="2"/>
    <d v="1899-12-30T14:00:00"/>
    <n v="5.5000000000000018"/>
    <n v="0.5"/>
    <m/>
  </r>
  <r>
    <x v="232"/>
    <x v="0"/>
    <x v="2"/>
    <d v="1899-12-30T14:00:00"/>
    <n v="5.5000000000000018"/>
    <n v="0.5"/>
    <m/>
  </r>
  <r>
    <x v="233"/>
    <x v="0"/>
    <x v="27"/>
    <d v="1899-12-30T10:00:00"/>
    <n v="3.5000000000000009"/>
    <m/>
    <m/>
  </r>
  <r>
    <x v="233"/>
    <x v="0"/>
    <x v="2"/>
    <d v="1899-12-30T13:00:00"/>
    <n v="5"/>
    <m/>
    <m/>
  </r>
  <r>
    <x v="233"/>
    <x v="1"/>
    <x v="2"/>
    <d v="1899-12-30T12:30:00"/>
    <n v="4.5000000000000018"/>
    <m/>
    <m/>
  </r>
  <r>
    <x v="233"/>
    <x v="3"/>
    <x v="10"/>
    <d v="1899-12-30T21:00:00"/>
    <n v="7.5"/>
    <n v="0.5"/>
    <m/>
  </r>
  <r>
    <x v="233"/>
    <x v="2"/>
    <x v="25"/>
    <d v="1899-12-30T18:00:00"/>
    <n v="6"/>
    <n v="0.5"/>
    <m/>
  </r>
  <r>
    <x v="233"/>
    <x v="8"/>
    <x v="18"/>
    <d v="1899-12-30T19:00:00"/>
    <n v="6.4999999999999991"/>
    <n v="0.5"/>
    <m/>
  </r>
  <r>
    <x v="233"/>
    <x v="2"/>
    <x v="5"/>
    <d v="1899-12-30T00:30:00"/>
    <n v="6.0000000000000009"/>
    <n v="0.5"/>
    <m/>
  </r>
  <r>
    <x v="234"/>
    <x v="8"/>
    <x v="3"/>
    <d v="1899-12-30T22:00:00"/>
    <n v="7.4999999999999982"/>
    <n v="0.5"/>
    <m/>
  </r>
  <r>
    <x v="235"/>
    <x v="0"/>
    <x v="2"/>
    <d v="1899-12-30T14:00:00"/>
    <n v="5.5000000000000018"/>
    <n v="0.5"/>
    <m/>
  </r>
  <r>
    <x v="236"/>
    <x v="2"/>
    <x v="9"/>
    <d v="1899-12-30T21:00:00"/>
    <n v="5.0000000000000009"/>
    <m/>
    <m/>
  </r>
  <r>
    <x v="236"/>
    <x v="0"/>
    <x v="2"/>
    <d v="1899-12-30T14:00:00"/>
    <n v="5.5000000000000018"/>
    <n v="0.5"/>
    <m/>
  </r>
  <r>
    <x v="237"/>
    <x v="0"/>
    <x v="2"/>
    <d v="1899-12-30T14:00:00"/>
    <n v="5.5000000000000018"/>
    <n v="0.5"/>
    <m/>
  </r>
  <r>
    <x v="238"/>
    <x v="0"/>
    <x v="2"/>
    <d v="1899-12-30T14:00:00"/>
    <n v="5.5000000000000018"/>
    <n v="0.5"/>
    <m/>
  </r>
  <r>
    <x v="238"/>
    <x v="0"/>
    <x v="15"/>
    <d v="1899-12-30T23:00:00"/>
    <n v="4.5"/>
    <m/>
    <m/>
  </r>
  <r>
    <x v="239"/>
    <x v="13"/>
    <x v="2"/>
    <d v="1899-12-30T16:00:00"/>
    <n v="7.5"/>
    <n v="0.5"/>
    <m/>
  </r>
  <r>
    <x v="239"/>
    <x v="2"/>
    <x v="12"/>
    <d v="1899-12-30T20:00:00"/>
    <n v="5.0000000000000009"/>
    <m/>
    <m/>
  </r>
  <r>
    <x v="239"/>
    <x v="0"/>
    <x v="2"/>
    <d v="1899-12-30T14:00:00"/>
    <n v="5.5000000000000018"/>
    <n v="0.5"/>
    <m/>
  </r>
  <r>
    <x v="240"/>
    <x v="1"/>
    <x v="2"/>
    <d v="1899-12-30T12:30:00"/>
    <n v="4.5000000000000018"/>
    <m/>
    <m/>
  </r>
  <r>
    <x v="240"/>
    <x v="2"/>
    <x v="9"/>
    <d v="1899-12-30T20:00:00"/>
    <n v="4.0000000000000018"/>
    <m/>
    <m/>
  </r>
  <r>
    <x v="240"/>
    <x v="3"/>
    <x v="1"/>
    <d v="1899-12-30T23:00:00"/>
    <n v="5.5"/>
    <n v="0.5"/>
    <m/>
  </r>
  <r>
    <x v="240"/>
    <x v="2"/>
    <x v="28"/>
    <d v="1899-12-30T01:00:00"/>
    <n v="4.9999999999999982"/>
    <m/>
    <m/>
  </r>
  <r>
    <x v="240"/>
    <x v="3"/>
    <x v="7"/>
    <d v="1899-12-30T17:00:00"/>
    <n v="5.5000000000000018"/>
    <n v="0.5"/>
    <m/>
  </r>
  <r>
    <x v="240"/>
    <x v="3"/>
    <x v="27"/>
    <d v="1899-12-30T10:00:00"/>
    <n v="3.5000000000000009"/>
    <m/>
    <m/>
  </r>
  <r>
    <x v="240"/>
    <x v="0"/>
    <x v="2"/>
    <d v="1899-12-30T13:00:00"/>
    <n v="5"/>
    <m/>
    <m/>
  </r>
  <r>
    <x v="241"/>
    <x v="8"/>
    <x v="17"/>
    <d v="1899-12-30T17:00:00"/>
    <n v="7.5"/>
    <n v="0.5"/>
    <m/>
  </r>
  <r>
    <x v="241"/>
    <x v="3"/>
    <x v="7"/>
    <d v="1899-12-30T17:00:00"/>
    <n v="5.5000000000000018"/>
    <n v="0.5"/>
    <m/>
  </r>
  <r>
    <x v="242"/>
    <x v="0"/>
    <x v="2"/>
    <d v="1899-12-30T14:00:00"/>
    <n v="5.5000000000000018"/>
    <n v="0.5"/>
    <m/>
  </r>
  <r>
    <x v="243"/>
    <x v="0"/>
    <x v="2"/>
    <d v="1899-12-30T14:00:00"/>
    <n v="5.5000000000000018"/>
    <n v="0.5"/>
    <m/>
  </r>
  <r>
    <x v="244"/>
    <x v="1"/>
    <x v="14"/>
    <d v="1899-12-30T21:30:00"/>
    <n v="5.0000000000000009"/>
    <m/>
    <m/>
  </r>
  <r>
    <x v="244"/>
    <x v="0"/>
    <x v="2"/>
    <d v="1899-12-30T14:00:00"/>
    <n v="5.5000000000000018"/>
    <n v="0.5"/>
    <m/>
  </r>
  <r>
    <x v="244"/>
    <x v="0"/>
    <x v="1"/>
    <d v="1899-12-30T21:00:00"/>
    <n v="3.9999999999999991"/>
    <m/>
    <m/>
  </r>
  <r>
    <x v="245"/>
    <x v="0"/>
    <x v="2"/>
    <d v="1899-12-30T14:00:00"/>
    <n v="5.5000000000000018"/>
    <n v="0.5"/>
    <m/>
  </r>
  <r>
    <x v="245"/>
    <x v="0"/>
    <x v="15"/>
    <d v="1899-12-30T23:00:00"/>
    <n v="4.5"/>
    <m/>
    <m/>
  </r>
  <r>
    <x v="246"/>
    <x v="0"/>
    <x v="2"/>
    <d v="1899-12-30T14:00:00"/>
    <n v="5.5000000000000018"/>
    <n v="0.5"/>
    <m/>
  </r>
  <r>
    <x v="247"/>
    <x v="3"/>
    <x v="27"/>
    <d v="1899-12-30T10:00:00"/>
    <n v="3.5000000000000009"/>
    <m/>
    <m/>
  </r>
  <r>
    <x v="247"/>
    <x v="0"/>
    <x v="2"/>
    <d v="1899-12-30T15:30:00"/>
    <n v="7.0000000000000018"/>
    <n v="0.5"/>
    <m/>
  </r>
  <r>
    <x v="247"/>
    <x v="3"/>
    <x v="12"/>
    <d v="1899-12-30T01:00:00"/>
    <n v="9"/>
    <n v="1"/>
    <m/>
  </r>
  <r>
    <x v="247"/>
    <x v="2"/>
    <x v="10"/>
    <d v="1899-12-30T19:00:00"/>
    <n v="5.5"/>
    <n v="0.5"/>
    <m/>
  </r>
  <r>
    <x v="247"/>
    <x v="8"/>
    <x v="19"/>
    <d v="1899-12-30T22:00:00"/>
    <n v="4.5"/>
    <m/>
    <m/>
  </r>
  <r>
    <x v="247"/>
    <x v="6"/>
    <x v="2"/>
    <d v="1899-12-30T11:30:00"/>
    <n v="3.5000000000000009"/>
    <m/>
    <m/>
  </r>
  <r>
    <x v="247"/>
    <x v="1"/>
    <x v="2"/>
    <d v="1899-12-30T13:00:00"/>
    <n v="5"/>
    <m/>
    <m/>
  </r>
  <r>
    <x v="247"/>
    <x v="8"/>
    <x v="18"/>
    <d v="1899-12-30T17:00:00"/>
    <n v="4.5000000000000009"/>
    <n v="0.5"/>
    <m/>
  </r>
  <r>
    <x v="247"/>
    <x v="5"/>
    <x v="25"/>
    <d v="1899-12-30T15:00:00"/>
    <n v="3.4999999999999996"/>
    <m/>
    <m/>
  </r>
  <r>
    <x v="248"/>
    <x v="8"/>
    <x v="10"/>
    <d v="1899-12-30T18:00:00"/>
    <n v="5.0000000000000009"/>
    <m/>
    <m/>
  </r>
  <r>
    <x v="248"/>
    <x v="1"/>
    <x v="29"/>
    <d v="1899-12-30T17:30:00"/>
    <n v="3.9999999999999991"/>
    <m/>
    <m/>
  </r>
  <r>
    <x v="249"/>
    <x v="0"/>
    <x v="2"/>
    <d v="1899-12-30T14:00:00"/>
    <n v="5.5000000000000018"/>
    <n v="0.5"/>
    <m/>
  </r>
  <r>
    <x v="250"/>
    <x v="0"/>
    <x v="2"/>
    <d v="1899-12-30T14:00:00"/>
    <n v="5.5000000000000018"/>
    <n v="0.5"/>
    <m/>
  </r>
  <r>
    <x v="251"/>
    <x v="1"/>
    <x v="1"/>
    <d v="1899-12-30T21:30:00"/>
    <n v="4.5"/>
    <m/>
    <m/>
  </r>
  <r>
    <x v="251"/>
    <x v="0"/>
    <x v="2"/>
    <d v="1899-12-30T14:00:00"/>
    <n v="5.5000000000000018"/>
    <n v="0.5"/>
    <m/>
  </r>
  <r>
    <x v="252"/>
    <x v="0"/>
    <x v="19"/>
    <d v="1899-12-30T23:00:00"/>
    <n v="5.0000000000000018"/>
    <n v="0.5"/>
    <m/>
  </r>
  <r>
    <x v="252"/>
    <x v="0"/>
    <x v="2"/>
    <d v="1899-12-30T14:00:00"/>
    <n v="5.5000000000000018"/>
    <n v="0.5"/>
    <m/>
  </r>
  <r>
    <x v="253"/>
    <x v="0"/>
    <x v="2"/>
    <d v="1899-12-30T14:00:00"/>
    <n v="5.5000000000000018"/>
    <n v="0.5"/>
    <m/>
  </r>
  <r>
    <x v="253"/>
    <x v="0"/>
    <x v="12"/>
    <d v="1899-12-30T20:00:00"/>
    <n v="5.0000000000000009"/>
    <m/>
    <m/>
  </r>
  <r>
    <x v="254"/>
    <x v="0"/>
    <x v="2"/>
    <d v="1899-12-30T13:00:00"/>
    <n v="5"/>
    <m/>
    <m/>
  </r>
  <r>
    <x v="254"/>
    <x v="2"/>
    <x v="1"/>
    <d v="1899-12-30T22:00:00"/>
    <n v="4.9999999999999982"/>
    <m/>
    <m/>
  </r>
  <r>
    <x v="254"/>
    <x v="3"/>
    <x v="10"/>
    <d v="1899-12-30T21:00:00"/>
    <n v="7.5"/>
    <n v="0.5"/>
    <m/>
  </r>
  <r>
    <x v="254"/>
    <x v="2"/>
    <x v="18"/>
    <d v="1899-12-30T17:00:00"/>
    <n v="5.0000000000000009"/>
    <m/>
    <m/>
  </r>
  <r>
    <x v="254"/>
    <x v="2"/>
    <x v="27"/>
    <d v="1899-12-30T12:00:00"/>
    <n v="5"/>
    <n v="0.5"/>
    <m/>
  </r>
  <r>
    <x v="254"/>
    <x v="3"/>
    <x v="27"/>
    <d v="1899-12-30T10:00:00"/>
    <n v="3.5000000000000009"/>
    <m/>
    <m/>
  </r>
  <r>
    <x v="255"/>
    <x v="1"/>
    <x v="10"/>
    <d v="1899-12-30T18:30:00"/>
    <n v="5.0000000000000018"/>
    <n v="0.5"/>
    <m/>
  </r>
  <r>
    <x v="255"/>
    <x v="2"/>
    <x v="15"/>
    <d v="1899-12-30T01:00:00"/>
    <n v="5.9999999999999982"/>
    <n v="0.5"/>
    <m/>
  </r>
  <r>
    <x v="255"/>
    <x v="8"/>
    <x v="12"/>
    <d v="1899-12-30T21:00:00"/>
    <n v="5.5"/>
    <n v="0.5"/>
    <m/>
  </r>
  <r>
    <x v="255"/>
    <x v="3"/>
    <x v="2"/>
    <d v="1899-12-30T17:00:00"/>
    <n v="8.0000000000000018"/>
    <n v="1"/>
    <m/>
  </r>
  <r>
    <x v="256"/>
    <x v="0"/>
    <x v="2"/>
    <d v="1899-12-30T14:00:00"/>
    <n v="5.5000000000000018"/>
    <n v="0.5"/>
    <m/>
  </r>
  <r>
    <x v="257"/>
    <x v="0"/>
    <x v="2"/>
    <d v="1899-12-30T14:00:00"/>
    <n v="5.5000000000000018"/>
    <n v="0.5"/>
    <n v="5521"/>
  </r>
  <r>
    <x v="258"/>
    <x v="0"/>
    <x v="16"/>
    <d v="1899-12-30T14:00:00"/>
    <n v="6.0000000000000009"/>
    <n v="0.5"/>
    <m/>
  </r>
  <r>
    <x v="258"/>
    <x v="1"/>
    <x v="1"/>
    <d v="1899-12-30T21:00:00"/>
    <n v="3.9999999999999991"/>
    <m/>
    <m/>
  </r>
  <r>
    <x v="258"/>
    <x v="0"/>
    <x v="9"/>
    <d v="1899-12-30T21:00:00"/>
    <n v="5.0000000000000009"/>
    <m/>
    <m/>
  </r>
  <r>
    <x v="259"/>
    <x v="0"/>
    <x v="2"/>
    <d v="1899-12-30T14:00:00"/>
    <n v="5.5000000000000018"/>
    <n v="0.5"/>
    <m/>
  </r>
  <r>
    <x v="259"/>
    <x v="0"/>
    <x v="14"/>
    <d v="1899-12-30T23:00:00"/>
    <n v="6.0000000000000009"/>
    <n v="0.5"/>
    <m/>
  </r>
  <r>
    <x v="260"/>
    <x v="0"/>
    <x v="12"/>
    <d v="1899-12-30T19:00:00"/>
    <n v="3.9999999999999991"/>
    <m/>
    <m/>
  </r>
  <r>
    <x v="260"/>
    <x v="0"/>
    <x v="2"/>
    <d v="1899-12-30T14:00:00"/>
    <n v="5.5000000000000018"/>
    <n v="0.5"/>
    <m/>
  </r>
  <r>
    <x v="261"/>
    <x v="3"/>
    <x v="19"/>
    <d v="1899-12-30T22:00:00"/>
    <n v="4.5"/>
    <m/>
    <m/>
  </r>
  <r>
    <x v="261"/>
    <x v="2"/>
    <x v="12"/>
    <d v="1899-12-30T21:00:00"/>
    <n v="5.5"/>
    <n v="0.5"/>
    <m/>
  </r>
  <r>
    <x v="261"/>
    <x v="0"/>
    <x v="2"/>
    <d v="1899-12-30T13:00:00"/>
    <n v="5"/>
    <m/>
    <m/>
  </r>
  <r>
    <x v="261"/>
    <x v="3"/>
    <x v="27"/>
    <d v="1899-12-30T10:00:00"/>
    <n v="3.5000000000000009"/>
    <m/>
    <m/>
  </r>
  <r>
    <x v="261"/>
    <x v="1"/>
    <x v="17"/>
    <d v="1899-12-30T12:00:00"/>
    <n v="3"/>
    <m/>
    <m/>
  </r>
  <r>
    <x v="261"/>
    <x v="5"/>
    <x v="2"/>
    <d v="1899-12-30T13:30:00"/>
    <n v="5"/>
    <n v="0.5"/>
    <m/>
  </r>
  <r>
    <x v="261"/>
    <x v="5"/>
    <x v="29"/>
    <d v="1899-12-30T17:30:00"/>
    <n v="3.9999999999999991"/>
    <m/>
    <m/>
  </r>
  <r>
    <x v="261"/>
    <x v="3"/>
    <x v="10"/>
    <d v="1899-12-30T17:30:00"/>
    <n v="4.5"/>
    <m/>
    <m/>
  </r>
  <r>
    <x v="262"/>
    <x v="3"/>
    <x v="7"/>
    <d v="1899-12-30T18:00:00"/>
    <n v="6.5"/>
    <n v="0.5"/>
    <m/>
  </r>
  <r>
    <x v="262"/>
    <x v="3"/>
    <x v="5"/>
    <d v="1899-12-30T01:00:00"/>
    <n v="6.4999999999999991"/>
    <n v="0.5"/>
    <m/>
  </r>
  <r>
    <x v="262"/>
    <x v="1"/>
    <x v="18"/>
    <d v="1899-12-30T20:00:00"/>
    <n v="7.5"/>
    <n v="0.5"/>
    <m/>
  </r>
  <r>
    <x v="263"/>
    <x v="0"/>
    <x v="2"/>
    <d v="1899-12-30T14:00:00"/>
    <n v="5.5000000000000018"/>
    <n v="0.5"/>
    <m/>
  </r>
  <r>
    <x v="263"/>
    <x v="1"/>
    <x v="1"/>
    <d v="1899-12-30T22:00:00"/>
    <n v="4.9999999999999982"/>
    <m/>
    <m/>
  </r>
  <r>
    <x v="264"/>
    <x v="0"/>
    <x v="2"/>
    <d v="1899-12-30T14:00:00"/>
    <n v="5.5000000000000018"/>
    <n v="0.5"/>
    <m/>
  </r>
  <r>
    <x v="264"/>
    <x v="0"/>
    <x v="12"/>
    <d v="1899-12-30T18:00:00"/>
    <n v="3"/>
    <m/>
    <m/>
  </r>
  <r>
    <x v="265"/>
    <x v="0"/>
    <x v="2"/>
    <d v="1899-12-30T14:00:00"/>
    <n v="5.5000000000000018"/>
    <n v="0.5"/>
    <m/>
  </r>
  <r>
    <x v="265"/>
    <x v="1"/>
    <x v="19"/>
    <d v="1899-12-30T21:30:00"/>
    <n v="4.0000000000000018"/>
    <m/>
    <m/>
  </r>
  <r>
    <x v="266"/>
    <x v="0"/>
    <x v="1"/>
    <d v="1899-12-30T23:00:00"/>
    <n v="5.5"/>
    <n v="0.5"/>
    <m/>
  </r>
  <r>
    <x v="266"/>
    <x v="1"/>
    <x v="1"/>
    <d v="1899-12-30T20:30:00"/>
    <n v="3.4999999999999982"/>
    <m/>
    <m/>
  </r>
  <r>
    <x v="266"/>
    <x v="0"/>
    <x v="2"/>
    <d v="1899-12-30T14:00:00"/>
    <n v="5.5000000000000018"/>
    <n v="0.5"/>
    <m/>
  </r>
  <r>
    <x v="267"/>
    <x v="0"/>
    <x v="2"/>
    <d v="1899-12-30T14:00:00"/>
    <n v="5.5000000000000018"/>
    <n v="0.5"/>
    <m/>
  </r>
  <r>
    <x v="267"/>
    <x v="8"/>
    <x v="7"/>
    <d v="1899-12-30T19:00:00"/>
    <n v="7.5"/>
    <n v="0.5"/>
    <m/>
  </r>
  <r>
    <x v="268"/>
    <x v="2"/>
    <x v="12"/>
    <d v="1899-12-30T01:00:00"/>
    <n v="9"/>
    <n v="1"/>
    <m/>
  </r>
  <r>
    <x v="268"/>
    <x v="1"/>
    <x v="17"/>
    <d v="1899-12-30T12:00:00"/>
    <n v="3"/>
    <m/>
    <m/>
  </r>
  <r>
    <x v="268"/>
    <x v="0"/>
    <x v="27"/>
    <d v="1899-12-30T13:00:00"/>
    <n v="6"/>
    <n v="0.5"/>
    <m/>
  </r>
  <r>
    <x v="269"/>
    <x v="1"/>
    <x v="20"/>
    <d v="1899-12-30T17:30:00"/>
    <n v="3"/>
    <m/>
    <m/>
  </r>
  <r>
    <x v="270"/>
    <x v="0"/>
    <x v="2"/>
    <d v="1899-12-30T14:00:00"/>
    <n v="5.5000000000000018"/>
    <n v="0.5"/>
    <m/>
  </r>
  <r>
    <x v="271"/>
    <x v="0"/>
    <x v="2"/>
    <d v="1899-12-30T14:00:00"/>
    <n v="5.5000000000000018"/>
    <n v="0.5"/>
    <m/>
  </r>
  <r>
    <x v="272"/>
    <x v="0"/>
    <x v="2"/>
    <d v="1899-12-30T11:00:00"/>
    <n v="3"/>
    <m/>
    <m/>
  </r>
  <r>
    <x v="272"/>
    <x v="0"/>
    <x v="7"/>
    <d v="1899-12-30T14:00:00"/>
    <n v="3.0000000000000013"/>
    <m/>
    <m/>
  </r>
  <r>
    <x v="272"/>
    <x v="0"/>
    <x v="14"/>
    <d v="1899-12-30T21:30:00"/>
    <n v="5.0000000000000009"/>
    <m/>
    <m/>
  </r>
  <r>
    <x v="273"/>
    <x v="0"/>
    <x v="2"/>
    <d v="1899-12-30T14:00:00"/>
    <n v="5.5000000000000018"/>
    <n v="0.5"/>
    <m/>
  </r>
  <r>
    <x v="273"/>
    <x v="0"/>
    <x v="1"/>
    <d v="1899-12-30T23:00:00"/>
    <n v="5.5"/>
    <n v="0.5"/>
    <m/>
  </r>
  <r>
    <x v="274"/>
    <x v="0"/>
    <x v="2"/>
    <d v="1899-12-30T14:00:00"/>
    <n v="5.5000000000000018"/>
    <n v="0.5"/>
    <m/>
  </r>
  <r>
    <x v="274"/>
    <x v="0"/>
    <x v="12"/>
    <d v="1899-12-30T20:00:00"/>
    <n v="5.0000000000000009"/>
    <m/>
    <m/>
  </r>
  <r>
    <x v="275"/>
    <x v="5"/>
    <x v="18"/>
    <d v="1899-12-30T18:00:00"/>
    <n v="5.5"/>
    <n v="0.5"/>
    <m/>
  </r>
  <r>
    <x v="275"/>
    <x v="1"/>
    <x v="17"/>
    <d v="1899-12-30T12:00:00"/>
    <n v="3"/>
    <m/>
    <m/>
  </r>
  <r>
    <x v="275"/>
    <x v="3"/>
    <x v="10"/>
    <d v="1899-12-30T18:30:00"/>
    <n v="5.0000000000000018"/>
    <n v="0.5"/>
    <m/>
  </r>
  <r>
    <x v="275"/>
    <x v="3"/>
    <x v="15"/>
    <d v="1899-12-30T00:00:00"/>
    <n v="4.9999999999999991"/>
    <n v="0.5"/>
    <m/>
  </r>
  <r>
    <x v="275"/>
    <x v="0"/>
    <x v="27"/>
    <d v="1899-12-30T10:00:00"/>
    <n v="3.5000000000000009"/>
    <m/>
    <m/>
  </r>
  <r>
    <x v="275"/>
    <x v="0"/>
    <x v="2"/>
    <d v="1899-12-30T13:00:00"/>
    <n v="5"/>
    <m/>
    <m/>
  </r>
  <r>
    <x v="276"/>
    <x v="3"/>
    <x v="4"/>
    <d v="1899-12-30T19:00:00"/>
    <n v="7.9999999999999982"/>
    <n v="1"/>
    <m/>
  </r>
  <r>
    <x v="276"/>
    <x v="1"/>
    <x v="20"/>
    <d v="1899-12-30T17:30:00"/>
    <n v="3"/>
    <m/>
    <m/>
  </r>
  <r>
    <x v="277"/>
    <x v="0"/>
    <x v="2"/>
    <d v="1899-12-30T14:00:00"/>
    <n v="5.5000000000000018"/>
    <n v="0.5"/>
    <m/>
  </r>
  <r>
    <x v="278"/>
    <x v="0"/>
    <x v="2"/>
    <d v="1899-12-30T14:00:00"/>
    <n v="5.5000000000000018"/>
    <n v="0.5"/>
    <m/>
  </r>
  <r>
    <x v="279"/>
    <x v="1"/>
    <x v="1"/>
    <d v="1899-12-30T21:30:00"/>
    <n v="4.5"/>
    <m/>
    <m/>
  </r>
  <r>
    <x v="279"/>
    <x v="0"/>
    <x v="2"/>
    <d v="1899-12-30T14:00:00"/>
    <n v="5.5000000000000018"/>
    <n v="0.5"/>
    <m/>
  </r>
  <r>
    <x v="280"/>
    <x v="1"/>
    <x v="5"/>
    <d v="1899-12-30T23:30:00"/>
    <n v="4.9999999999999991"/>
    <n v="0.5"/>
    <m/>
  </r>
  <r>
    <x v="280"/>
    <x v="0"/>
    <x v="2"/>
    <d v="1899-12-30T14:00:00"/>
    <n v="5.5000000000000018"/>
    <n v="0.5"/>
    <m/>
  </r>
  <r>
    <x v="280"/>
    <x v="0"/>
    <x v="1"/>
    <d v="1899-12-30T23:00:00"/>
    <n v="5.5"/>
    <n v="0.5"/>
    <m/>
  </r>
  <r>
    <x v="280"/>
    <x v="2"/>
    <x v="25"/>
    <d v="1899-12-30T17:30:00"/>
    <n v="5.4999999999999982"/>
    <n v="0.5"/>
    <m/>
  </r>
  <r>
    <x v="281"/>
    <x v="1"/>
    <x v="25"/>
    <d v="1899-12-30T17:30:00"/>
    <n v="5.4999999999999982"/>
    <n v="0.5"/>
    <m/>
  </r>
  <r>
    <x v="281"/>
    <x v="0"/>
    <x v="2"/>
    <d v="1899-12-30T14:00:00"/>
    <n v="5.5000000000000018"/>
    <n v="0.5"/>
    <m/>
  </r>
  <r>
    <x v="282"/>
    <x v="3"/>
    <x v="27"/>
    <d v="1899-12-30T14:30:00"/>
    <n v="7.5"/>
    <n v="0.5"/>
    <m/>
  </r>
  <r>
    <x v="282"/>
    <x v="2"/>
    <x v="2"/>
    <d v="1899-12-30T14:00:00"/>
    <n v="5.5000000000000018"/>
    <n v="0.5"/>
    <m/>
  </r>
  <r>
    <x v="282"/>
    <x v="2"/>
    <x v="3"/>
    <d v="1899-12-30T18:30:00"/>
    <n v="4.5"/>
    <m/>
    <m/>
  </r>
  <r>
    <x v="282"/>
    <x v="3"/>
    <x v="3"/>
    <d v="1899-12-30T01:00:00"/>
    <n v="9.9999999999999982"/>
    <n v="1"/>
    <m/>
  </r>
  <r>
    <x v="282"/>
    <x v="8"/>
    <x v="20"/>
    <d v="1899-12-30T20:30:00"/>
    <n v="5.5"/>
    <n v="0.5"/>
    <m/>
  </r>
  <r>
    <x v="282"/>
    <x v="14"/>
    <x v="19"/>
    <d v="1899-12-30T21:30:00"/>
    <n v="4.0000000000000018"/>
    <m/>
    <m/>
  </r>
  <r>
    <x v="283"/>
    <x v="2"/>
    <x v="18"/>
    <d v="1899-12-30T18:00:00"/>
    <n v="5.5"/>
    <n v="0.5"/>
    <m/>
  </r>
  <r>
    <x v="283"/>
    <x v="3"/>
    <x v="29"/>
    <d v="1899-12-30T18:30:00"/>
    <n v="5.0000000000000009"/>
    <m/>
    <m/>
  </r>
  <r>
    <x v="284"/>
    <x v="0"/>
    <x v="2"/>
    <d v="1899-12-30T14:00:00"/>
    <n v="5.5000000000000018"/>
    <n v="0.5"/>
    <m/>
  </r>
  <r>
    <x v="285"/>
    <x v="0"/>
    <x v="2"/>
    <d v="1899-12-30T14:00:00"/>
    <n v="5.5000000000000018"/>
    <n v="0.5"/>
    <m/>
  </r>
  <r>
    <x v="286"/>
    <x v="1"/>
    <x v="1"/>
    <d v="1899-12-30T21:30:00"/>
    <n v="4.5"/>
    <m/>
    <m/>
  </r>
  <r>
    <x v="286"/>
    <x v="0"/>
    <x v="2"/>
    <d v="1899-12-30T14:00:00"/>
    <n v="5.5000000000000018"/>
    <n v="0.5"/>
    <m/>
  </r>
  <r>
    <x v="287"/>
    <x v="0"/>
    <x v="15"/>
    <d v="1899-12-30T22:00:00"/>
    <n v="3.4999999999999982"/>
    <m/>
    <m/>
  </r>
  <r>
    <x v="287"/>
    <x v="0"/>
    <x v="2"/>
    <d v="1899-12-30T14:00:00"/>
    <n v="5.5000000000000018"/>
    <n v="0.5"/>
    <m/>
  </r>
  <r>
    <x v="288"/>
    <x v="0"/>
    <x v="2"/>
    <d v="1899-12-30T14:00:00"/>
    <n v="5.5000000000000018"/>
    <n v="0.5"/>
    <n v="5521"/>
  </r>
  <r>
    <x v="288"/>
    <x v="2"/>
    <x v="5"/>
    <d v="1899-12-30T23:00:00"/>
    <n v="5.0000000000000009"/>
    <m/>
    <m/>
  </r>
  <r>
    <x v="288"/>
    <x v="2"/>
    <x v="7"/>
    <d v="1899-12-30T16:00:00"/>
    <n v="5"/>
    <m/>
    <m/>
  </r>
  <r>
    <x v="289"/>
    <x v="5"/>
    <x v="4"/>
    <d v="1899-12-30T13:00:00"/>
    <n v="2.9999999999999987"/>
    <m/>
    <m/>
  </r>
  <r>
    <x v="289"/>
    <x v="1"/>
    <x v="17"/>
    <d v="1899-12-30T11:00:00"/>
    <n v="1.9999999999999996"/>
    <m/>
    <m/>
  </r>
  <r>
    <x v="289"/>
    <x v="3"/>
    <x v="27"/>
    <d v="1899-12-30T13:00:00"/>
    <n v="6"/>
    <n v="0.5"/>
    <m/>
  </r>
  <r>
    <x v="289"/>
    <x v="2"/>
    <x v="10"/>
    <d v="1899-12-30T01:30:00"/>
    <n v="11.5"/>
    <n v="1"/>
    <m/>
  </r>
  <r>
    <x v="289"/>
    <x v="3"/>
    <x v="10"/>
    <d v="1899-12-30T22:00:00"/>
    <n v="8"/>
    <n v="1"/>
    <m/>
  </r>
  <r>
    <x v="289"/>
    <x v="5"/>
    <x v="10"/>
    <d v="1899-12-30T17:00:00"/>
    <n v="4.0000000000000018"/>
    <m/>
    <m/>
  </r>
  <r>
    <x v="289"/>
    <x v="8"/>
    <x v="7"/>
    <d v="1899-12-30T19:00:00"/>
    <n v="7.5"/>
    <n v="0.5"/>
    <m/>
  </r>
  <r>
    <x v="290"/>
    <x v="1"/>
    <x v="12"/>
    <d v="1899-12-30T17:00:00"/>
    <n v="2.0000000000000009"/>
    <m/>
    <m/>
  </r>
  <r>
    <x v="291"/>
    <x v="0"/>
    <x v="5"/>
    <d v="1899-12-30T23:00:00"/>
    <n v="5.0000000000000009"/>
    <m/>
    <m/>
  </r>
  <r>
    <x v="291"/>
    <x v="0"/>
    <x v="2"/>
    <d v="1899-12-30T14:00:00"/>
    <n v="5.5000000000000018"/>
    <n v="0.5"/>
    <m/>
  </r>
  <r>
    <x v="292"/>
    <x v="0"/>
    <x v="2"/>
    <d v="1899-12-30T14:00:00"/>
    <n v="5.5000000000000018"/>
    <n v="0.5"/>
    <m/>
  </r>
  <r>
    <x v="292"/>
    <x v="2"/>
    <x v="1"/>
    <d v="1899-12-30T22:30:00"/>
    <n v="4.9999999999999991"/>
    <n v="0.5"/>
    <m/>
  </r>
  <r>
    <x v="293"/>
    <x v="1"/>
    <x v="12"/>
    <d v="1899-12-30T21:30:00"/>
    <n v="6.0000000000000009"/>
    <n v="0.5"/>
    <m/>
  </r>
  <r>
    <x v="293"/>
    <x v="0"/>
    <x v="2"/>
    <d v="1899-12-30T14:00:00"/>
    <n v="5.5000000000000018"/>
    <n v="0.5"/>
    <m/>
  </r>
  <r>
    <x v="294"/>
    <x v="0"/>
    <x v="15"/>
    <d v="1899-12-30T22:30:00"/>
    <n v="3.9999999999999991"/>
    <m/>
    <m/>
  </r>
  <r>
    <x v="294"/>
    <x v="2"/>
    <x v="2"/>
    <d v="1899-12-30T17:00:00"/>
    <n v="8.0000000000000018"/>
    <n v="1"/>
    <m/>
  </r>
  <r>
    <x v="294"/>
    <x v="0"/>
    <x v="2"/>
    <d v="1899-12-30T14:00:00"/>
    <n v="5.5000000000000018"/>
    <n v="0.5"/>
    <m/>
  </r>
  <r>
    <x v="295"/>
    <x v="0"/>
    <x v="2"/>
    <d v="1899-12-30T14:00:00"/>
    <n v="5.5000000000000018"/>
    <n v="0.5"/>
    <m/>
  </r>
  <r>
    <x v="295"/>
    <x v="0"/>
    <x v="14"/>
    <d v="1899-12-30T21:30:00"/>
    <n v="5.0000000000000009"/>
    <m/>
    <m/>
  </r>
  <r>
    <x v="296"/>
    <x v="0"/>
    <x v="2"/>
    <d v="1899-12-30T13:00:00"/>
    <n v="5"/>
    <m/>
    <m/>
  </r>
  <r>
    <x v="296"/>
    <x v="3"/>
    <x v="27"/>
    <d v="1899-12-30T10:00:00"/>
    <n v="3.5000000000000009"/>
    <m/>
    <m/>
  </r>
  <r>
    <x v="296"/>
    <x v="2"/>
    <x v="11"/>
    <d v="1899-12-30T13:30:00"/>
    <n v="6"/>
    <n v="0.5"/>
    <m/>
  </r>
  <r>
    <x v="296"/>
    <x v="5"/>
    <x v="1"/>
    <d v="1899-12-30T01:30:00"/>
    <n v="7.5"/>
    <n v="1"/>
    <m/>
  </r>
  <r>
    <x v="296"/>
    <x v="3"/>
    <x v="3"/>
    <d v="1899-12-30T18:00:00"/>
    <n v="3.9999999999999991"/>
    <m/>
    <m/>
  </r>
  <r>
    <x v="296"/>
    <x v="2"/>
    <x v="10"/>
    <d v="1899-12-30T19:00:00"/>
    <n v="5.5"/>
    <n v="0.5"/>
    <m/>
  </r>
  <r>
    <x v="296"/>
    <x v="1"/>
    <x v="17"/>
    <d v="1899-12-30T12:00:00"/>
    <n v="3"/>
    <m/>
    <m/>
  </r>
  <r>
    <x v="296"/>
    <x v="8"/>
    <x v="17"/>
    <d v="1899-12-30T15:30:00"/>
    <n v="6.0000000000000009"/>
    <n v="0.5"/>
    <m/>
  </r>
  <r>
    <x v="296"/>
    <x v="3"/>
    <x v="15"/>
    <d v="1899-12-30T23:00:00"/>
    <n v="4.5"/>
    <m/>
    <m/>
  </r>
  <r>
    <x v="297"/>
    <x v="2"/>
    <x v="4"/>
    <d v="1899-12-30T18:00:00"/>
    <n v="7"/>
    <n v="1"/>
    <m/>
  </r>
  <r>
    <x v="297"/>
    <x v="5"/>
    <x v="29"/>
    <d v="1899-12-30T18:30:00"/>
    <n v="5.0000000000000009"/>
    <m/>
    <m/>
  </r>
  <r>
    <x v="297"/>
    <x v="3"/>
    <x v="18"/>
    <d v="1899-12-30T18:00:00"/>
    <n v="5.5"/>
    <n v="0.5"/>
    <m/>
  </r>
  <r>
    <x v="298"/>
    <x v="0"/>
    <x v="2"/>
    <d v="1899-12-30T14:00:00"/>
    <n v="5.5000000000000018"/>
    <n v="0.5"/>
    <m/>
  </r>
  <r>
    <x v="298"/>
    <x v="2"/>
    <x v="19"/>
    <d v="1899-12-30T20:30:00"/>
    <n v="3"/>
    <m/>
    <m/>
  </r>
  <r>
    <x v="299"/>
    <x v="1"/>
    <x v="12"/>
    <d v="1899-12-30T21:30:00"/>
    <n v="6.0000000000000009"/>
    <n v="0.5"/>
    <m/>
  </r>
  <r>
    <x v="299"/>
    <x v="0"/>
    <x v="2"/>
    <d v="1899-12-30T14:00:00"/>
    <n v="5.5000000000000018"/>
    <n v="0.5"/>
    <m/>
  </r>
  <r>
    <x v="300"/>
    <x v="9"/>
    <x v="14"/>
    <d v="1899-12-30T22:00:00"/>
    <n v="4.9999999999999991"/>
    <n v="0.5"/>
    <m/>
  </r>
  <r>
    <x v="300"/>
    <x v="0"/>
    <x v="1"/>
    <d v="1899-12-30T22:30:00"/>
    <n v="4.9999999999999991"/>
    <n v="0.5"/>
    <m/>
  </r>
  <r>
    <x v="301"/>
    <x v="2"/>
    <x v="19"/>
    <d v="1899-12-30T21:30:00"/>
    <n v="4.0000000000000018"/>
    <m/>
    <m/>
  </r>
  <r>
    <x v="301"/>
    <x v="0"/>
    <x v="2"/>
    <d v="1899-12-30T14:00:00"/>
    <n v="5.5000000000000018"/>
    <n v="0.5"/>
    <m/>
  </r>
  <r>
    <x v="302"/>
    <x v="0"/>
    <x v="2"/>
    <d v="1899-12-30T13:00:00"/>
    <n v="5"/>
    <m/>
    <m/>
  </r>
  <r>
    <x v="302"/>
    <x v="3"/>
    <x v="27"/>
    <d v="1899-12-30T10:00:00"/>
    <n v="3.5000000000000009"/>
    <m/>
    <m/>
  </r>
  <r>
    <x v="302"/>
    <x v="6"/>
    <x v="10"/>
    <d v="1899-12-30T18:30:00"/>
    <n v="5.0000000000000018"/>
    <n v="0.5"/>
    <m/>
  </r>
  <r>
    <x v="302"/>
    <x v="1"/>
    <x v="17"/>
    <d v="1899-12-30T15:30:00"/>
    <n v="6.0000000000000009"/>
    <n v="0.5"/>
    <m/>
  </r>
  <r>
    <x v="302"/>
    <x v="3"/>
    <x v="10"/>
    <d v="1899-12-30T20:00:00"/>
    <n v="6.5000000000000018"/>
    <n v="0.5"/>
    <m/>
  </r>
  <r>
    <x v="303"/>
    <x v="8"/>
    <x v="4"/>
    <d v="1899-12-30T16:30:00"/>
    <n v="6"/>
    <n v="0.5"/>
    <m/>
  </r>
  <r>
    <x v="303"/>
    <x v="3"/>
    <x v="12"/>
    <d v="1899-12-30T23:30:00"/>
    <n v="7.5"/>
    <n v="1"/>
    <m/>
  </r>
  <r>
    <x v="303"/>
    <x v="2"/>
    <x v="1"/>
    <d v="1899-12-30T23:00:00"/>
    <n v="5.5"/>
    <n v="0.5"/>
    <m/>
  </r>
  <r>
    <x v="303"/>
    <x v="2"/>
    <x v="10"/>
    <d v="1899-12-30T17:00:00"/>
    <n v="4.0000000000000018"/>
    <m/>
    <m/>
  </r>
  <r>
    <x v="304"/>
    <x v="0"/>
    <x v="2"/>
    <d v="1899-12-30T14:00:00"/>
    <n v="5.5000000000000018"/>
    <n v="0.5"/>
    <m/>
  </r>
  <r>
    <x v="304"/>
    <x v="1"/>
    <x v="1"/>
    <d v="1899-12-30T22:00:00"/>
    <n v="4.9999999999999982"/>
    <m/>
    <m/>
  </r>
  <r>
    <x v="305"/>
    <x v="2"/>
    <x v="19"/>
    <d v="1899-12-30T20:30:00"/>
    <n v="3"/>
    <m/>
    <m/>
  </r>
  <r>
    <x v="305"/>
    <x v="0"/>
    <x v="2"/>
    <d v="1899-12-30T14:00:00"/>
    <n v="5.5000000000000018"/>
    <n v="0.5"/>
    <m/>
  </r>
  <r>
    <x v="306"/>
    <x v="0"/>
    <x v="2"/>
    <d v="1899-12-30T14:00:00"/>
    <n v="5.5000000000000018"/>
    <n v="0.5"/>
    <m/>
  </r>
  <r>
    <x v="306"/>
    <x v="1"/>
    <x v="12"/>
    <d v="1899-12-30T21:30:00"/>
    <n v="6.0000000000000009"/>
    <n v="0.5"/>
    <m/>
  </r>
  <r>
    <x v="307"/>
    <x v="0"/>
    <x v="2"/>
    <d v="1899-12-30T14:00:00"/>
    <n v="5.5000000000000018"/>
    <n v="0.5"/>
    <m/>
  </r>
  <r>
    <x v="307"/>
    <x v="0"/>
    <x v="15"/>
    <d v="1899-12-30T22:00:00"/>
    <n v="3.4999999999999982"/>
    <m/>
    <m/>
  </r>
  <r>
    <x v="308"/>
    <x v="0"/>
    <x v="2"/>
    <d v="1899-12-30T14:00:00"/>
    <n v="5.5000000000000018"/>
    <n v="0.5"/>
    <m/>
  </r>
  <r>
    <x v="308"/>
    <x v="0"/>
    <x v="14"/>
    <d v="1899-12-30T18:30:00"/>
    <n v="2.0000000000000009"/>
    <m/>
    <m/>
  </r>
  <r>
    <x v="309"/>
    <x v="0"/>
    <x v="2"/>
    <d v="1899-12-30T13:00:00"/>
    <n v="5"/>
    <m/>
    <m/>
  </r>
  <r>
    <x v="309"/>
    <x v="3"/>
    <x v="27"/>
    <d v="1899-12-30T10:00:00"/>
    <n v="3.5000000000000009"/>
    <m/>
    <m/>
  </r>
  <r>
    <x v="309"/>
    <x v="2"/>
    <x v="24"/>
    <d v="1899-12-30T01:00:00"/>
    <n v="5.5"/>
    <n v="0.5"/>
    <m/>
  </r>
  <r>
    <x v="309"/>
    <x v="5"/>
    <x v="19"/>
    <d v="1899-12-30T22:00:00"/>
    <n v="4.5"/>
    <m/>
    <m/>
  </r>
  <r>
    <x v="309"/>
    <x v="1"/>
    <x v="2"/>
    <d v="1899-12-30T12:00:00"/>
    <n v="4"/>
    <m/>
    <m/>
  </r>
  <r>
    <x v="309"/>
    <x v="6"/>
    <x v="2"/>
    <d v="1899-12-30T13:00:00"/>
    <n v="5"/>
    <m/>
    <m/>
  </r>
  <r>
    <x v="309"/>
    <x v="2"/>
    <x v="29"/>
    <d v="1899-12-30T19:00:00"/>
    <n v="4.9999999999999991"/>
    <n v="0.5"/>
    <m/>
  </r>
  <r>
    <x v="309"/>
    <x v="6"/>
    <x v="10"/>
    <d v="1899-12-30T17:30:00"/>
    <n v="4.5"/>
    <m/>
    <m/>
  </r>
  <r>
    <x v="310"/>
    <x v="8"/>
    <x v="4"/>
    <d v="1899-12-30T17:00:00"/>
    <n v="6.5"/>
    <n v="0.5"/>
    <m/>
  </r>
  <r>
    <x v="310"/>
    <x v="2"/>
    <x v="14"/>
    <d v="1899-12-30T23:30:00"/>
    <n v="6.4999999999999991"/>
    <n v="0.5"/>
    <m/>
  </r>
  <r>
    <x v="310"/>
    <x v="3"/>
    <x v="4"/>
    <d v="1899-12-30T17:30:00"/>
    <n v="7.4999999999999982"/>
    <m/>
    <m/>
  </r>
  <r>
    <x v="311"/>
    <x v="0"/>
    <x v="2"/>
    <d v="1899-12-30T14:00:00"/>
    <n v="6.0000000000000018"/>
    <m/>
    <m/>
  </r>
  <r>
    <x v="312"/>
    <x v="0"/>
    <x v="2"/>
    <d v="1899-12-30T14:00:00"/>
    <n v="6.0000000000000018"/>
    <m/>
    <m/>
  </r>
  <r>
    <x v="313"/>
    <x v="0"/>
    <x v="2"/>
    <d v="1899-12-30T14:00:00"/>
    <n v="6.0000000000000018"/>
    <m/>
    <m/>
  </r>
  <r>
    <x v="313"/>
    <x v="1"/>
    <x v="20"/>
    <d v="1899-12-30T21:30:00"/>
    <n v="7.0000000000000018"/>
    <m/>
    <m/>
  </r>
  <r>
    <x v="314"/>
    <x v="0"/>
    <x v="2"/>
    <d v="1899-12-30T13:00:00"/>
    <n v="5"/>
    <m/>
    <m/>
  </r>
  <r>
    <x v="314"/>
    <x v="3"/>
    <x v="3"/>
    <d v="1899-12-30T22:00:00"/>
    <n v="7.9999999999999982"/>
    <m/>
    <m/>
  </r>
  <r>
    <x v="314"/>
    <x v="2"/>
    <x v="10"/>
    <d v="1899-12-30T21:00:00"/>
    <n v="8"/>
    <m/>
    <m/>
  </r>
  <r>
    <x v="315"/>
    <x v="0"/>
    <x v="2"/>
    <d v="1899-12-30T14:00:00"/>
    <n v="5.5000000000000018"/>
    <n v="0.5"/>
    <m/>
  </r>
  <r>
    <x v="315"/>
    <x v="1"/>
    <x v="1"/>
    <d v="1899-12-30T19:00:00"/>
    <n v="1.9999999999999982"/>
    <m/>
    <m/>
  </r>
  <r>
    <x v="316"/>
    <x v="2"/>
    <x v="19"/>
    <d v="1899-12-30T20:30:00"/>
    <n v="3"/>
    <m/>
    <m/>
  </r>
  <r>
    <x v="316"/>
    <x v="0"/>
    <x v="2"/>
    <d v="1899-12-30T14:00:00"/>
    <n v="5.5000000000000018"/>
    <n v="0.5"/>
    <m/>
  </r>
  <r>
    <x v="317"/>
    <x v="0"/>
    <x v="1"/>
    <d v="1899-12-30T22:00:00"/>
    <n v="4.9999999999999982"/>
    <m/>
    <m/>
  </r>
  <r>
    <x v="317"/>
    <x v="0"/>
    <x v="2"/>
    <d v="1899-12-30T14:00:00"/>
    <n v="5.5000000000000018"/>
    <n v="0.5"/>
    <m/>
  </r>
  <r>
    <x v="318"/>
    <x v="0"/>
    <x v="2"/>
    <d v="1899-12-30T14:00:00"/>
    <n v="5.5000000000000018"/>
    <n v="0.5"/>
    <m/>
  </r>
  <r>
    <x v="318"/>
    <x v="6"/>
    <x v="15"/>
    <d v="1899-12-30T22:30:00"/>
    <n v="3.9999999999999991"/>
    <m/>
    <m/>
  </r>
  <r>
    <x v="319"/>
    <x v="2"/>
    <x v="18"/>
    <d v="1899-12-30T16:00:00"/>
    <n v="3.9999999999999991"/>
    <m/>
    <m/>
  </r>
  <r>
    <x v="319"/>
    <x v="0"/>
    <x v="2"/>
    <d v="1899-12-30T14:00:00"/>
    <n v="5.5000000000000018"/>
    <n v="0.5"/>
    <m/>
  </r>
  <r>
    <x v="319"/>
    <x v="2"/>
    <x v="1"/>
    <d v="1899-12-30T22:30:00"/>
    <n v="5.4999999999999991"/>
    <m/>
    <m/>
  </r>
  <r>
    <x v="320"/>
    <x v="0"/>
    <x v="2"/>
    <d v="1899-12-30T13:00:00"/>
    <n v="5"/>
    <m/>
    <m/>
  </r>
  <r>
    <x v="320"/>
    <x v="5"/>
    <x v="15"/>
    <d v="1899-12-30T23:00:00"/>
    <n v="4.5"/>
    <m/>
    <m/>
  </r>
  <r>
    <x v="320"/>
    <x v="5"/>
    <x v="12"/>
    <d v="1899-12-30T18:30:00"/>
    <n v="3.5000000000000009"/>
    <m/>
    <m/>
  </r>
  <r>
    <x v="320"/>
    <x v="0"/>
    <x v="10"/>
    <d v="1899-12-30T18:00:00"/>
    <n v="5.0000000000000009"/>
    <m/>
    <m/>
  </r>
  <r>
    <x v="320"/>
    <x v="1"/>
    <x v="17"/>
    <d v="1899-12-30T12:00:00"/>
    <n v="3"/>
    <m/>
    <m/>
  </r>
  <r>
    <x v="320"/>
    <x v="6"/>
    <x v="17"/>
    <d v="1899-12-30T14:00:00"/>
    <n v="5.0000000000000009"/>
    <m/>
    <m/>
  </r>
  <r>
    <x v="321"/>
    <x v="2"/>
    <x v="2"/>
    <d v="1899-12-30T13:00:00"/>
    <n v="5"/>
    <m/>
    <m/>
  </r>
  <r>
    <x v="321"/>
    <x v="3"/>
    <x v="10"/>
    <d v="1899-12-30T18:30:00"/>
    <n v="5.0000000000000018"/>
    <n v="0.5"/>
    <m/>
  </r>
  <r>
    <x v="321"/>
    <x v="2"/>
    <x v="10"/>
    <d v="1899-12-30T22:00:00"/>
    <n v="8"/>
    <n v="1"/>
    <m/>
  </r>
  <r>
    <x v="322"/>
    <x v="0"/>
    <x v="2"/>
    <d v="1899-12-30T14:00:00"/>
    <n v="5.5000000000000018"/>
    <n v="0.5"/>
    <m/>
  </r>
  <r>
    <x v="322"/>
    <x v="1"/>
    <x v="1"/>
    <d v="1899-12-30T19:00:00"/>
    <n v="1.9999999999999982"/>
    <m/>
    <m/>
  </r>
  <r>
    <x v="323"/>
    <x v="0"/>
    <x v="2"/>
    <d v="1899-12-30T14:30:00"/>
    <n v="6"/>
    <n v="0.5"/>
    <m/>
  </r>
  <r>
    <x v="323"/>
    <x v="2"/>
    <x v="19"/>
    <d v="1899-12-30T20:30:00"/>
    <n v="3"/>
    <m/>
    <m/>
  </r>
  <r>
    <x v="324"/>
    <x v="1"/>
    <x v="1"/>
    <d v="1899-12-30T21:30:00"/>
    <n v="4.5"/>
    <m/>
    <m/>
  </r>
  <r>
    <x v="324"/>
    <x v="0"/>
    <x v="2"/>
    <d v="1899-12-30T14:00:00"/>
    <n v="5.5000000000000018"/>
    <n v="0.5"/>
    <m/>
  </r>
  <r>
    <x v="325"/>
    <x v="0"/>
    <x v="5"/>
    <d v="1899-12-30T23:00:00"/>
    <n v="5.0000000000000009"/>
    <m/>
    <m/>
  </r>
  <r>
    <x v="325"/>
    <x v="1"/>
    <x v="18"/>
    <d v="1899-12-30T16:00:00"/>
    <n v="3.9999999999999991"/>
    <m/>
    <m/>
  </r>
  <r>
    <x v="325"/>
    <x v="0"/>
    <x v="2"/>
    <d v="1899-12-30T14:00:00"/>
    <n v="5.5000000000000018"/>
    <n v="0.5"/>
    <m/>
  </r>
  <r>
    <x v="326"/>
    <x v="0"/>
    <x v="21"/>
    <d v="1899-12-30T21:30:00"/>
    <n v="5.5"/>
    <n v="0.5"/>
    <m/>
  </r>
  <r>
    <x v="326"/>
    <x v="2"/>
    <x v="21"/>
    <d v="1899-12-30T22:00:00"/>
    <n v="5.9999999999999982"/>
    <n v="0.5"/>
    <m/>
  </r>
  <r>
    <x v="326"/>
    <x v="0"/>
    <x v="2"/>
    <d v="1899-12-30T14:00:00"/>
    <n v="5.5000000000000018"/>
    <n v="0.5"/>
    <m/>
  </r>
  <r>
    <x v="327"/>
    <x v="6"/>
    <x v="17"/>
    <d v="1899-12-30T14:00:00"/>
    <n v="5.0000000000000009"/>
    <m/>
    <m/>
  </r>
  <r>
    <x v="327"/>
    <x v="1"/>
    <x v="17"/>
    <d v="1899-12-30T12:00:00"/>
    <n v="3"/>
    <m/>
    <m/>
  </r>
  <r>
    <x v="327"/>
    <x v="2"/>
    <x v="4"/>
    <d v="1899-12-30T16:00:00"/>
    <n v="5.4999999999999982"/>
    <n v="0.5"/>
    <m/>
  </r>
  <r>
    <x v="327"/>
    <x v="3"/>
    <x v="3"/>
    <d v="1899-12-30T19:30:00"/>
    <n v="4.9999999999999991"/>
    <n v="0.5"/>
    <m/>
  </r>
  <r>
    <x v="327"/>
    <x v="3"/>
    <x v="30"/>
    <d v="1899-12-30T01:00:00"/>
    <n v="4.9999999999999991"/>
    <n v="0.5"/>
    <m/>
  </r>
  <r>
    <x v="327"/>
    <x v="0"/>
    <x v="2"/>
    <d v="1899-12-30T13:00:00"/>
    <n v="5"/>
    <m/>
    <m/>
  </r>
  <r>
    <x v="328"/>
    <x v="5"/>
    <x v="6"/>
    <d v="1899-12-30T14:30:00"/>
    <n v="5"/>
    <m/>
    <m/>
  </r>
  <r>
    <x v="328"/>
    <x v="2"/>
    <x v="17"/>
    <d v="1899-12-30T15:00:00"/>
    <n v="5"/>
    <n v="1"/>
    <m/>
  </r>
  <r>
    <x v="328"/>
    <x v="2"/>
    <x v="12"/>
    <d v="1899-12-30T22:00:00"/>
    <n v="6.4999999999999991"/>
    <n v="0.5"/>
    <m/>
  </r>
  <r>
    <x v="328"/>
    <x v="3"/>
    <x v="7"/>
    <d v="1899-12-30T19:00:00"/>
    <n v="7.5"/>
    <n v="0.5"/>
    <m/>
  </r>
  <r>
    <x v="329"/>
    <x v="1"/>
    <x v="4"/>
    <d v="1899-12-30T16:00:00"/>
    <n v="5.9999999999999982"/>
    <m/>
    <m/>
  </r>
  <r>
    <x v="329"/>
    <x v="1"/>
    <x v="1"/>
    <d v="1899-12-30T19:00:00"/>
    <n v="1.9999999999999982"/>
    <m/>
    <m/>
  </r>
  <r>
    <x v="329"/>
    <x v="0"/>
    <x v="2"/>
    <d v="1899-12-30T14:00:00"/>
    <n v="5.5000000000000018"/>
    <n v="0.5"/>
    <m/>
  </r>
  <r>
    <x v="330"/>
    <x v="2"/>
    <x v="19"/>
    <d v="1899-12-30T20:30:00"/>
    <n v="3"/>
    <m/>
    <m/>
  </r>
  <r>
    <x v="330"/>
    <x v="0"/>
    <x v="2"/>
    <d v="1899-12-30T14:00:00"/>
    <n v="5.5000000000000018"/>
    <n v="0.5"/>
    <m/>
  </r>
  <r>
    <x v="331"/>
    <x v="1"/>
    <x v="1"/>
    <d v="1899-12-30T21:30:00"/>
    <n v="4.5"/>
    <m/>
    <m/>
  </r>
  <r>
    <x v="331"/>
    <x v="0"/>
    <x v="2"/>
    <d v="1899-12-30T14:00:00"/>
    <n v="5.5000000000000018"/>
    <n v="0.5"/>
    <m/>
  </r>
  <r>
    <x v="332"/>
    <x v="0"/>
    <x v="24"/>
    <d v="1899-12-30T22:00:00"/>
    <n v="3"/>
    <m/>
    <m/>
  </r>
  <r>
    <x v="332"/>
    <x v="0"/>
    <x v="2"/>
    <d v="1899-12-30T14:00:00"/>
    <n v="5.5000000000000018"/>
    <n v="0.5"/>
    <m/>
  </r>
  <r>
    <x v="333"/>
    <x v="0"/>
    <x v="2"/>
    <d v="1899-12-30T14:00:00"/>
    <n v="5.5000000000000018"/>
    <n v="0.5"/>
    <m/>
  </r>
  <r>
    <x v="334"/>
    <x v="3"/>
    <x v="10"/>
    <d v="1899-12-30T20:00:00"/>
    <n v="6.5000000000000018"/>
    <n v="0.5"/>
    <m/>
  </r>
  <r>
    <x v="334"/>
    <x v="0"/>
    <x v="2"/>
    <d v="1899-12-30T13:00:00"/>
    <n v="5"/>
    <m/>
    <m/>
  </r>
  <r>
    <x v="27"/>
    <x v="15"/>
    <x v="17"/>
    <d v="1899-12-30T14:00:00"/>
    <n v="5.0000000000000009"/>
    <m/>
    <n v="1235.5"/>
  </r>
  <r>
    <x v="27"/>
    <x v="15"/>
    <x v="17"/>
    <d v="1899-12-30T14:00:00"/>
    <n v="5.0000000000000009"/>
    <m/>
    <m/>
  </r>
  <r>
    <x v="28"/>
    <x v="15"/>
    <x v="17"/>
    <d v="1899-12-30T16:00:00"/>
    <n v="6.4999999999999991"/>
    <n v="0.5"/>
    <m/>
  </r>
  <r>
    <x v="28"/>
    <x v="15"/>
    <x v="17"/>
    <d v="1899-12-30T16:00:00"/>
    <n v="6.4999999999999991"/>
    <n v="0.5"/>
    <m/>
  </r>
  <r>
    <x v="29"/>
    <x v="15"/>
    <x v="7"/>
    <d v="1899-12-30T15:00:00"/>
    <n v="4"/>
    <m/>
    <m/>
  </r>
  <r>
    <x v="29"/>
    <x v="15"/>
    <x v="7"/>
    <d v="1899-12-30T15:00:00"/>
    <n v="4"/>
    <m/>
    <m/>
  </r>
  <r>
    <x v="29"/>
    <x v="15"/>
    <x v="9"/>
    <d v="1899-12-30T21:30:00"/>
    <n v="5.5000000000000018"/>
    <m/>
    <m/>
  </r>
  <r>
    <x v="29"/>
    <x v="15"/>
    <x v="9"/>
    <d v="1899-12-30T21:30:00"/>
    <n v="5.5000000000000018"/>
    <m/>
    <m/>
  </r>
  <r>
    <x v="30"/>
    <x v="15"/>
    <x v="17"/>
    <d v="1899-12-30T15:00:00"/>
    <n v="5.5"/>
    <n v="0.5"/>
    <m/>
  </r>
  <r>
    <x v="335"/>
    <x v="15"/>
    <x v="3"/>
    <d v="1899-12-30T22:00:00"/>
    <n v="7.4999999999999982"/>
    <n v="0.5"/>
    <m/>
  </r>
  <r>
    <x v="335"/>
    <x v="15"/>
    <x v="3"/>
    <d v="1899-12-30T22:00:00"/>
    <n v="7.4999999999999982"/>
    <n v="0.5"/>
    <m/>
  </r>
  <r>
    <x v="335"/>
    <x v="15"/>
    <x v="3"/>
    <d v="1899-12-30T22:00:00"/>
    <n v="7.4999999999999982"/>
    <n v="0.5"/>
    <m/>
  </r>
  <r>
    <x v="335"/>
    <x v="15"/>
    <x v="3"/>
    <d v="1899-12-30T22:00:00"/>
    <n v="7.4999999999999982"/>
    <n v="0.5"/>
    <m/>
  </r>
  <r>
    <x v="335"/>
    <x v="15"/>
    <x v="3"/>
    <d v="1899-12-30T22:00:00"/>
    <n v="7.4999999999999982"/>
    <n v="0.5"/>
    <m/>
  </r>
  <r>
    <x v="335"/>
    <x v="15"/>
    <x v="3"/>
    <d v="1899-12-30T22:00:00"/>
    <n v="7.4999999999999982"/>
    <n v="0.5"/>
    <m/>
  </r>
  <r>
    <x v="336"/>
    <x v="15"/>
    <x v="4"/>
    <d v="1899-12-30T16:00:00"/>
    <n v="5.4999999999999982"/>
    <n v="0.5"/>
    <m/>
  </r>
  <r>
    <x v="336"/>
    <x v="15"/>
    <x v="4"/>
    <d v="1899-12-30T16:00:00"/>
    <n v="5.4999999999999982"/>
    <n v="0.5"/>
    <m/>
  </r>
  <r>
    <x v="337"/>
    <x v="15"/>
    <x v="2"/>
    <d v="1899-12-30T17:00:00"/>
    <n v="8.0000000000000018"/>
    <n v="1"/>
    <m/>
  </r>
  <r>
    <x v="338"/>
    <x v="15"/>
    <x v="4"/>
    <d v="1899-12-30T16:00:00"/>
    <n v="5.4999999999999982"/>
    <n v="0.5"/>
    <m/>
  </r>
  <r>
    <x v="338"/>
    <x v="15"/>
    <x v="4"/>
    <d v="1899-12-30T16:00:00"/>
    <n v="5.4999999999999982"/>
    <n v="0.5"/>
    <m/>
  </r>
  <r>
    <x v="338"/>
    <x v="15"/>
    <x v="4"/>
    <d v="1899-12-30T13:00:00"/>
    <n v="2.9999999999999987"/>
    <m/>
    <m/>
  </r>
  <r>
    <x v="64"/>
    <x v="15"/>
    <x v="4"/>
    <d v="1899-12-30T15:00:00"/>
    <n v="5"/>
    <m/>
    <m/>
  </r>
  <r>
    <x v="64"/>
    <x v="15"/>
    <x v="4"/>
    <d v="1899-12-30T15:00:00"/>
    <n v="5"/>
    <m/>
    <m/>
  </r>
  <r>
    <x v="65"/>
    <x v="15"/>
    <x v="4"/>
    <d v="1899-12-30T15:00:00"/>
    <n v="5"/>
    <m/>
    <m/>
  </r>
  <r>
    <x v="65"/>
    <x v="15"/>
    <x v="4"/>
    <d v="1899-12-30T15:00:00"/>
    <n v="5"/>
    <m/>
    <m/>
  </r>
  <r>
    <x v="69"/>
    <x v="15"/>
    <x v="11"/>
    <d v="1899-12-30T16:00:00"/>
    <n v="7.9999999999999982"/>
    <n v="1"/>
    <m/>
  </r>
  <r>
    <x v="69"/>
    <x v="15"/>
    <x v="11"/>
    <d v="1899-12-30T12:00:00"/>
    <n v="5"/>
    <m/>
    <m/>
  </r>
  <r>
    <x v="69"/>
    <x v="15"/>
    <x v="11"/>
    <d v="1899-12-30T12:00:00"/>
    <n v="5"/>
    <m/>
    <m/>
  </r>
  <r>
    <x v="69"/>
    <x v="15"/>
    <x v="11"/>
    <d v="1899-12-30T10:00:00"/>
    <n v="3"/>
    <m/>
    <m/>
  </r>
  <r>
    <x v="69"/>
    <x v="15"/>
    <x v="18"/>
    <d v="1899-12-30T16:00:00"/>
    <n v="3.9999999999999991"/>
    <m/>
    <m/>
  </r>
  <r>
    <x v="69"/>
    <x v="15"/>
    <x v="18"/>
    <d v="1899-12-30T16:00:00"/>
    <n v="3.9999999999999991"/>
    <m/>
    <m/>
  </r>
  <r>
    <x v="76"/>
    <x v="15"/>
    <x v="2"/>
    <d v="1899-12-30T15:00:00"/>
    <n v="6.5"/>
    <n v="0.5"/>
    <m/>
  </r>
  <r>
    <x v="76"/>
    <x v="15"/>
    <x v="2"/>
    <d v="1899-12-30T15:00:00"/>
    <n v="6.5"/>
    <n v="0.5"/>
    <m/>
  </r>
  <r>
    <x v="76"/>
    <x v="15"/>
    <x v="2"/>
    <d v="1899-12-30T15:00:00"/>
    <n v="6.5"/>
    <n v="0.5"/>
    <m/>
  </r>
  <r>
    <x v="76"/>
    <x v="15"/>
    <x v="2"/>
    <d v="1899-12-30T15:00:00"/>
    <n v="6.5"/>
    <n v="0.5"/>
    <m/>
  </r>
  <r>
    <x v="96"/>
    <x v="15"/>
    <x v="7"/>
    <d v="1899-12-30T17:30:00"/>
    <n v="6"/>
    <n v="0.5"/>
    <m/>
  </r>
  <r>
    <x v="101"/>
    <x v="15"/>
    <x v="27"/>
    <d v="1899-12-30T14:00:00"/>
    <n v="7.0000000000000018"/>
    <n v="0.5"/>
    <m/>
  </r>
  <r>
    <x v="101"/>
    <x v="15"/>
    <x v="11"/>
    <d v="1899-12-30T14:00:00"/>
    <n v="6.5"/>
    <n v="0.5"/>
    <m/>
  </r>
  <r>
    <x v="106"/>
    <x v="15"/>
    <x v="9"/>
    <d v="1899-12-30T21:30:00"/>
    <n v="5.5000000000000018"/>
    <m/>
    <m/>
  </r>
  <r>
    <x v="126"/>
    <x v="15"/>
    <x v="17"/>
    <d v="1899-12-30T13:00:00"/>
    <n v="3.9999999999999991"/>
    <m/>
    <m/>
  </r>
  <r>
    <x v="126"/>
    <x v="15"/>
    <x v="17"/>
    <d v="1899-12-30T13:00:00"/>
    <n v="3.9999999999999991"/>
    <m/>
    <m/>
  </r>
  <r>
    <x v="126"/>
    <x v="15"/>
    <x v="22"/>
    <d v="1899-12-30T10:00:00"/>
    <n v="4"/>
    <m/>
    <m/>
  </r>
  <r>
    <x v="132"/>
    <x v="15"/>
    <x v="4"/>
    <d v="1899-12-30T14:00:00"/>
    <n v="4"/>
    <m/>
    <m/>
  </r>
  <r>
    <x v="132"/>
    <x v="15"/>
    <x v="4"/>
    <d v="1899-12-30T14:00:00"/>
    <n v="4"/>
    <m/>
    <m/>
  </r>
  <r>
    <x v="132"/>
    <x v="15"/>
    <x v="4"/>
    <d v="1899-12-30T14:00:00"/>
    <n v="4"/>
    <m/>
    <m/>
  </r>
  <r>
    <x v="133"/>
    <x v="15"/>
    <x v="18"/>
    <d v="1899-12-30T17:00:00"/>
    <n v="5.0000000000000009"/>
    <m/>
    <m/>
  </r>
  <r>
    <x v="133"/>
    <x v="15"/>
    <x v="1"/>
    <d v="1899-12-30T22:00:00"/>
    <n v="4.9999999999999982"/>
    <m/>
    <m/>
  </r>
  <r>
    <x v="133"/>
    <x v="15"/>
    <x v="24"/>
    <d v="1899-12-30T22:00:00"/>
    <n v="3"/>
    <m/>
    <m/>
  </r>
  <r>
    <x v="133"/>
    <x v="15"/>
    <x v="18"/>
    <d v="1899-12-30T15:00:00"/>
    <n v="3"/>
    <m/>
    <m/>
  </r>
  <r>
    <x v="134"/>
    <x v="15"/>
    <x v="17"/>
    <d v="1899-12-30T13:30:00"/>
    <n v="4.5"/>
    <m/>
    <m/>
  </r>
  <r>
    <x v="134"/>
    <x v="15"/>
    <x v="17"/>
    <d v="1899-12-30T13:00:00"/>
    <n v="3.9999999999999991"/>
    <m/>
    <m/>
  </r>
  <r>
    <x v="134"/>
    <x v="15"/>
    <x v="18"/>
    <d v="1899-12-30T15:00:00"/>
    <n v="3"/>
    <m/>
    <m/>
  </r>
  <r>
    <x v="135"/>
    <x v="15"/>
    <x v="17"/>
    <d v="1899-12-30T14:00:00"/>
    <n v="5.0000000000000009"/>
    <m/>
    <m/>
  </r>
  <r>
    <x v="135"/>
    <x v="15"/>
    <x v="17"/>
    <d v="1899-12-30T14:00:00"/>
    <n v="5.0000000000000009"/>
    <m/>
    <m/>
  </r>
  <r>
    <x v="135"/>
    <x v="15"/>
    <x v="17"/>
    <d v="1899-12-30T14:00:00"/>
    <n v="5.0000000000000009"/>
    <m/>
    <m/>
  </r>
  <r>
    <x v="339"/>
    <x v="15"/>
    <x v="27"/>
    <d v="1899-12-30T11:00:00"/>
    <n v="4.5"/>
    <m/>
    <m/>
  </r>
  <r>
    <x v="339"/>
    <x v="15"/>
    <x v="27"/>
    <d v="1899-12-30T11:00:00"/>
    <n v="4.5"/>
    <m/>
    <m/>
  </r>
  <r>
    <x v="339"/>
    <x v="15"/>
    <x v="4"/>
    <d v="1899-12-30T15:00:00"/>
    <n v="5"/>
    <m/>
    <m/>
  </r>
  <r>
    <x v="339"/>
    <x v="15"/>
    <x v="4"/>
    <d v="1899-12-30T15:00:00"/>
    <n v="5"/>
    <m/>
    <m/>
  </r>
  <r>
    <x v="147"/>
    <x v="15"/>
    <x v="12"/>
    <d v="1899-12-30T20:00:00"/>
    <n v="5.0000000000000009"/>
    <m/>
    <m/>
  </r>
  <r>
    <x v="147"/>
    <x v="15"/>
    <x v="12"/>
    <d v="1899-12-30T20:00:00"/>
    <n v="5.0000000000000009"/>
    <m/>
    <m/>
  </r>
  <r>
    <x v="147"/>
    <x v="15"/>
    <x v="12"/>
    <d v="1899-12-30T20:00:00"/>
    <n v="5.0000000000000009"/>
    <m/>
    <m/>
  </r>
  <r>
    <x v="148"/>
    <x v="15"/>
    <x v="18"/>
    <d v="1899-12-30T16:00:00"/>
    <n v="3.9999999999999991"/>
    <m/>
    <m/>
  </r>
  <r>
    <x v="148"/>
    <x v="15"/>
    <x v="18"/>
    <d v="1899-12-30T16:00:00"/>
    <n v="3.9999999999999991"/>
    <m/>
    <m/>
  </r>
  <r>
    <x v="148"/>
    <x v="15"/>
    <x v="9"/>
    <d v="1899-12-30T23:00:00"/>
    <n v="6.5000000000000018"/>
    <n v="0.5"/>
    <m/>
  </r>
  <r>
    <x v="148"/>
    <x v="15"/>
    <x v="9"/>
    <d v="1899-12-30T23:00:00"/>
    <n v="6.5000000000000018"/>
    <n v="0.5"/>
    <m/>
  </r>
  <r>
    <x v="149"/>
    <x v="15"/>
    <x v="22"/>
    <d v="1899-12-30T13:00:00"/>
    <n v="6.4999999999999991"/>
    <n v="0.5"/>
    <m/>
  </r>
  <r>
    <x v="149"/>
    <x v="15"/>
    <x v="22"/>
    <d v="1899-12-30T13:00:00"/>
    <n v="6.4999999999999991"/>
    <n v="0.5"/>
    <m/>
  </r>
  <r>
    <x v="151"/>
    <x v="15"/>
    <x v="9"/>
    <d v="1899-12-30T19:30:00"/>
    <n v="3.5000000000000009"/>
    <m/>
    <m/>
  </r>
  <r>
    <x v="154"/>
    <x v="15"/>
    <x v="7"/>
    <d v="1899-12-30T17:00:00"/>
    <n v="5.5000000000000018"/>
    <n v="0.5"/>
    <m/>
  </r>
  <r>
    <x v="154"/>
    <x v="15"/>
    <x v="25"/>
    <d v="1899-12-30T15:30:00"/>
    <n v="4"/>
    <m/>
    <m/>
  </r>
  <r>
    <x v="154"/>
    <x v="15"/>
    <x v="1"/>
    <d v="1899-12-30T23:30:00"/>
    <n v="5.9999999999999982"/>
    <n v="0.5"/>
    <m/>
  </r>
  <r>
    <x v="155"/>
    <x v="15"/>
    <x v="17"/>
    <d v="1899-12-30T14:00:00"/>
    <n v="5.0000000000000009"/>
    <m/>
    <m/>
  </r>
  <r>
    <x v="155"/>
    <x v="15"/>
    <x v="17"/>
    <d v="1899-12-30T14:00:00"/>
    <n v="5.0000000000000009"/>
    <m/>
    <m/>
  </r>
  <r>
    <x v="167"/>
    <x v="15"/>
    <x v="12"/>
    <d v="1899-12-30T20:30:00"/>
    <n v="5.4999999999999991"/>
    <m/>
    <m/>
  </r>
  <r>
    <x v="167"/>
    <x v="15"/>
    <x v="12"/>
    <d v="1899-12-30T20:30:00"/>
    <n v="5.4999999999999991"/>
    <m/>
    <m/>
  </r>
  <r>
    <x v="168"/>
    <x v="15"/>
    <x v="15"/>
    <d v="1899-12-30T00:00:00"/>
    <n v="5.4999999999999991"/>
    <m/>
    <m/>
  </r>
  <r>
    <x v="168"/>
    <x v="15"/>
    <x v="30"/>
    <d v="1899-12-30T23:00:00"/>
    <n v="3.5000000000000009"/>
    <m/>
    <m/>
  </r>
  <r>
    <x v="170"/>
    <x v="15"/>
    <x v="4"/>
    <d v="1899-12-30T16:00:00"/>
    <n v="5.4999999999999982"/>
    <n v="0.5"/>
    <m/>
  </r>
  <r>
    <x v="170"/>
    <x v="15"/>
    <x v="4"/>
    <d v="1899-12-30T16:00:00"/>
    <n v="5.4999999999999982"/>
    <n v="0.5"/>
    <m/>
  </r>
  <r>
    <x v="171"/>
    <x v="15"/>
    <x v="4"/>
    <d v="1899-12-30T16:00:00"/>
    <n v="5.4999999999999982"/>
    <n v="0.5"/>
    <m/>
  </r>
  <r>
    <x v="171"/>
    <x v="15"/>
    <x v="4"/>
    <d v="1899-12-30T16:00:00"/>
    <n v="5.4999999999999982"/>
    <n v="0.5"/>
    <m/>
  </r>
  <r>
    <x v="172"/>
    <x v="15"/>
    <x v="4"/>
    <d v="1899-12-30T16:00:00"/>
    <n v="5.4999999999999982"/>
    <n v="0.5"/>
    <m/>
  </r>
  <r>
    <x v="172"/>
    <x v="15"/>
    <x v="4"/>
    <d v="1899-12-30T16:00:00"/>
    <n v="5.4999999999999982"/>
    <n v="0.5"/>
    <m/>
  </r>
  <r>
    <x v="172"/>
    <x v="15"/>
    <x v="4"/>
    <d v="1899-12-30T16:00:00"/>
    <n v="5.4999999999999982"/>
    <n v="0.5"/>
    <m/>
  </r>
  <r>
    <x v="172"/>
    <x v="15"/>
    <x v="4"/>
    <d v="1899-12-30T14:00:00"/>
    <n v="4"/>
    <m/>
    <m/>
  </r>
  <r>
    <x v="340"/>
    <x v="15"/>
    <x v="2"/>
    <d v="1899-12-30T20:00:00"/>
    <n v="11"/>
    <n v="1"/>
    <m/>
  </r>
  <r>
    <x v="340"/>
    <x v="15"/>
    <x v="2"/>
    <d v="1899-12-30T16:00:00"/>
    <n v="7.5"/>
    <n v="0.5"/>
    <m/>
  </r>
  <r>
    <x v="340"/>
    <x v="15"/>
    <x v="2"/>
    <d v="1899-12-30T00:00:00"/>
    <n v="15"/>
    <n v="1"/>
    <m/>
  </r>
  <r>
    <x v="340"/>
    <x v="15"/>
    <x v="2"/>
    <d v="1899-12-30T00:00:00"/>
    <n v="15"/>
    <n v="1"/>
    <m/>
  </r>
  <r>
    <x v="340"/>
    <x v="15"/>
    <x v="2"/>
    <d v="1899-12-30T00:00:00"/>
    <n v="15"/>
    <n v="1"/>
    <m/>
  </r>
  <r>
    <x v="340"/>
    <x v="15"/>
    <x v="2"/>
    <d v="1899-12-30T00:00:00"/>
    <n v="15"/>
    <n v="1"/>
    <m/>
  </r>
  <r>
    <x v="340"/>
    <x v="15"/>
    <x v="2"/>
    <d v="1899-12-30T00:00:00"/>
    <n v="15"/>
    <n v="1"/>
    <m/>
  </r>
  <r>
    <x v="340"/>
    <x v="15"/>
    <x v="2"/>
    <d v="1899-12-30T00:00:00"/>
    <n v="15"/>
    <n v="1"/>
    <m/>
  </r>
  <r>
    <x v="340"/>
    <x v="15"/>
    <x v="2"/>
    <d v="1899-12-30T00:00:00"/>
    <n v="15"/>
    <n v="1"/>
    <m/>
  </r>
  <r>
    <x v="340"/>
    <x v="15"/>
    <x v="2"/>
    <d v="1899-12-30T00:00:00"/>
    <n v="15"/>
    <n v="1"/>
    <m/>
  </r>
  <r>
    <x v="340"/>
    <x v="15"/>
    <x v="2"/>
    <d v="1899-12-30T00:00:00"/>
    <n v="15"/>
    <n v="1"/>
    <m/>
  </r>
  <r>
    <x v="340"/>
    <x v="15"/>
    <x v="2"/>
    <d v="1899-12-30T00:00:00"/>
    <n v="15"/>
    <n v="1"/>
    <m/>
  </r>
  <r>
    <x v="340"/>
    <x v="15"/>
    <x v="2"/>
    <d v="1899-12-30T00:00:00"/>
    <n v="15"/>
    <n v="1"/>
    <m/>
  </r>
  <r>
    <x v="173"/>
    <x v="15"/>
    <x v="4"/>
    <d v="1899-12-30T16:00:00"/>
    <n v="5.4999999999999982"/>
    <n v="0.5"/>
    <m/>
  </r>
  <r>
    <x v="173"/>
    <x v="15"/>
    <x v="4"/>
    <d v="1899-12-30T14:00:00"/>
    <n v="4"/>
    <m/>
    <m/>
  </r>
  <r>
    <x v="173"/>
    <x v="15"/>
    <x v="4"/>
    <d v="1899-12-30T14:00:00"/>
    <n v="4"/>
    <m/>
    <m/>
  </r>
  <r>
    <x v="180"/>
    <x v="15"/>
    <x v="19"/>
    <d v="1899-12-30T00:00:00"/>
    <n v="6.0000000000000009"/>
    <n v="0.5"/>
    <m/>
  </r>
  <r>
    <x v="180"/>
    <x v="15"/>
    <x v="19"/>
    <d v="1899-12-30T00:00:00"/>
    <n v="6.0000000000000009"/>
    <n v="0.5"/>
    <m/>
  </r>
  <r>
    <x v="187"/>
    <x v="15"/>
    <x v="24"/>
    <d v="1899-12-30T23:00:00"/>
    <n v="4.0000000000000018"/>
    <m/>
    <m/>
  </r>
  <r>
    <x v="187"/>
    <x v="15"/>
    <x v="1"/>
    <d v="1899-12-30T23:00:00"/>
    <n v="5.5"/>
    <n v="0.5"/>
    <m/>
  </r>
  <r>
    <x v="193"/>
    <x v="15"/>
    <x v="4"/>
    <d v="1899-12-30T16:00:00"/>
    <n v="5.4999999999999982"/>
    <n v="0.5"/>
    <m/>
  </r>
  <r>
    <x v="193"/>
    <x v="15"/>
    <x v="4"/>
    <d v="1899-12-30T16:00:00"/>
    <n v="5.4999999999999982"/>
    <n v="0.5"/>
    <m/>
  </r>
  <r>
    <x v="193"/>
    <x v="15"/>
    <x v="4"/>
    <d v="1899-12-30T16:00:00"/>
    <n v="5.4999999999999982"/>
    <n v="0.5"/>
    <m/>
  </r>
  <r>
    <x v="193"/>
    <x v="15"/>
    <x v="4"/>
    <d v="1899-12-30T16:00:00"/>
    <n v="5.4999999999999982"/>
    <n v="0.5"/>
    <m/>
  </r>
  <r>
    <x v="194"/>
    <x v="15"/>
    <x v="5"/>
    <d v="1899-12-30T00:00:00"/>
    <n v="5.5"/>
    <n v="0.5"/>
    <m/>
  </r>
  <r>
    <x v="194"/>
    <x v="15"/>
    <x v="5"/>
    <d v="1899-12-30T00:00:00"/>
    <n v="5.5"/>
    <n v="0.5"/>
    <m/>
  </r>
  <r>
    <x v="194"/>
    <x v="15"/>
    <x v="5"/>
    <d v="1899-12-30T00:00:00"/>
    <n v="5.5"/>
    <n v="0.5"/>
    <m/>
  </r>
  <r>
    <x v="194"/>
    <x v="15"/>
    <x v="5"/>
    <d v="1899-12-30T00:00:00"/>
    <n v="5.5"/>
    <n v="0.5"/>
    <m/>
  </r>
  <r>
    <x v="194"/>
    <x v="15"/>
    <x v="12"/>
    <d v="1899-12-30T17:30:00"/>
    <n v="2.4999999999999991"/>
    <m/>
    <m/>
  </r>
  <r>
    <x v="195"/>
    <x v="15"/>
    <x v="17"/>
    <d v="1899-12-30T14:30:00"/>
    <n v="4.9999999999999991"/>
    <n v="0.5"/>
    <m/>
  </r>
  <r>
    <x v="195"/>
    <x v="15"/>
    <x v="17"/>
    <d v="1899-12-30T14:30:00"/>
    <n v="4.9999999999999991"/>
    <n v="0.5"/>
    <m/>
  </r>
  <r>
    <x v="341"/>
    <x v="15"/>
    <x v="5"/>
    <d v="1899-12-30T01:00:00"/>
    <n v="6.4999999999999991"/>
    <n v="0.5"/>
    <m/>
  </r>
  <r>
    <x v="341"/>
    <x v="15"/>
    <x v="5"/>
    <d v="1899-12-30T01:00:00"/>
    <n v="6.4999999999999991"/>
    <n v="0.5"/>
    <m/>
  </r>
  <r>
    <x v="341"/>
    <x v="15"/>
    <x v="5"/>
    <d v="1899-12-30T01:00:00"/>
    <n v="6.4999999999999991"/>
    <n v="0.5"/>
    <m/>
  </r>
  <r>
    <x v="341"/>
    <x v="15"/>
    <x v="5"/>
    <d v="1899-12-30T01:00:00"/>
    <n v="6.4999999999999991"/>
    <n v="0.5"/>
    <m/>
  </r>
  <r>
    <x v="341"/>
    <x v="15"/>
    <x v="5"/>
    <d v="1899-12-30T01:00:00"/>
    <n v="6.4999999999999991"/>
    <n v="0.5"/>
    <m/>
  </r>
  <r>
    <x v="207"/>
    <x v="15"/>
    <x v="5"/>
    <d v="1899-12-30T00:00:00"/>
    <n v="5.5"/>
    <n v="0.5"/>
    <m/>
  </r>
  <r>
    <x v="207"/>
    <x v="15"/>
    <x v="5"/>
    <d v="1899-12-30T00:00:00"/>
    <n v="5.5"/>
    <n v="0.5"/>
    <m/>
  </r>
  <r>
    <x v="207"/>
    <x v="15"/>
    <x v="5"/>
    <d v="1899-12-30T00:00:00"/>
    <n v="5.5"/>
    <n v="0.5"/>
    <m/>
  </r>
  <r>
    <x v="212"/>
    <x v="15"/>
    <x v="9"/>
    <d v="1899-12-30T20:30:00"/>
    <n v="4.5"/>
    <m/>
    <m/>
  </r>
  <r>
    <x v="212"/>
    <x v="15"/>
    <x v="9"/>
    <d v="1899-12-30T20:30:00"/>
    <n v="4.5"/>
    <m/>
    <m/>
  </r>
  <r>
    <x v="212"/>
    <x v="15"/>
    <x v="9"/>
    <d v="1899-12-30T20:30:00"/>
    <n v="4.5"/>
    <m/>
    <m/>
  </r>
  <r>
    <x v="213"/>
    <x v="15"/>
    <x v="19"/>
    <d v="1899-12-30T00:00:00"/>
    <n v="6.0000000000000009"/>
    <n v="0.5"/>
    <m/>
  </r>
  <r>
    <x v="213"/>
    <x v="15"/>
    <x v="19"/>
    <d v="1899-12-30T00:00:00"/>
    <n v="6.0000000000000009"/>
    <n v="0.5"/>
    <m/>
  </r>
  <r>
    <x v="216"/>
    <x v="15"/>
    <x v="4"/>
    <d v="1899-12-30T14:00:00"/>
    <n v="4"/>
    <m/>
    <m/>
  </r>
  <r>
    <x v="216"/>
    <x v="15"/>
    <x v="4"/>
    <d v="1899-12-30T15:00:00"/>
    <n v="5"/>
    <m/>
    <m/>
  </r>
  <r>
    <x v="216"/>
    <x v="15"/>
    <x v="4"/>
    <d v="1899-12-30T15:00:00"/>
    <n v="5"/>
    <m/>
    <m/>
  </r>
  <r>
    <x v="217"/>
    <x v="15"/>
    <x v="12"/>
    <d v="1899-12-30T23:00:00"/>
    <n v="7.5"/>
    <n v="0.5"/>
    <m/>
  </r>
  <r>
    <x v="217"/>
    <x v="15"/>
    <x v="12"/>
    <d v="1899-12-30T23:00:00"/>
    <n v="7.5"/>
    <n v="0.5"/>
    <m/>
  </r>
  <r>
    <x v="217"/>
    <x v="15"/>
    <x v="12"/>
    <d v="1899-12-30T23:00:00"/>
    <n v="7.5"/>
    <n v="0.5"/>
    <m/>
  </r>
  <r>
    <x v="217"/>
    <x v="15"/>
    <x v="12"/>
    <d v="1899-12-30T23:00:00"/>
    <n v="7.5"/>
    <n v="0.5"/>
    <m/>
  </r>
  <r>
    <x v="217"/>
    <x v="15"/>
    <x v="12"/>
    <d v="1899-12-30T23:00:00"/>
    <n v="7.5"/>
    <n v="0.5"/>
    <m/>
  </r>
  <r>
    <x v="217"/>
    <x v="15"/>
    <x v="12"/>
    <d v="1899-12-30T17:00:00"/>
    <n v="2.0000000000000009"/>
    <m/>
    <m/>
  </r>
  <r>
    <x v="223"/>
    <x v="15"/>
    <x v="21"/>
    <d v="1899-12-30T17:00:00"/>
    <n v="1.5"/>
    <m/>
    <m/>
  </r>
  <r>
    <x v="223"/>
    <x v="15"/>
    <x v="21"/>
    <d v="1899-12-30T20:00:00"/>
    <n v="4.5"/>
    <m/>
    <m/>
  </r>
  <r>
    <x v="223"/>
    <x v="15"/>
    <x v="21"/>
    <d v="1899-12-30T20:00:00"/>
    <n v="4.5"/>
    <m/>
    <m/>
  </r>
  <r>
    <x v="265"/>
    <x v="15"/>
    <x v="4"/>
    <d v="1899-12-30T14:00:00"/>
    <n v="4"/>
    <m/>
    <m/>
  </r>
  <r>
    <x v="268"/>
    <x v="15"/>
    <x v="4"/>
    <d v="1899-12-30T12:00:00"/>
    <n v="1.9999999999999996"/>
    <m/>
    <m/>
  </r>
  <r>
    <x v="268"/>
    <x v="15"/>
    <x v="17"/>
    <d v="1899-12-30T16:00:00"/>
    <n v="6.4999999999999991"/>
    <n v="0.5"/>
    <m/>
  </r>
  <r>
    <x v="268"/>
    <x v="15"/>
    <x v="17"/>
    <d v="1899-12-30T16:00:00"/>
    <n v="6.4999999999999991"/>
    <n v="0.5"/>
    <m/>
  </r>
  <r>
    <x v="269"/>
    <x v="15"/>
    <x v="4"/>
    <d v="1899-12-30T16:00:00"/>
    <n v="5.4999999999999982"/>
    <n v="0.5"/>
    <m/>
  </r>
  <r>
    <x v="269"/>
    <x v="15"/>
    <x v="4"/>
    <d v="1899-12-30T16:00:00"/>
    <n v="5.4999999999999982"/>
    <n v="0.5"/>
    <m/>
  </r>
  <r>
    <x v="269"/>
    <x v="15"/>
    <x v="4"/>
    <d v="1899-12-30T16:00:00"/>
    <n v="5.4999999999999982"/>
    <n v="0.5"/>
    <m/>
  </r>
  <r>
    <x v="270"/>
    <x v="15"/>
    <x v="17"/>
    <d v="1899-12-30T15:00:00"/>
    <n v="5.5"/>
    <n v="0.5"/>
    <m/>
  </r>
  <r>
    <x v="270"/>
    <x v="15"/>
    <x v="17"/>
    <d v="1899-12-30T15:00:00"/>
    <n v="5.5"/>
    <n v="0.5"/>
    <m/>
  </r>
  <r>
    <x v="270"/>
    <x v="15"/>
    <x v="17"/>
    <d v="1899-12-30T15:00:00"/>
    <n v="5.5"/>
    <n v="0.5"/>
    <m/>
  </r>
  <r>
    <x v="270"/>
    <x v="15"/>
    <x v="17"/>
    <d v="1899-12-30T15:00:00"/>
    <n v="5.5"/>
    <n v="0.5"/>
    <m/>
  </r>
  <r>
    <x v="270"/>
    <x v="15"/>
    <x v="17"/>
    <d v="1899-12-30T15:00:00"/>
    <n v="5.5"/>
    <n v="0.5"/>
    <m/>
  </r>
  <r>
    <x v="271"/>
    <x v="15"/>
    <x v="4"/>
    <d v="1899-12-30T15:00:00"/>
    <n v="5"/>
    <m/>
    <m/>
  </r>
  <r>
    <x v="271"/>
    <x v="15"/>
    <x v="4"/>
    <d v="1899-12-30T15:00:00"/>
    <n v="5"/>
    <m/>
    <m/>
  </r>
  <r>
    <x v="271"/>
    <x v="15"/>
    <x v="4"/>
    <d v="1899-12-30T15:00:00"/>
    <n v="5"/>
    <m/>
    <m/>
  </r>
  <r>
    <x v="276"/>
    <x v="15"/>
    <x v="15"/>
    <d v="1899-12-30T22:30:00"/>
    <n v="3.9999999999999991"/>
    <m/>
    <m/>
  </r>
  <r>
    <x v="276"/>
    <x v="15"/>
    <x v="15"/>
    <d v="1899-12-30T22:30:00"/>
    <n v="3.9999999999999991"/>
    <m/>
    <m/>
  </r>
  <r>
    <x v="277"/>
    <x v="15"/>
    <x v="17"/>
    <d v="1899-12-30T15:00:00"/>
    <n v="5.5"/>
    <n v="0.5"/>
    <m/>
  </r>
  <r>
    <x v="277"/>
    <x v="15"/>
    <x v="17"/>
    <d v="1899-12-30T15:00:00"/>
    <n v="5.5"/>
    <n v="0.5"/>
    <m/>
  </r>
  <r>
    <x v="277"/>
    <x v="15"/>
    <x v="17"/>
    <d v="1899-12-30T15:00:00"/>
    <n v="5.5"/>
    <n v="0.5"/>
    <m/>
  </r>
  <r>
    <x v="277"/>
    <x v="15"/>
    <x v="17"/>
    <d v="1899-12-30T15:00:00"/>
    <n v="5.5"/>
    <n v="0.5"/>
    <m/>
  </r>
  <r>
    <x v="278"/>
    <x v="15"/>
    <x v="17"/>
    <d v="1899-12-30T15:00:00"/>
    <n v="5.5"/>
    <n v="0.5"/>
    <m/>
  </r>
  <r>
    <x v="278"/>
    <x v="15"/>
    <x v="17"/>
    <d v="1899-12-30T15:00:00"/>
    <n v="5.5"/>
    <n v="0.5"/>
    <m/>
  </r>
  <r>
    <x v="282"/>
    <x v="15"/>
    <x v="11"/>
    <d v="1899-12-30T16:00:00"/>
    <n v="7.9999999999999982"/>
    <n v="1"/>
    <m/>
  </r>
  <r>
    <x v="282"/>
    <x v="15"/>
    <x v="11"/>
    <d v="1899-12-30T16:00:00"/>
    <n v="7.9999999999999982"/>
    <n v="1"/>
    <m/>
  </r>
  <r>
    <x v="282"/>
    <x v="15"/>
    <x v="11"/>
    <d v="1899-12-30T16:00:00"/>
    <n v="7.9999999999999982"/>
    <n v="1"/>
    <m/>
  </r>
  <r>
    <x v="282"/>
    <x v="15"/>
    <x v="11"/>
    <d v="1899-12-30T16:00:00"/>
    <n v="7.9999999999999982"/>
    <n v="1"/>
    <m/>
  </r>
  <r>
    <x v="282"/>
    <x v="15"/>
    <x v="11"/>
    <d v="1899-12-30T16:00:00"/>
    <n v="7.9999999999999982"/>
    <n v="1"/>
    <m/>
  </r>
  <r>
    <x v="284"/>
    <x v="15"/>
    <x v="9"/>
    <d v="1899-12-30T20:00:00"/>
    <n v="4.0000000000000018"/>
    <m/>
    <m/>
  </r>
  <r>
    <x v="285"/>
    <x v="15"/>
    <x v="9"/>
    <d v="1899-12-30T20:00:00"/>
    <n v="4.0000000000000018"/>
    <m/>
    <m/>
  </r>
  <r>
    <x v="285"/>
    <x v="15"/>
    <x v="9"/>
    <d v="1899-12-30T20:00:00"/>
    <n v="4.0000000000000018"/>
    <m/>
    <m/>
  </r>
  <r>
    <x v="286"/>
    <x v="15"/>
    <x v="9"/>
    <d v="1899-12-30T20:00:00"/>
    <n v="4.0000000000000018"/>
    <m/>
    <m/>
  </r>
  <r>
    <x v="287"/>
    <x v="15"/>
    <x v="9"/>
    <d v="1899-12-30T21:30:00"/>
    <n v="5.0000000000000018"/>
    <n v="0.5"/>
    <m/>
  </r>
  <r>
    <x v="287"/>
    <x v="15"/>
    <x v="9"/>
    <d v="1899-12-30T21:30:00"/>
    <n v="5.0000000000000018"/>
    <n v="0.5"/>
    <m/>
  </r>
  <r>
    <x v="288"/>
    <x v="15"/>
    <x v="15"/>
    <d v="1899-12-30T22:30:00"/>
    <n v="3.9999999999999991"/>
    <m/>
    <m/>
  </r>
  <r>
    <x v="288"/>
    <x v="15"/>
    <x v="9"/>
    <d v="1899-12-30T21:00:00"/>
    <n v="5.0000000000000009"/>
    <m/>
    <m/>
  </r>
  <r>
    <x v="288"/>
    <x v="15"/>
    <x v="9"/>
    <d v="1899-12-30T22:30:00"/>
    <n v="6.0000000000000009"/>
    <n v="0.5"/>
    <m/>
  </r>
  <r>
    <x v="289"/>
    <x v="15"/>
    <x v="11"/>
    <d v="1899-12-30T14:00:00"/>
    <n v="6.5"/>
    <n v="0.5"/>
    <m/>
  </r>
  <r>
    <x v="289"/>
    <x v="15"/>
    <x v="11"/>
    <d v="1899-12-30T13:00:00"/>
    <n v="5.4999999999999982"/>
    <n v="0.5"/>
    <m/>
  </r>
  <r>
    <x v="289"/>
    <x v="15"/>
    <x v="11"/>
    <d v="1899-12-30T14:00:00"/>
    <n v="6.5"/>
    <n v="0.5"/>
    <m/>
  </r>
  <r>
    <x v="289"/>
    <x v="15"/>
    <x v="2"/>
    <d v="1899-12-30T14:00:00"/>
    <n v="5.5000000000000018"/>
    <n v="0.5"/>
    <m/>
  </r>
  <r>
    <x v="290"/>
    <x v="15"/>
    <x v="4"/>
    <d v="1899-12-30T14:00:00"/>
    <n v="4"/>
    <m/>
    <m/>
  </r>
  <r>
    <x v="290"/>
    <x v="15"/>
    <x v="4"/>
    <d v="1899-12-30T14:00:00"/>
    <n v="4"/>
    <m/>
    <m/>
  </r>
  <r>
    <x v="290"/>
    <x v="15"/>
    <x v="4"/>
    <d v="1899-12-30T14:00:00"/>
    <n v="4"/>
    <m/>
    <m/>
  </r>
  <r>
    <x v="292"/>
    <x v="15"/>
    <x v="21"/>
    <d v="1899-12-30T20:00:00"/>
    <n v="4.5"/>
    <m/>
    <m/>
  </r>
  <r>
    <x v="292"/>
    <x v="15"/>
    <x v="21"/>
    <d v="1899-12-30T20:00:00"/>
    <n v="4.5"/>
    <m/>
    <m/>
  </r>
  <r>
    <x v="342"/>
    <x v="15"/>
    <x v="11"/>
    <d v="1899-12-30T12:00:00"/>
    <n v="5"/>
    <m/>
    <m/>
  </r>
  <r>
    <x v="342"/>
    <x v="15"/>
    <x v="11"/>
    <d v="1899-12-30T12:00:00"/>
    <n v="5"/>
    <m/>
    <m/>
  </r>
  <r>
    <x v="343"/>
    <x v="15"/>
    <x v="4"/>
    <d v="1899-12-30T16:00:00"/>
    <n v="5.4999999999999982"/>
    <n v="0.5"/>
    <m/>
  </r>
  <r>
    <x v="343"/>
    <x v="15"/>
    <x v="4"/>
    <d v="1899-12-30T16:00:00"/>
    <n v="5.4999999999999982"/>
    <n v="0.5"/>
    <m/>
  </r>
  <r>
    <x v="343"/>
    <x v="15"/>
    <x v="4"/>
    <d v="1899-12-30T16:00:00"/>
    <n v="5.4999999999999982"/>
    <n v="0.5"/>
    <m/>
  </r>
  <r>
    <x v="316"/>
    <x v="15"/>
    <x v="4"/>
    <d v="1899-12-30T15:00:00"/>
    <n v="5"/>
    <m/>
    <m/>
  </r>
  <r>
    <x v="316"/>
    <x v="15"/>
    <x v="4"/>
    <d v="1899-12-30T15:00:00"/>
    <n v="5"/>
    <m/>
    <m/>
  </r>
  <r>
    <x v="317"/>
    <x v="15"/>
    <x v="4"/>
    <d v="1899-12-30T15:00:00"/>
    <n v="5"/>
    <m/>
    <m/>
  </r>
  <r>
    <x v="317"/>
    <x v="15"/>
    <x v="4"/>
    <d v="1899-12-30T15:00:00"/>
    <n v="5"/>
    <m/>
    <m/>
  </r>
  <r>
    <x v="317"/>
    <x v="15"/>
    <x v="18"/>
    <d v="1899-12-30T17:00:00"/>
    <n v="5.0000000000000009"/>
    <m/>
    <m/>
  </r>
  <r>
    <x v="318"/>
    <x v="15"/>
    <x v="12"/>
    <d v="1899-12-30T23:30:00"/>
    <n v="8"/>
    <n v="0.5"/>
    <m/>
  </r>
  <r>
    <x v="318"/>
    <x v="15"/>
    <x v="12"/>
    <d v="1899-12-30T23:30:00"/>
    <n v="8"/>
    <n v="0.5"/>
    <m/>
  </r>
  <r>
    <x v="318"/>
    <x v="15"/>
    <x v="12"/>
    <d v="1899-12-30T23:30:00"/>
    <n v="8"/>
    <n v="0.5"/>
    <m/>
  </r>
  <r>
    <x v="318"/>
    <x v="15"/>
    <x v="12"/>
    <d v="1899-12-30T23:30:00"/>
    <n v="8"/>
    <n v="0.5"/>
    <m/>
  </r>
  <r>
    <x v="318"/>
    <x v="15"/>
    <x v="12"/>
    <d v="1899-12-30T23:30:00"/>
    <n v="8"/>
    <n v="0.5"/>
    <m/>
  </r>
  <r>
    <x v="318"/>
    <x v="15"/>
    <x v="30"/>
    <d v="1899-12-30T23:30:00"/>
    <n v="3.9999999999999991"/>
    <m/>
    <m/>
  </r>
  <r>
    <x v="318"/>
    <x v="15"/>
    <x v="30"/>
    <d v="1899-12-30T23:30:00"/>
    <n v="3.9999999999999991"/>
    <m/>
    <m/>
  </r>
  <r>
    <x v="319"/>
    <x v="15"/>
    <x v="4"/>
    <d v="1899-12-30T15:00:00"/>
    <n v="5"/>
    <m/>
    <m/>
  </r>
  <r>
    <x v="319"/>
    <x v="15"/>
    <x v="4"/>
    <d v="1899-12-30T15:00:00"/>
    <n v="5"/>
    <m/>
    <m/>
  </r>
  <r>
    <x v="323"/>
    <x v="15"/>
    <x v="21"/>
    <d v="1899-12-30T19:30:00"/>
    <n v="3.9999999999999991"/>
    <m/>
    <m/>
  </r>
  <r>
    <x v="324"/>
    <x v="15"/>
    <x v="4"/>
    <d v="1899-12-30T14:00:00"/>
    <n v="4"/>
    <m/>
    <m/>
  </r>
  <r>
    <x v="324"/>
    <x v="15"/>
    <x v="4"/>
    <d v="1899-12-30T14:00:00"/>
    <n v="4"/>
    <m/>
    <m/>
  </r>
  <r>
    <x v="324"/>
    <x v="15"/>
    <x v="4"/>
    <d v="1899-12-30T14:00:00"/>
    <n v="4"/>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2">
  <r>
    <x v="0"/>
    <n v="5.5"/>
  </r>
  <r>
    <x v="1"/>
    <n v="4.5"/>
  </r>
  <r>
    <x v="2"/>
    <n v="11"/>
  </r>
  <r>
    <x v="2"/>
    <n v="15"/>
  </r>
  <r>
    <x v="2"/>
    <n v="15"/>
  </r>
  <r>
    <x v="2"/>
    <n v="15"/>
  </r>
  <r>
    <x v="2"/>
    <n v="15"/>
  </r>
  <r>
    <x v="2"/>
    <n v="7.5"/>
  </r>
  <r>
    <x v="2"/>
    <n v="15"/>
  </r>
  <r>
    <x v="2"/>
    <n v="15"/>
  </r>
  <r>
    <x v="2"/>
    <n v="15"/>
  </r>
  <r>
    <x v="2"/>
    <n v="15"/>
  </r>
  <r>
    <x v="2"/>
    <n v="15"/>
  </r>
  <r>
    <x v="2"/>
    <n v="15"/>
  </r>
  <r>
    <x v="2"/>
    <n v="15"/>
  </r>
  <r>
    <x v="2"/>
    <n v="5.5"/>
  </r>
  <r>
    <x v="2"/>
    <n v="4"/>
  </r>
  <r>
    <x v="2"/>
    <n v="4"/>
  </r>
  <r>
    <x v="2"/>
    <n v="16.5"/>
  </r>
  <r>
    <x v="2"/>
    <n v="16.5"/>
  </r>
  <r>
    <x v="2"/>
    <n v="5.5"/>
  </r>
  <r>
    <x v="2"/>
    <n v="4"/>
  </r>
  <r>
    <x v="3"/>
    <n v="6.5"/>
  </r>
  <r>
    <x v="3"/>
    <n v="6.5"/>
  </r>
  <r>
    <x v="3"/>
    <n v="6.5"/>
  </r>
  <r>
    <x v="3"/>
    <n v="6.5"/>
  </r>
  <r>
    <x v="4"/>
    <n v="4"/>
  </r>
  <r>
    <x v="5"/>
    <n v="5.5"/>
  </r>
  <r>
    <x v="0"/>
    <n v="6.5"/>
  </r>
  <r>
    <x v="0"/>
    <n v="6.5"/>
  </r>
  <r>
    <x v="0"/>
    <n v="5.5"/>
  </r>
  <r>
    <x v="6"/>
    <n v="7"/>
  </r>
  <r>
    <x v="6"/>
    <n v="6.5"/>
  </r>
  <r>
    <x v="7"/>
    <n v="4"/>
  </r>
  <r>
    <x v="7"/>
    <n v="4"/>
  </r>
  <r>
    <x v="7"/>
    <n v="6.5"/>
  </r>
  <r>
    <x v="7"/>
    <n v="6.5"/>
  </r>
  <r>
    <x v="7"/>
    <n v="6.5"/>
  </r>
  <r>
    <x v="7"/>
    <n v="6.5"/>
  </r>
  <r>
    <x v="8"/>
    <n v="5"/>
  </r>
  <r>
    <x v="8"/>
    <n v="5"/>
  </r>
  <r>
    <x v="8"/>
    <n v="3"/>
  </r>
  <r>
    <x v="8"/>
    <n v="3"/>
  </r>
  <r>
    <x v="8"/>
    <n v="5"/>
  </r>
  <r>
    <x v="8"/>
    <n v="5"/>
  </r>
  <r>
    <x v="8"/>
    <n v="5"/>
  </r>
  <r>
    <x v="8"/>
    <n v="4"/>
  </r>
  <r>
    <x v="8"/>
    <n v="4"/>
  </r>
  <r>
    <x v="8"/>
    <n v="4"/>
  </r>
  <r>
    <x v="9"/>
    <n v="4"/>
  </r>
  <r>
    <x v="10"/>
    <n v="8.5"/>
  </r>
  <r>
    <x v="10"/>
    <n v="25"/>
  </r>
  <r>
    <x v="10"/>
    <n v="19"/>
  </r>
  <r>
    <x v="10"/>
    <n v="14"/>
  </r>
  <r>
    <x v="11"/>
    <n v="23"/>
  </r>
  <r>
    <x v="11"/>
    <n v="9"/>
  </r>
  <r>
    <x v="11"/>
    <n v="9"/>
  </r>
  <r>
    <x v="12"/>
    <n v="3.5"/>
  </r>
  <r>
    <x v="13"/>
    <n v="8"/>
  </r>
  <r>
    <x v="13"/>
    <n v="5"/>
  </r>
  <r>
    <x v="13"/>
    <n v="5"/>
  </r>
  <r>
    <x v="13"/>
    <n v="3"/>
  </r>
  <r>
    <x v="13"/>
    <n v="4"/>
  </r>
  <r>
    <x v="13"/>
    <n v="4"/>
  </r>
  <r>
    <x v="14"/>
    <n v="5.5"/>
  </r>
  <r>
    <x v="14"/>
    <n v="3.5"/>
  </r>
  <r>
    <x v="15"/>
    <n v="7.5"/>
  </r>
  <r>
    <x v="15"/>
    <n v="7.5"/>
  </r>
  <r>
    <x v="15"/>
    <n v="7.5"/>
  </r>
  <r>
    <x v="15"/>
    <n v="7.5"/>
  </r>
  <r>
    <x v="15"/>
    <n v="7.5"/>
  </r>
  <r>
    <x v="15"/>
    <n v="2"/>
  </r>
  <r>
    <x v="16"/>
    <n v="4"/>
  </r>
  <r>
    <x v="16"/>
    <n v="5"/>
  </r>
  <r>
    <x v="16"/>
    <n v="5"/>
  </r>
  <r>
    <x v="17"/>
    <n v="7.5"/>
  </r>
  <r>
    <x v="17"/>
    <n v="7.5"/>
  </r>
  <r>
    <x v="17"/>
    <n v="7.5"/>
  </r>
  <r>
    <x v="17"/>
    <n v="7.5"/>
  </r>
  <r>
    <x v="17"/>
    <n v="7.5"/>
  </r>
  <r>
    <x v="17"/>
    <n v="7.5"/>
  </r>
  <r>
    <x v="17"/>
    <n v="11"/>
  </r>
  <r>
    <x v="17"/>
    <n v="5.5"/>
  </r>
  <r>
    <x v="17"/>
    <n v="15.5"/>
  </r>
  <r>
    <x v="17"/>
    <n v="15.5"/>
  </r>
  <r>
    <x v="18"/>
    <n v="6.5"/>
  </r>
  <r>
    <x v="18"/>
    <n v="6.5"/>
  </r>
  <r>
    <x v="18"/>
    <n v="6.5"/>
  </r>
  <r>
    <x v="18"/>
    <n v="6.5"/>
  </r>
  <r>
    <x v="18"/>
    <n v="6.5"/>
  </r>
  <r>
    <x v="19"/>
    <n v="4.5"/>
  </r>
  <r>
    <x v="19"/>
    <n v="4.5"/>
  </r>
  <r>
    <x v="19"/>
    <n v="5.5"/>
  </r>
  <r>
    <x v="20"/>
    <n v="6.5"/>
  </r>
  <r>
    <x v="20"/>
    <n v="6.5"/>
  </r>
  <r>
    <x v="21"/>
    <n v="3"/>
  </r>
  <r>
    <x v="22"/>
    <n v="23"/>
  </r>
  <r>
    <x v="22"/>
    <n v="17.5"/>
  </r>
  <r>
    <x v="22"/>
    <n v="11"/>
  </r>
  <r>
    <x v="22"/>
    <n v="5.5"/>
  </r>
  <r>
    <x v="1"/>
    <n v="4.5"/>
  </r>
  <r>
    <x v="23"/>
    <n v="8"/>
  </r>
  <r>
    <x v="23"/>
    <n v="8"/>
  </r>
  <r>
    <x v="23"/>
    <n v="8"/>
  </r>
  <r>
    <x v="23"/>
    <n v="8"/>
  </r>
  <r>
    <x v="23"/>
    <n v="8"/>
  </r>
  <r>
    <x v="24"/>
    <n v="5"/>
  </r>
  <r>
    <x v="25"/>
    <n v="5"/>
  </r>
  <r>
    <x v="25"/>
    <n v="11"/>
  </r>
  <r>
    <x v="25"/>
    <n v="5.5"/>
  </r>
  <r>
    <x v="25"/>
    <n v="5.5"/>
  </r>
  <r>
    <x v="25"/>
    <n v="11"/>
  </r>
  <r>
    <x v="25"/>
    <n v="10.5"/>
  </r>
  <r>
    <x v="25"/>
    <n v="10.5"/>
  </r>
  <r>
    <x v="25"/>
    <n v="10.5"/>
  </r>
  <r>
    <x v="25"/>
    <n v="5.5"/>
  </r>
  <r>
    <x v="25"/>
    <n v="5.5"/>
  </r>
  <r>
    <x v="26"/>
    <n v="4"/>
  </r>
  <r>
    <x v="26"/>
    <n v="4"/>
  </r>
  <r>
    <x v="26"/>
    <n v="4"/>
  </r>
  <r>
    <x v="27"/>
    <n v="8"/>
  </r>
  <r>
    <x v="28"/>
    <n v="14"/>
  </r>
  <r>
    <x v="28"/>
    <n v="14"/>
  </r>
  <r>
    <x v="28"/>
    <n v="8"/>
  </r>
  <r>
    <x v="28"/>
    <n v="5.5"/>
  </r>
  <r>
    <x v="28"/>
    <n v="5.5"/>
  </r>
  <r>
    <x v="28"/>
    <n v="5.5"/>
  </r>
  <r>
    <x v="28"/>
    <n v="5.5"/>
  </r>
  <r>
    <x v="28"/>
    <n v="5.5"/>
  </r>
  <r>
    <x v="28"/>
    <n v="3"/>
  </r>
  <r>
    <x v="29"/>
    <n v="5.5"/>
  </r>
  <r>
    <x v="29"/>
    <n v="5.5"/>
  </r>
  <r>
    <x v="30"/>
    <n v="6"/>
  </r>
  <r>
    <x v="30"/>
    <n v="4"/>
  </r>
  <r>
    <x v="30"/>
    <n v="5.5"/>
  </r>
  <r>
    <x v="30"/>
    <n v="5.5"/>
  </r>
  <r>
    <x v="30"/>
    <n v="4"/>
  </r>
  <r>
    <x v="31"/>
    <n v="5.5"/>
  </r>
  <r>
    <x v="31"/>
    <n v="5.5"/>
  </r>
  <r>
    <x v="31"/>
    <n v="5.5"/>
  </r>
  <r>
    <x v="32"/>
    <n v="8"/>
  </r>
  <r>
    <x v="32"/>
    <n v="8"/>
  </r>
  <r>
    <x v="32"/>
    <n v="8"/>
  </r>
  <r>
    <x v="32"/>
    <n v="8"/>
  </r>
  <r>
    <x v="32"/>
    <n v="8"/>
  </r>
  <r>
    <x v="32"/>
    <n v="4"/>
  </r>
  <r>
    <x v="32"/>
    <n v="4"/>
  </r>
  <r>
    <x v="32"/>
    <n v="9"/>
  </r>
  <r>
    <x v="32"/>
    <n v="9"/>
  </r>
  <r>
    <x v="32"/>
    <n v="4"/>
  </r>
  <r>
    <x v="32"/>
    <n v="15.5"/>
  </r>
  <r>
    <x v="32"/>
    <n v="15.5"/>
  </r>
  <r>
    <x v="32"/>
    <n v="10.5"/>
  </r>
  <r>
    <x v="33"/>
    <n v="5"/>
  </r>
  <r>
    <x v="33"/>
    <n v="5"/>
  </r>
  <r>
    <x v="34"/>
    <n v="3"/>
  </r>
  <r>
    <x v="35"/>
    <n v="5"/>
  </r>
  <r>
    <x v="35"/>
    <n v="5"/>
  </r>
  <r>
    <x v="36"/>
    <n v="6"/>
  </r>
  <r>
    <x v="37"/>
    <n v="4"/>
  </r>
  <r>
    <x v="37"/>
    <n v="4"/>
  </r>
  <r>
    <x v="38"/>
    <n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2">
  <r>
    <x v="0"/>
    <n v="5.5"/>
  </r>
  <r>
    <x v="1"/>
    <n v="4.5"/>
  </r>
  <r>
    <x v="2"/>
    <n v="11"/>
  </r>
  <r>
    <x v="2"/>
    <n v="15"/>
  </r>
  <r>
    <x v="2"/>
    <n v="15"/>
  </r>
  <r>
    <x v="2"/>
    <n v="15"/>
  </r>
  <r>
    <x v="2"/>
    <n v="15"/>
  </r>
  <r>
    <x v="2"/>
    <n v="7.5"/>
  </r>
  <r>
    <x v="2"/>
    <n v="15"/>
  </r>
  <r>
    <x v="2"/>
    <n v="15"/>
  </r>
  <r>
    <x v="2"/>
    <n v="15"/>
  </r>
  <r>
    <x v="2"/>
    <n v="15"/>
  </r>
  <r>
    <x v="2"/>
    <n v="15"/>
  </r>
  <r>
    <x v="2"/>
    <n v="15"/>
  </r>
  <r>
    <x v="2"/>
    <n v="15"/>
  </r>
  <r>
    <x v="2"/>
    <n v="5.5"/>
  </r>
  <r>
    <x v="2"/>
    <n v="4"/>
  </r>
  <r>
    <x v="2"/>
    <n v="4"/>
  </r>
  <r>
    <x v="2"/>
    <n v="16.5"/>
  </r>
  <r>
    <x v="2"/>
    <n v="16.5"/>
  </r>
  <r>
    <x v="2"/>
    <n v="5.5"/>
  </r>
  <r>
    <x v="2"/>
    <n v="4"/>
  </r>
  <r>
    <x v="3"/>
    <n v="6.5"/>
  </r>
  <r>
    <x v="3"/>
    <n v="6.5"/>
  </r>
  <r>
    <x v="3"/>
    <n v="6.5"/>
  </r>
  <r>
    <x v="3"/>
    <n v="6.5"/>
  </r>
  <r>
    <x v="4"/>
    <n v="4"/>
  </r>
  <r>
    <x v="5"/>
    <n v="5.5"/>
  </r>
  <r>
    <x v="0"/>
    <n v="6.5"/>
  </r>
  <r>
    <x v="0"/>
    <n v="6.5"/>
  </r>
  <r>
    <x v="0"/>
    <n v="5.5"/>
  </r>
  <r>
    <x v="6"/>
    <n v="7"/>
  </r>
  <r>
    <x v="6"/>
    <n v="6.5"/>
  </r>
  <r>
    <x v="7"/>
    <n v="4"/>
  </r>
  <r>
    <x v="7"/>
    <n v="4"/>
  </r>
  <r>
    <x v="7"/>
    <n v="6.5"/>
  </r>
  <r>
    <x v="7"/>
    <n v="6.5"/>
  </r>
  <r>
    <x v="7"/>
    <n v="6.5"/>
  </r>
  <r>
    <x v="7"/>
    <n v="6.5"/>
  </r>
  <r>
    <x v="8"/>
    <n v="5"/>
  </r>
  <r>
    <x v="8"/>
    <n v="5"/>
  </r>
  <r>
    <x v="8"/>
    <n v="3"/>
  </r>
  <r>
    <x v="8"/>
    <n v="3"/>
  </r>
  <r>
    <x v="8"/>
    <n v="5"/>
  </r>
  <r>
    <x v="8"/>
    <n v="5"/>
  </r>
  <r>
    <x v="8"/>
    <n v="5"/>
  </r>
  <r>
    <x v="8"/>
    <n v="4"/>
  </r>
  <r>
    <x v="8"/>
    <n v="4"/>
  </r>
  <r>
    <x v="8"/>
    <n v="4"/>
  </r>
  <r>
    <x v="9"/>
    <n v="4"/>
  </r>
  <r>
    <x v="10"/>
    <n v="8.5"/>
  </r>
  <r>
    <x v="10"/>
    <n v="25"/>
  </r>
  <r>
    <x v="10"/>
    <n v="19"/>
  </r>
  <r>
    <x v="10"/>
    <n v="14"/>
  </r>
  <r>
    <x v="11"/>
    <n v="23"/>
  </r>
  <r>
    <x v="11"/>
    <n v="9"/>
  </r>
  <r>
    <x v="11"/>
    <n v="9"/>
  </r>
  <r>
    <x v="12"/>
    <n v="3.5"/>
  </r>
  <r>
    <x v="13"/>
    <n v="8"/>
  </r>
  <r>
    <x v="13"/>
    <n v="5"/>
  </r>
  <r>
    <x v="13"/>
    <n v="5"/>
  </r>
  <r>
    <x v="13"/>
    <n v="3"/>
  </r>
  <r>
    <x v="13"/>
    <n v="4"/>
  </r>
  <r>
    <x v="13"/>
    <n v="4"/>
  </r>
  <r>
    <x v="14"/>
    <n v="5.5"/>
  </r>
  <r>
    <x v="14"/>
    <n v="3.5"/>
  </r>
  <r>
    <x v="15"/>
    <n v="7.5"/>
  </r>
  <r>
    <x v="15"/>
    <n v="7.5"/>
  </r>
  <r>
    <x v="15"/>
    <n v="7.5"/>
  </r>
  <r>
    <x v="15"/>
    <n v="7.5"/>
  </r>
  <r>
    <x v="15"/>
    <n v="7.5"/>
  </r>
  <r>
    <x v="15"/>
    <n v="2"/>
  </r>
  <r>
    <x v="15"/>
    <n v="4"/>
  </r>
  <r>
    <x v="15"/>
    <n v="5"/>
  </r>
  <r>
    <x v="15"/>
    <n v="5"/>
  </r>
  <r>
    <x v="16"/>
    <n v="7.5"/>
  </r>
  <r>
    <x v="16"/>
    <n v="7.5"/>
  </r>
  <r>
    <x v="16"/>
    <n v="7.5"/>
  </r>
  <r>
    <x v="16"/>
    <n v="7.5"/>
  </r>
  <r>
    <x v="16"/>
    <n v="7.5"/>
  </r>
  <r>
    <x v="16"/>
    <n v="7.5"/>
  </r>
  <r>
    <x v="16"/>
    <n v="11"/>
  </r>
  <r>
    <x v="16"/>
    <n v="5.5"/>
  </r>
  <r>
    <x v="16"/>
    <n v="15.5"/>
  </r>
  <r>
    <x v="16"/>
    <n v="15.5"/>
  </r>
  <r>
    <x v="17"/>
    <n v="6.5"/>
  </r>
  <r>
    <x v="17"/>
    <n v="6.5"/>
  </r>
  <r>
    <x v="17"/>
    <n v="6.5"/>
  </r>
  <r>
    <x v="17"/>
    <n v="6.5"/>
  </r>
  <r>
    <x v="17"/>
    <n v="6.5"/>
  </r>
  <r>
    <x v="18"/>
    <n v="4.5"/>
  </r>
  <r>
    <x v="18"/>
    <n v="4.5"/>
  </r>
  <r>
    <x v="18"/>
    <n v="5.5"/>
  </r>
  <r>
    <x v="19"/>
    <n v="6.5"/>
  </r>
  <r>
    <x v="19"/>
    <n v="6.5"/>
  </r>
  <r>
    <x v="19"/>
    <n v="3"/>
  </r>
  <r>
    <x v="20"/>
    <n v="23"/>
  </r>
  <r>
    <x v="20"/>
    <n v="17.5"/>
  </r>
  <r>
    <x v="20"/>
    <n v="11"/>
  </r>
  <r>
    <x v="20"/>
    <n v="5.5"/>
  </r>
  <r>
    <x v="1"/>
    <n v="4.5"/>
  </r>
  <r>
    <x v="21"/>
    <n v="8"/>
  </r>
  <r>
    <x v="21"/>
    <n v="8"/>
  </r>
  <r>
    <x v="21"/>
    <n v="8"/>
  </r>
  <r>
    <x v="21"/>
    <n v="8"/>
  </r>
  <r>
    <x v="21"/>
    <n v="8"/>
  </r>
  <r>
    <x v="22"/>
    <n v="5"/>
  </r>
  <r>
    <x v="22"/>
    <n v="5"/>
  </r>
  <r>
    <x v="22"/>
    <n v="11"/>
  </r>
  <r>
    <x v="22"/>
    <n v="5.5"/>
  </r>
  <r>
    <x v="22"/>
    <n v="5.5"/>
  </r>
  <r>
    <x v="22"/>
    <n v="11"/>
  </r>
  <r>
    <x v="22"/>
    <n v="10.5"/>
  </r>
  <r>
    <x v="22"/>
    <n v="10.5"/>
  </r>
  <r>
    <x v="22"/>
    <n v="10.5"/>
  </r>
  <r>
    <x v="22"/>
    <n v="5.5"/>
  </r>
  <r>
    <x v="22"/>
    <n v="5.5"/>
  </r>
  <r>
    <x v="23"/>
    <n v="4"/>
  </r>
  <r>
    <x v="23"/>
    <n v="4"/>
  </r>
  <r>
    <x v="23"/>
    <n v="4"/>
  </r>
  <r>
    <x v="24"/>
    <n v="8"/>
  </r>
  <r>
    <x v="22"/>
    <n v="14"/>
  </r>
  <r>
    <x v="22"/>
    <n v="14"/>
  </r>
  <r>
    <x v="22"/>
    <n v="8"/>
  </r>
  <r>
    <x v="22"/>
    <n v="5.5"/>
  </r>
  <r>
    <x v="22"/>
    <n v="5.5"/>
  </r>
  <r>
    <x v="22"/>
    <n v="5.5"/>
  </r>
  <r>
    <x v="22"/>
    <n v="5.5"/>
  </r>
  <r>
    <x v="22"/>
    <n v="5.5"/>
  </r>
  <r>
    <x v="22"/>
    <n v="3"/>
  </r>
  <r>
    <x v="25"/>
    <n v="5.5"/>
  </r>
  <r>
    <x v="25"/>
    <n v="5.5"/>
  </r>
  <r>
    <x v="26"/>
    <n v="6"/>
  </r>
  <r>
    <x v="26"/>
    <n v="4"/>
  </r>
  <r>
    <x v="26"/>
    <n v="5.5"/>
  </r>
  <r>
    <x v="26"/>
    <n v="5.5"/>
  </r>
  <r>
    <x v="26"/>
    <n v="4"/>
  </r>
  <r>
    <x v="27"/>
    <n v="5.5"/>
  </r>
  <r>
    <x v="27"/>
    <n v="5.5"/>
  </r>
  <r>
    <x v="27"/>
    <n v="5.5"/>
  </r>
  <r>
    <x v="28"/>
    <n v="8"/>
  </r>
  <r>
    <x v="28"/>
    <n v="8"/>
  </r>
  <r>
    <x v="28"/>
    <n v="8"/>
  </r>
  <r>
    <x v="28"/>
    <n v="8"/>
  </r>
  <r>
    <x v="28"/>
    <n v="8"/>
  </r>
  <r>
    <x v="28"/>
    <n v="4"/>
  </r>
  <r>
    <x v="28"/>
    <n v="4"/>
  </r>
  <r>
    <x v="28"/>
    <n v="9"/>
  </r>
  <r>
    <x v="28"/>
    <n v="9"/>
  </r>
  <r>
    <x v="28"/>
    <n v="4"/>
  </r>
  <r>
    <x v="28"/>
    <n v="15.5"/>
  </r>
  <r>
    <x v="28"/>
    <n v="15.5"/>
  </r>
  <r>
    <x v="28"/>
    <n v="10.5"/>
  </r>
  <r>
    <x v="29"/>
    <n v="5"/>
  </r>
  <r>
    <x v="29"/>
    <n v="5"/>
  </r>
  <r>
    <x v="29"/>
    <n v="3"/>
  </r>
  <r>
    <x v="29"/>
    <n v="5"/>
  </r>
  <r>
    <x v="29"/>
    <n v="5"/>
  </r>
  <r>
    <x v="30"/>
    <n v="6"/>
  </r>
  <r>
    <x v="31"/>
    <n v="4"/>
  </r>
  <r>
    <x v="31"/>
    <n v="4"/>
  </r>
  <r>
    <x v="32"/>
    <n v="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
  <r>
    <x v="0"/>
    <s v="MSRC Classes"/>
    <d v="1899-12-30T07:45:00"/>
    <d v="1899-12-30T14:00:00"/>
    <n v="5.75"/>
    <n v="0.5"/>
    <n v="5521"/>
    <n v="7.75"/>
    <x v="0"/>
  </r>
  <r>
    <x v="1"/>
    <s v="MSRC Classes"/>
    <d v="1899-12-30T07:45:00"/>
    <d v="1899-12-30T14:00:00"/>
    <n v="5.75"/>
    <n v="0.5"/>
    <m/>
    <n v="7.75"/>
    <x v="1"/>
  </r>
  <r>
    <x v="1"/>
    <s v="MSRC Classes"/>
    <d v="1899-12-30T17:00:00"/>
    <d v="1899-12-30T21:30:00"/>
    <n v="4.5"/>
    <m/>
    <m/>
    <n v="6.5"/>
    <x v="1"/>
  </r>
  <r>
    <x v="2"/>
    <s v="MSRC Classes"/>
    <d v="1899-12-30T07:45:00"/>
    <d v="1899-12-30T14:00:00"/>
    <n v="5.75"/>
    <n v="0.5"/>
    <m/>
    <n v="7.75"/>
    <x v="1"/>
  </r>
  <r>
    <x v="3"/>
    <s v="MSRC Classes"/>
    <d v="1899-12-30T07:45:00"/>
    <d v="1899-12-30T14:00:00"/>
    <n v="5.75"/>
    <n v="0.5"/>
    <m/>
    <n v="7.75"/>
    <x v="1"/>
  </r>
  <r>
    <x v="4"/>
    <s v="MCC Classes"/>
    <d v="1899-12-30T08:00:00"/>
    <d v="1899-12-30T11:00:00"/>
    <n v="3"/>
    <m/>
    <m/>
    <n v="3"/>
    <x v="1"/>
  </r>
  <r>
    <x v="4"/>
    <s v="MSRC Classes"/>
    <d v="1899-12-30T08:00:00"/>
    <d v="1899-12-30T12:00:00"/>
    <n v="4"/>
    <m/>
    <m/>
    <n v="4"/>
    <x v="1"/>
  </r>
  <r>
    <x v="4"/>
    <s v="MCC Rental"/>
    <d v="1899-12-30T14:00:00"/>
    <d v="1899-12-30T00:30:00"/>
    <n v="9.5"/>
    <n v="1"/>
    <m/>
    <n v="9.5"/>
    <x v="1"/>
  </r>
  <r>
    <x v="4"/>
    <s v="MSRC Rental"/>
    <d v="1899-12-30T14:00:00"/>
    <d v="1899-12-30T22:00:00"/>
    <n v="7.4999999999999982"/>
    <n v="0.5"/>
    <m/>
    <n v="7.4999999999999982"/>
    <x v="1"/>
  </r>
  <r>
    <x v="5"/>
    <s v="MSRC Rental"/>
    <d v="1899-12-30T10:00:00"/>
    <d v="1899-12-30T17:00:00"/>
    <n v="6.5"/>
    <n v="0.5"/>
    <m/>
    <n v="6.5"/>
    <x v="1"/>
  </r>
  <r>
    <x v="6"/>
    <s v="MSRC Classes"/>
    <d v="1899-12-30T07:45:00"/>
    <d v="1899-12-30T14:00:00"/>
    <n v="5.75"/>
    <n v="0.5"/>
    <m/>
    <n v="7.75"/>
    <x v="1"/>
  </r>
  <r>
    <x v="7"/>
    <s v="MSRC Classes"/>
    <d v="1899-12-30T07:45:00"/>
    <d v="1899-12-30T14:00:00"/>
    <n v="5.75"/>
    <n v="0.5"/>
    <m/>
    <n v="7.75"/>
    <x v="1"/>
  </r>
  <r>
    <x v="8"/>
    <s v="MSRC Classes"/>
    <d v="1899-12-30T07:45:00"/>
    <d v="1899-12-30T14:00:00"/>
    <n v="5.75"/>
    <n v="0.5"/>
    <m/>
    <n v="7.75"/>
    <x v="1"/>
  </r>
  <r>
    <x v="8"/>
    <s v="MSRC Classes"/>
    <d v="1899-12-30T17:00:00"/>
    <d v="1899-12-30T21:30:00"/>
    <n v="4.5"/>
    <m/>
    <m/>
    <n v="6.5"/>
    <x v="1"/>
  </r>
  <r>
    <x v="9"/>
    <s v="MSRC Classes"/>
    <d v="1899-12-30T07:45:00"/>
    <d v="1899-12-30T14:00:00"/>
    <n v="5.75"/>
    <n v="0.5"/>
    <m/>
    <n v="7.75"/>
    <x v="1"/>
  </r>
  <r>
    <x v="9"/>
    <s v="MSRC Classes"/>
    <d v="1899-12-30T18:00:00"/>
    <d v="1899-12-30T23:00:00"/>
    <n v="5.0000000000000009"/>
    <m/>
    <m/>
    <n v="7.0000000000000009"/>
    <x v="1"/>
  </r>
  <r>
    <x v="10"/>
    <s v="MSRC Classes"/>
    <d v="1899-12-30T07:45:00"/>
    <d v="1899-12-30T14:00:00"/>
    <n v="5.75"/>
    <n v="0.5"/>
    <m/>
    <n v="7.75"/>
    <x v="1"/>
  </r>
  <r>
    <x v="10"/>
    <s v="MCC Internal"/>
    <d v="1899-12-30T14:00:00"/>
    <d v="1899-12-30T00:00:00"/>
    <n v="9"/>
    <n v="1"/>
    <m/>
    <n v="11"/>
    <x v="1"/>
  </r>
  <r>
    <x v="11"/>
    <s v="MSRC Classes"/>
    <d v="1899-12-30T08:00:00"/>
    <d v="1899-12-30T12:00:00"/>
    <n v="4"/>
    <m/>
    <m/>
    <n v="4"/>
    <x v="1"/>
  </r>
  <r>
    <x v="11"/>
    <s v="MCC Rental"/>
    <d v="1899-12-30T09:30:00"/>
    <d v="1899-12-30T17:30:00"/>
    <n v="7.5"/>
    <n v="0.5"/>
    <m/>
    <n v="7.5"/>
    <x v="1"/>
  </r>
  <r>
    <x v="11"/>
    <s v="CRAC Rental"/>
    <d v="1899-12-30T11:00:00"/>
    <d v="1899-12-30T22:00:00"/>
    <n v="10"/>
    <n v="1"/>
    <m/>
    <n v="10"/>
    <x v="1"/>
  </r>
  <r>
    <x v="11"/>
    <s v="MSRC Rental"/>
    <d v="1899-12-30T12:30:00"/>
    <d v="1899-12-30T19:00:00"/>
    <n v="5.9999999999999982"/>
    <n v="0.5"/>
    <m/>
    <n v="5.9999999999999982"/>
    <x v="1"/>
  </r>
  <r>
    <x v="12"/>
    <s v="MSRC Rental"/>
    <d v="1899-12-30T08:00:00"/>
    <d v="1899-12-30T16:00:00"/>
    <n v="7.5"/>
    <n v="0.5"/>
    <m/>
    <n v="7.5"/>
    <x v="1"/>
  </r>
  <r>
    <x v="12"/>
    <s v="MCC Rental"/>
    <d v="1899-12-30T11:00:00"/>
    <d v="1899-12-30T18:00:00"/>
    <n v="6.5"/>
    <n v="0.5"/>
    <m/>
    <n v="6.5"/>
    <x v="1"/>
  </r>
  <r>
    <x v="13"/>
    <s v="MSRC Classes"/>
    <d v="1899-12-30T07:45:00"/>
    <d v="1899-12-30T14:00:00"/>
    <n v="5.75"/>
    <n v="0.5"/>
    <m/>
    <n v="7.75"/>
    <x v="1"/>
  </r>
  <r>
    <x v="14"/>
    <s v="MSRC Classes"/>
    <d v="1899-12-30T07:45:00"/>
    <d v="1899-12-30T14:00:00"/>
    <n v="5.75"/>
    <n v="0.5"/>
    <m/>
    <n v="7.75"/>
    <x v="1"/>
  </r>
  <r>
    <x v="14"/>
    <s v="MSRC Rental"/>
    <d v="1899-12-30T16:00:00"/>
    <d v="1899-12-30T21:30:00"/>
    <n v="5.5000000000000018"/>
    <m/>
    <m/>
    <n v="7.5000000000000018"/>
    <x v="1"/>
  </r>
  <r>
    <x v="14"/>
    <s v="MCC Rental"/>
    <d v="1899-12-30T17:00:00"/>
    <d v="1899-12-30T21:00:00"/>
    <n v="3.9999999999999991"/>
    <m/>
    <m/>
    <n v="5.9999999999999991"/>
    <x v="1"/>
  </r>
  <r>
    <x v="15"/>
    <s v="MSRC Classes"/>
    <d v="1899-12-30T07:45:00"/>
    <d v="1899-12-30T14:00:00"/>
    <n v="5.75"/>
    <n v="0.5"/>
    <m/>
    <n v="7.75"/>
    <x v="1"/>
  </r>
  <r>
    <x v="15"/>
    <s v="MSRC Classes"/>
    <d v="1899-12-30T18:00:00"/>
    <d v="1899-12-30T22:30:00"/>
    <n v="4.5"/>
    <m/>
    <m/>
    <n v="6.5"/>
    <x v="1"/>
  </r>
  <r>
    <x v="16"/>
    <s v="MSRC Classes"/>
    <d v="1899-12-30T07:45:00"/>
    <d v="1899-12-30T14:00:00"/>
    <n v="5.75"/>
    <n v="0.5"/>
    <m/>
    <n v="7.75"/>
    <x v="1"/>
  </r>
  <r>
    <x v="17"/>
    <s v="MSRC Classes"/>
    <d v="1899-12-30T08:00:00"/>
    <d v="1899-12-30T12:00:00"/>
    <n v="4"/>
    <m/>
    <m/>
    <n v="4"/>
    <x v="1"/>
  </r>
  <r>
    <x v="17"/>
    <s v="MCC Rental"/>
    <d v="1899-12-30T11:00:00"/>
    <d v="1899-12-30T18:00:00"/>
    <n v="6.5"/>
    <n v="0.5"/>
    <m/>
    <n v="6.5"/>
    <x v="1"/>
  </r>
  <r>
    <x v="17"/>
    <s v="MSRC Rental"/>
    <d v="1899-12-30T13:00:00"/>
    <d v="1899-12-30T22:00:00"/>
    <n v="8"/>
    <n v="1"/>
    <m/>
    <n v="8"/>
    <x v="1"/>
  </r>
  <r>
    <x v="18"/>
    <s v="MSRC Rental"/>
    <d v="1899-12-30T07:00:00"/>
    <d v="1899-12-30T14:00:00"/>
    <n v="6.5"/>
    <n v="0.5"/>
    <m/>
    <n v="6.5"/>
    <x v="1"/>
  </r>
  <r>
    <x v="19"/>
    <s v="MSRC Classes"/>
    <d v="1899-12-30T07:45:00"/>
    <d v="1899-12-30T14:00:00"/>
    <n v="5.75"/>
    <n v="0.5"/>
    <m/>
    <n v="7.75"/>
    <x v="1"/>
  </r>
  <r>
    <x v="20"/>
    <s v="MSRC Classes"/>
    <d v="1899-12-30T07:45:00"/>
    <d v="1899-12-30T14:00:00"/>
    <n v="5.75"/>
    <n v="0.5"/>
    <m/>
    <n v="7.75"/>
    <x v="1"/>
  </r>
  <r>
    <x v="21"/>
    <s v="MSRC Classes"/>
    <d v="1899-12-30T07:45:00"/>
    <d v="1899-12-30T14:00:00"/>
    <n v="5.75"/>
    <n v="0.5"/>
    <m/>
    <n v="7.75"/>
    <x v="1"/>
  </r>
  <r>
    <x v="21"/>
    <s v="MSRC Classes"/>
    <d v="1899-12-30T17:00:00"/>
    <d v="1899-12-30T21:30:00"/>
    <n v="4.5"/>
    <m/>
    <m/>
    <n v="6.5"/>
    <x v="1"/>
  </r>
  <r>
    <x v="22"/>
    <s v="MSRC Classes"/>
    <d v="1899-12-30T07:45:00"/>
    <d v="1899-12-30T14:00:00"/>
    <n v="5.75"/>
    <n v="0.5"/>
    <m/>
    <n v="7.75"/>
    <x v="1"/>
  </r>
  <r>
    <x v="22"/>
    <s v="MSRC Classes"/>
    <d v="1899-12-30T18:00:00"/>
    <d v="1899-12-30T22:30:00"/>
    <n v="4.5"/>
    <m/>
    <m/>
    <n v="6.5"/>
    <x v="1"/>
  </r>
  <r>
    <x v="23"/>
    <s v="MSRC Classes"/>
    <d v="1899-12-30T07:45:00"/>
    <d v="1899-12-30T14:00:00"/>
    <n v="5.75"/>
    <n v="0.5"/>
    <m/>
    <n v="7.75"/>
    <x v="1"/>
  </r>
  <r>
    <x v="23"/>
    <s v="MCC Rental"/>
    <d v="1899-12-30T15:00:00"/>
    <d v="1899-12-30T22:00:00"/>
    <n v="6.4999999999999991"/>
    <n v="0.5"/>
    <m/>
    <n v="8.5"/>
    <x v="1"/>
  </r>
  <r>
    <x v="23"/>
    <s v="MSRC Rental"/>
    <d v="1899-12-30T15:45:00"/>
    <d v="1899-12-30T01:00:00"/>
    <n v="8.25"/>
    <n v="1"/>
    <m/>
    <n v="10.25"/>
    <x v="1"/>
  </r>
  <r>
    <x v="24"/>
    <s v="MSRC Classes"/>
    <d v="1899-12-30T08:00:00"/>
    <d v="1899-12-30T12:00:00"/>
    <n v="4"/>
    <m/>
    <m/>
    <n v="4"/>
    <x v="1"/>
  </r>
  <r>
    <x v="24"/>
    <s v="MSRC Rental"/>
    <d v="1899-12-30T13:00:00"/>
    <d v="1899-12-30T20:30:00"/>
    <n v="7"/>
    <n v="0.5"/>
    <m/>
    <n v="7"/>
    <x v="1"/>
  </r>
  <r>
    <x v="25"/>
    <s v="MSRC Rental"/>
    <d v="1899-12-30T10:00:00"/>
    <d v="1899-12-30T17:00:00"/>
    <n v="6.5"/>
    <n v="0.5"/>
    <m/>
    <n v="6.5"/>
    <x v="1"/>
  </r>
  <r>
    <x v="26"/>
    <s v="MSRC Classes"/>
    <d v="1899-12-30T07:45:00"/>
    <d v="1899-12-30T14:00:00"/>
    <n v="5.75"/>
    <n v="0.5"/>
    <m/>
    <n v="7.75"/>
    <x v="1"/>
  </r>
  <r>
    <x v="26"/>
    <s v="MCC Classes"/>
    <d v="1899-12-30T16:30:00"/>
    <d v="1899-12-30T20:30:00"/>
    <n v="3.9999999999999991"/>
    <m/>
    <m/>
    <n v="5.9999999999999991"/>
    <x v="1"/>
  </r>
  <r>
    <x v="27"/>
    <s v="MSRC Classes"/>
    <d v="1899-12-30T07:45:00"/>
    <d v="1899-12-30T14:00:00"/>
    <n v="5.75"/>
    <n v="0.5"/>
    <m/>
    <n v="7.75"/>
    <x v="1"/>
  </r>
  <r>
    <x v="27"/>
    <s v="MSRC Classes"/>
    <d v="1899-12-30T17:00:00"/>
    <d v="1899-12-30T22:30:00"/>
    <n v="5.4999999999999991"/>
    <m/>
    <m/>
    <n v="7.4999999999999991"/>
    <x v="1"/>
  </r>
  <r>
    <x v="28"/>
    <s v="MSRC Classes"/>
    <d v="1899-12-30T07:45:00"/>
    <d v="1899-12-30T14:00:00"/>
    <n v="5.75"/>
    <n v="0.5"/>
    <m/>
    <n v="7.75"/>
    <x v="1"/>
  </r>
  <r>
    <x v="28"/>
    <s v="MSRC Classes"/>
    <d v="1899-12-30T17:00:00"/>
    <d v="1899-12-30T21:30:00"/>
    <n v="4.5"/>
    <m/>
    <m/>
    <n v="6.5"/>
    <x v="1"/>
  </r>
  <r>
    <x v="29"/>
    <s v="MSRC Classes"/>
    <d v="1899-12-30T07:45:00"/>
    <d v="1899-12-30T14:00:00"/>
    <n v="5.75"/>
    <n v="0.5"/>
    <n v="5521"/>
    <n v="7.75"/>
    <x v="1"/>
  </r>
  <r>
    <x v="29"/>
    <s v="MSRC Classes"/>
    <d v="1899-12-30T18:30:00"/>
    <d v="1899-12-30T22:30:00"/>
    <n v="3.9999999999999991"/>
    <m/>
    <m/>
    <n v="5.9999999999999991"/>
    <x v="1"/>
  </r>
  <r>
    <x v="30"/>
    <s v="MSRC Classes"/>
    <d v="1899-12-30T07:45:00"/>
    <d v="1899-12-30T14:00:00"/>
    <n v="5.75"/>
    <n v="0.5"/>
    <m/>
    <n v="7.75"/>
    <x v="1"/>
  </r>
  <r>
    <x v="31"/>
    <s v="MSRC Classes"/>
    <d v="1899-12-30T07:45:00"/>
    <d v="1899-12-30T14:00:00"/>
    <n v="5.75"/>
    <n v="0.5"/>
    <m/>
    <n v="7.75"/>
    <x v="1"/>
  </r>
  <r>
    <x v="32"/>
    <s v="MSRC Classes"/>
    <d v="1899-12-30T07:45:00"/>
    <d v="1899-12-30T14:00:00"/>
    <n v="5.75"/>
    <n v="0.5"/>
    <m/>
    <n v="7.75"/>
    <x v="1"/>
  </r>
  <r>
    <x v="33"/>
    <s v="MSRC Classes"/>
    <d v="1899-12-30T07:45:00"/>
    <d v="1899-12-30T14:00:00"/>
    <n v="5.75"/>
    <n v="0.5"/>
    <m/>
    <n v="7.75"/>
    <x v="1"/>
  </r>
  <r>
    <x v="33"/>
    <s v="MSRC Classes"/>
    <d v="1899-12-30T16:30:00"/>
    <d v="1899-12-30T21:00:00"/>
    <n v="4.5"/>
    <m/>
    <m/>
    <n v="6.5"/>
    <x v="1"/>
  </r>
  <r>
    <x v="33"/>
    <s v="MCC Classes"/>
    <d v="1899-12-30T17:00:00"/>
    <d v="1899-12-30T21:30:00"/>
    <n v="4.5"/>
    <m/>
    <m/>
    <n v="6.5"/>
    <x v="1"/>
  </r>
  <r>
    <x v="34"/>
    <s v="MSRC Classes"/>
    <d v="1899-12-30T07:45:00"/>
    <d v="1899-12-30T14:00:00"/>
    <n v="5.75"/>
    <n v="0.5"/>
    <m/>
    <n v="7.75"/>
    <x v="1"/>
  </r>
  <r>
    <x v="34"/>
    <s v="MSRC Classes"/>
    <d v="1899-12-30T18:30:00"/>
    <d v="1899-12-30T22:00:00"/>
    <n v="3.4999999999999982"/>
    <m/>
    <m/>
    <n v="5.4999999999999982"/>
    <x v="1"/>
  </r>
  <r>
    <x v="35"/>
    <s v="MSRC Classes"/>
    <d v="1899-12-30T07:45:00"/>
    <d v="1899-12-30T14:00:00"/>
    <n v="5.75"/>
    <n v="0.5"/>
    <m/>
    <n v="7.75"/>
    <x v="1"/>
  </r>
  <r>
    <x v="35"/>
    <s v="MCC Rental"/>
    <d v="1899-12-30T18:00:00"/>
    <d v="1899-12-30T22:00:00"/>
    <n v="3.9999999999999991"/>
    <m/>
    <m/>
    <n v="5.9999999999999991"/>
    <x v="1"/>
  </r>
  <r>
    <x v="35"/>
    <s v="MSRC Rental"/>
    <d v="1899-12-30T18:00:00"/>
    <d v="1899-12-30T23:00:00"/>
    <n v="5.0000000000000009"/>
    <m/>
    <m/>
    <n v="7.0000000000000009"/>
    <x v="1"/>
  </r>
  <r>
    <x v="36"/>
    <s v="MCC Classes"/>
    <d v="1899-12-30T08:00:00"/>
    <d v="1899-12-30T14:00:00"/>
    <n v="5.5000000000000018"/>
    <n v="0.5"/>
    <m/>
    <n v="5.5000000000000018"/>
    <x v="1"/>
  </r>
  <r>
    <x v="36"/>
    <s v="MSRC Classes"/>
    <d v="1899-12-30T08:00:00"/>
    <d v="1899-12-30T17:00:00"/>
    <n v="8.0000000000000018"/>
    <n v="1"/>
    <m/>
    <n v="8.0000000000000018"/>
    <x v="1"/>
  </r>
  <r>
    <x v="36"/>
    <s v="CRAC Classes"/>
    <d v="1899-12-30T08:00:00"/>
    <d v="1899-12-30T12:00:00"/>
    <n v="4"/>
    <m/>
    <m/>
    <n v="4"/>
    <x v="1"/>
  </r>
  <r>
    <x v="36"/>
    <s v="MCC Rental"/>
    <d v="1899-12-30T15:00:00"/>
    <d v="1899-12-30T01:00:00"/>
    <n v="9"/>
    <n v="1"/>
    <m/>
    <n v="9"/>
    <x v="1"/>
  </r>
  <r>
    <x v="36"/>
    <s v="MSRC Rental"/>
    <d v="1899-12-30T17:00:00"/>
    <d v="1899-12-30T00:00:00"/>
    <n v="6.4999999999999991"/>
    <n v="0.5"/>
    <m/>
    <n v="6.4999999999999991"/>
    <x v="1"/>
  </r>
  <r>
    <x v="37"/>
    <s v="MCC Rental"/>
    <d v="1899-12-30T07:30:00"/>
    <d v="1899-12-30T19:00:00"/>
    <n v="10.5"/>
    <n v="1"/>
    <m/>
    <n v="10.5"/>
    <x v="1"/>
  </r>
  <r>
    <x v="38"/>
    <s v="MSRC Classes"/>
    <d v="1899-12-30T07:45:00"/>
    <d v="1899-12-30T14:00:00"/>
    <n v="5.75"/>
    <n v="0.5"/>
    <m/>
    <n v="7.75"/>
    <x v="1"/>
  </r>
  <r>
    <x v="39"/>
    <s v="MSRC Classes"/>
    <d v="1899-12-30T07:45:00"/>
    <d v="1899-12-30T14:00:00"/>
    <n v="5.75"/>
    <n v="0.5"/>
    <m/>
    <n v="7.75"/>
    <x v="1"/>
  </r>
  <r>
    <x v="39"/>
    <s v="AD Classes"/>
    <d v="1899-12-30T15:00:00"/>
    <d v="1899-12-30T17:30:00"/>
    <n v="2.4999999999999991"/>
    <m/>
    <m/>
    <n v="4.4999999999999991"/>
    <x v="1"/>
  </r>
  <r>
    <x v="40"/>
    <s v="MSRC Classes"/>
    <d v="1899-12-30T07:45:00"/>
    <d v="1899-12-30T14:00:00"/>
    <n v="5.75"/>
    <n v="0.5"/>
    <m/>
    <n v="7.75"/>
    <x v="1"/>
  </r>
  <r>
    <x v="40"/>
    <s v="MCC Classes"/>
    <d v="1899-12-30T17:00:00"/>
    <d v="1899-12-30T21:30:00"/>
    <n v="4.5"/>
    <m/>
    <m/>
    <n v="6.5"/>
    <x v="1"/>
  </r>
  <r>
    <x v="41"/>
    <s v="MSRC Classes"/>
    <d v="1899-12-30T07:45:00"/>
    <d v="1899-12-30T14:00:00"/>
    <n v="5.75"/>
    <n v="0.5"/>
    <m/>
    <n v="7.75"/>
    <x v="1"/>
  </r>
  <r>
    <x v="41"/>
    <s v="MSRC Classes"/>
    <d v="1899-12-30T18:00:00"/>
    <d v="1899-12-30T22:00:00"/>
    <n v="3.9999999999999991"/>
    <m/>
    <m/>
    <n v="5.9999999999999991"/>
    <x v="1"/>
  </r>
  <r>
    <x v="42"/>
    <s v="MSRC Classes"/>
    <d v="1899-12-30T07:45:00"/>
    <d v="1899-12-30T14:00:00"/>
    <n v="5.75"/>
    <n v="0.5"/>
    <m/>
    <n v="7.75"/>
    <x v="1"/>
  </r>
  <r>
    <x v="42"/>
    <s v="MSRC Rental"/>
    <d v="1899-12-30T18:00:00"/>
    <d v="1899-12-30T23:00:00"/>
    <n v="5.0000000000000009"/>
    <m/>
    <m/>
    <n v="7.0000000000000009"/>
    <x v="1"/>
  </r>
  <r>
    <x v="43"/>
    <s v="MSRC Classes"/>
    <d v="1899-12-30T08:00:00"/>
    <d v="1899-12-30T12:00:00"/>
    <n v="4"/>
    <m/>
    <m/>
    <n v="4"/>
    <x v="1"/>
  </r>
  <r>
    <x v="43"/>
    <s v="MCC Classes"/>
    <d v="1899-12-30T09:00:00"/>
    <d v="1899-12-30T13:00:00"/>
    <n v="3.9999999999999991"/>
    <m/>
    <m/>
    <n v="3.9999999999999991"/>
    <x v="1"/>
  </r>
  <r>
    <x v="43"/>
    <s v="MSRC Rental"/>
    <d v="1899-12-30T12:00:00"/>
    <d v="1899-12-30T19:30:00"/>
    <n v="7"/>
    <n v="0.5"/>
    <m/>
    <n v="7"/>
    <x v="1"/>
  </r>
  <r>
    <x v="43"/>
    <s v="AD Rental"/>
    <d v="1899-12-30T13:00:00"/>
    <d v="1899-12-30T20:00:00"/>
    <n v="6.5000000000000018"/>
    <n v="0.5"/>
    <m/>
    <n v="6.5000000000000018"/>
    <x v="1"/>
  </r>
  <r>
    <x v="43"/>
    <s v="MCC Rental"/>
    <d v="1899-12-30T15:00:00"/>
    <d v="1899-12-30T23:00:00"/>
    <n v="7.5"/>
    <n v="0.5"/>
    <m/>
    <n v="7.5"/>
    <x v="1"/>
  </r>
  <r>
    <x v="44"/>
    <s v="MCC Rental"/>
    <d v="1899-12-30T11:00:00"/>
    <d v="1899-12-30T21:00:00"/>
    <n v="9"/>
    <n v="1"/>
    <m/>
    <n v="9"/>
    <x v="1"/>
  </r>
  <r>
    <x v="44"/>
    <s v="MSRC Rental"/>
    <d v="1899-12-30T16:00:00"/>
    <d v="1899-12-30T20:30:00"/>
    <n v="4.5"/>
    <m/>
    <m/>
    <n v="4.5"/>
    <x v="1"/>
  </r>
  <r>
    <x v="45"/>
    <s v="MSRC Classes"/>
    <d v="1899-12-30T07:45:00"/>
    <d v="1899-12-30T14:00:00"/>
    <n v="5.75"/>
    <n v="0.5"/>
    <m/>
    <n v="7.75"/>
    <x v="1"/>
  </r>
  <r>
    <x v="46"/>
    <s v="MSRC Classes"/>
    <d v="1899-12-30T07:45:00"/>
    <d v="1899-12-30T14:00:00"/>
    <n v="5.75"/>
    <n v="0.5"/>
    <m/>
    <n v="7.75"/>
    <x v="1"/>
  </r>
  <r>
    <x v="46"/>
    <s v="MCC Classes"/>
    <d v="1899-12-30T17:00:00"/>
    <d v="1899-12-30T21:30:00"/>
    <n v="4.5"/>
    <m/>
    <m/>
    <n v="6.5"/>
    <x v="1"/>
  </r>
  <r>
    <x v="47"/>
    <s v="MSRC Classes"/>
    <d v="1899-12-30T07:45:00"/>
    <d v="1899-12-30T14:00:00"/>
    <n v="5.75"/>
    <n v="0.5"/>
    <m/>
    <n v="7.75"/>
    <x v="1"/>
  </r>
  <r>
    <x v="47"/>
    <s v="MSRC Classes"/>
    <d v="1899-12-30T15:00:00"/>
    <d v="1899-12-30T23:00:00"/>
    <n v="7"/>
    <n v="1"/>
    <m/>
    <n v="9"/>
    <x v="1"/>
  </r>
  <r>
    <x v="47"/>
    <s v="MCC Classes"/>
    <d v="1899-12-30T18:30:00"/>
    <d v="1899-12-30T22:30:00"/>
    <n v="3.9999999999999991"/>
    <m/>
    <m/>
    <n v="5.9999999999999991"/>
    <x v="1"/>
  </r>
  <r>
    <x v="48"/>
    <s v="MSRC Classes"/>
    <d v="1899-12-30T07:45:00"/>
    <d v="1899-12-30T14:00:00"/>
    <n v="5.75"/>
    <n v="0.5"/>
    <m/>
    <n v="7.75"/>
    <x v="1"/>
  </r>
  <r>
    <x v="48"/>
    <s v="MSRC Rental"/>
    <d v="1899-12-30T18:00:00"/>
    <d v="1899-12-30T23:00:00"/>
    <n v="5.0000000000000009"/>
    <m/>
    <m/>
    <n v="7.0000000000000009"/>
    <x v="1"/>
  </r>
  <r>
    <x v="49"/>
    <s v="MSRC Classes"/>
    <d v="1899-12-30T08:00:00"/>
    <d v="1899-12-30T12:00:00"/>
    <n v="4"/>
    <m/>
    <m/>
    <n v="4"/>
    <x v="1"/>
  </r>
  <r>
    <x v="49"/>
    <s v="MCC Rental"/>
    <d v="1899-12-30T09:30:00"/>
    <d v="1899-12-30T15:30:00"/>
    <n v="5.5000000000000018"/>
    <n v="0.5"/>
    <m/>
    <n v="5.5000000000000018"/>
    <x v="1"/>
  </r>
  <r>
    <x v="49"/>
    <s v="MSRC Rental"/>
    <d v="1899-12-30T16:30:00"/>
    <d v="1899-12-30T22:30:00"/>
    <n v="5.5"/>
    <n v="0.5"/>
    <m/>
    <n v="5.5"/>
    <x v="1"/>
  </r>
  <r>
    <x v="50"/>
    <s v="MCC Rental"/>
    <d v="1899-12-30T13:00:00"/>
    <d v="1899-12-30T00:00:00"/>
    <n v="10"/>
    <n v="1"/>
    <m/>
    <n v="10"/>
    <x v="1"/>
  </r>
  <r>
    <x v="51"/>
    <s v="MSRC Classes"/>
    <d v="1899-12-30T07:45:00"/>
    <d v="1899-12-30T14:00:00"/>
    <n v="5.75"/>
    <n v="0.5"/>
    <m/>
    <n v="7.75"/>
    <x v="1"/>
  </r>
  <r>
    <x v="51"/>
    <s v="MSRC Classes"/>
    <d v="1899-12-30T17:30:00"/>
    <d v="1899-12-30T22:00:00"/>
    <n v="4.5"/>
    <m/>
    <m/>
    <n v="6.5"/>
    <x v="1"/>
  </r>
  <r>
    <x v="52"/>
    <s v="MSRC Classes"/>
    <d v="1899-12-30T07:45:00"/>
    <d v="1899-12-30T14:00:00"/>
    <n v="5.75"/>
    <n v="0.5"/>
    <m/>
    <n v="7.75"/>
    <x v="1"/>
  </r>
  <r>
    <x v="52"/>
    <s v="AD Classes"/>
    <d v="1899-12-30T15:00:00"/>
    <d v="1899-12-30T17:30:00"/>
    <n v="2.4999999999999991"/>
    <m/>
    <m/>
    <n v="4.4999999999999991"/>
    <x v="1"/>
  </r>
  <r>
    <x v="53"/>
    <s v="MSRC Classes"/>
    <d v="1899-12-30T07:45:00"/>
    <d v="1899-12-30T14:00:00"/>
    <n v="5.75"/>
    <n v="0.5"/>
    <m/>
    <n v="7.75"/>
    <x v="1"/>
  </r>
  <r>
    <x v="53"/>
    <s v="MCC Classes"/>
    <d v="1899-12-30T16:30:00"/>
    <d v="1899-12-30T21:30:00"/>
    <n v="5.0000000000000009"/>
    <m/>
    <m/>
    <n v="7.0000000000000009"/>
    <x v="1"/>
  </r>
  <r>
    <x v="54"/>
    <s v="MCC Classes"/>
    <d v="1899-12-30T17:00:00"/>
    <d v="1899-12-30T23:00:00"/>
    <n v="5.5"/>
    <n v="0.5"/>
    <m/>
    <n v="7.5"/>
    <x v="1"/>
  </r>
  <r>
    <x v="54"/>
    <s v="MSRC Classes"/>
    <d v="1899-12-30T18:30:00"/>
    <d v="1899-12-30T22:30:00"/>
    <n v="3.9999999999999991"/>
    <m/>
    <m/>
    <n v="5.9999999999999991"/>
    <x v="1"/>
  </r>
  <r>
    <x v="55"/>
    <s v="MSRC Classes"/>
    <d v="1899-12-30T07:45:00"/>
    <d v="1899-12-30T14:00:00"/>
    <n v="5.75"/>
    <n v="0.5"/>
    <n v="5521"/>
    <n v="7.75"/>
    <x v="1"/>
  </r>
  <r>
    <x v="55"/>
    <s v="MCC Classes"/>
    <d v="1899-12-30T16:30:00"/>
    <d v="1899-12-30T23:30:00"/>
    <n v="6.4999999999999991"/>
    <n v="0.5"/>
    <m/>
    <n v="8.5"/>
    <x v="1"/>
  </r>
  <r>
    <x v="55"/>
    <s v="MSRC Classes"/>
    <d v="1899-12-30T18:30:00"/>
    <d v="1899-12-30T23:00:00"/>
    <n v="4.5"/>
    <m/>
    <m/>
    <n v="6.5"/>
    <x v="1"/>
  </r>
  <r>
    <x v="56"/>
    <s v="MSRC Classes"/>
    <d v="1899-12-30T08:00:00"/>
    <d v="1899-12-30T12:00:00"/>
    <n v="4"/>
    <m/>
    <m/>
    <n v="4"/>
    <x v="1"/>
  </r>
  <r>
    <x v="56"/>
    <s v="AD Rental"/>
    <d v="1899-12-30T11:00:00"/>
    <d v="1899-12-30T17:00:00"/>
    <n v="5.5000000000000018"/>
    <n v="0.5"/>
    <m/>
    <n v="5.5000000000000018"/>
    <x v="1"/>
  </r>
  <r>
    <x v="56"/>
    <s v="MSRC Rental"/>
    <d v="1899-12-30T12:00:00"/>
    <d v="1899-12-30T19:00:00"/>
    <n v="6.4999999999999991"/>
    <n v="0.5"/>
    <m/>
    <n v="6.4999999999999991"/>
    <x v="1"/>
  </r>
  <r>
    <x v="57"/>
    <s v="MSRC Classes"/>
    <d v="1899-12-30T07:45:00"/>
    <d v="1899-12-30T14:00:00"/>
    <n v="5.75"/>
    <n v="0.5"/>
    <m/>
    <n v="7.75"/>
    <x v="1"/>
  </r>
  <r>
    <x v="58"/>
    <s v="MSRC Classes"/>
    <d v="1899-12-30T07:45:00"/>
    <d v="1899-12-30T14:00:00"/>
    <n v="5.75"/>
    <n v="0.5"/>
    <m/>
    <n v="7.75"/>
    <x v="1"/>
  </r>
  <r>
    <x v="58"/>
    <s v="MSRC Classes"/>
    <d v="1899-12-30T17:00:00"/>
    <d v="1899-12-30T21:00:00"/>
    <n v="3.9999999999999991"/>
    <m/>
    <m/>
    <n v="5.9999999999999991"/>
    <x v="1"/>
  </r>
  <r>
    <x v="59"/>
    <s v="MSRC Classes"/>
    <d v="1899-12-30T09:00:00"/>
    <d v="1899-12-30T14:00:00"/>
    <n v="5.0000000000000009"/>
    <m/>
    <m/>
    <n v="7.0000000000000009"/>
    <x v="1"/>
  </r>
  <r>
    <x v="59"/>
    <s v="MSRC Classes"/>
    <d v="1899-12-30T16:30:00"/>
    <d v="1899-12-30T21:30:00"/>
    <n v="5.0000000000000009"/>
    <m/>
    <m/>
    <n v="7.0000000000000009"/>
    <x v="1"/>
  </r>
  <r>
    <x v="60"/>
    <s v="MSRC Classes"/>
    <d v="1899-12-30T07:45:00"/>
    <d v="1899-12-30T14:00:00"/>
    <n v="5.75"/>
    <n v="0.5"/>
    <m/>
    <n v="7.75"/>
    <x v="1"/>
  </r>
  <r>
    <x v="60"/>
    <s v="MSRC Classes"/>
    <d v="1899-12-30T18:30:00"/>
    <d v="1899-12-30T22:30:00"/>
    <n v="3.9999999999999991"/>
    <m/>
    <m/>
    <n v="5.9999999999999991"/>
    <x v="1"/>
  </r>
  <r>
    <x v="61"/>
    <s v="MSRC Classes"/>
    <d v="1899-12-30T07:45:00"/>
    <d v="1899-12-30T14:00:00"/>
    <n v="5.75"/>
    <n v="0.5"/>
    <m/>
    <n v="7.75"/>
    <x v="1"/>
  </r>
  <r>
    <x v="61"/>
    <s v="MSRC Rental"/>
    <d v="1899-12-30T18:00:00"/>
    <d v="1899-12-30T23:00:00"/>
    <n v="5.0000000000000009"/>
    <m/>
    <m/>
    <n v="7.0000000000000009"/>
    <x v="1"/>
  </r>
  <r>
    <x v="62"/>
    <s v="MSRC Classes"/>
    <d v="1899-12-30T08:00:00"/>
    <d v="1899-12-30T12:00:00"/>
    <n v="4"/>
    <m/>
    <m/>
    <n v="4"/>
    <x v="1"/>
  </r>
  <r>
    <x v="62"/>
    <s v="AD Rental"/>
    <d v="1899-12-30T12:00:00"/>
    <d v="1899-12-30T19:00:00"/>
    <n v="6.4999999999999991"/>
    <n v="0.5"/>
    <m/>
    <n v="6.4999999999999991"/>
    <x v="1"/>
  </r>
  <r>
    <x v="62"/>
    <s v="MSRC Rental"/>
    <d v="1899-12-30T12:00:00"/>
    <d v="1899-12-30T01:00:00"/>
    <n v="12.000000000000002"/>
    <n v="1"/>
    <m/>
    <n v="12.000000000000002"/>
    <x v="1"/>
  </r>
  <r>
    <x v="62"/>
    <s v="MCC Rental"/>
    <d v="1899-12-30T14:00:00"/>
    <d v="1899-12-30T20:00:00"/>
    <n v="5.5"/>
    <n v="0.5"/>
    <m/>
    <n v="5.5"/>
    <x v="1"/>
  </r>
  <r>
    <x v="62"/>
    <s v="CRAC Rental"/>
    <d v="1899-12-30T15:00:00"/>
    <d v="1899-12-30T01:00:00"/>
    <n v="9"/>
    <n v="1"/>
    <m/>
    <n v="9"/>
    <x v="1"/>
  </r>
  <r>
    <x v="63"/>
    <s v="MSRC Rental"/>
    <d v="1899-12-30T10:00:00"/>
    <d v="1899-12-30T20:30:00"/>
    <n v="6"/>
    <n v="0.5"/>
    <m/>
    <n v="6"/>
    <x v="2"/>
  </r>
  <r>
    <x v="64"/>
    <s v="MSRC Classes"/>
    <d v="1899-12-30T11:00:00"/>
    <d v="1899-12-30T14:00:00"/>
    <n v="3.0000000000000013"/>
    <m/>
    <m/>
    <n v="5.0000000000000018"/>
    <x v="1"/>
  </r>
  <r>
    <x v="64"/>
    <s v="MCC Internal"/>
    <d v="1899-12-30T16:30:00"/>
    <d v="1899-12-30T22:00:00"/>
    <n v="5.4999999999999991"/>
    <m/>
    <m/>
    <n v="7.4999999999999991"/>
    <x v="1"/>
  </r>
  <r>
    <x v="65"/>
    <s v="MSRC Classes"/>
    <d v="1899-12-30T09:00:00"/>
    <d v="1899-12-30T14:00:00"/>
    <n v="5.0000000000000009"/>
    <m/>
    <m/>
    <n v="7.0000000000000009"/>
    <x v="1"/>
  </r>
  <r>
    <x v="66"/>
    <s v="MSRC Classes"/>
    <d v="1899-12-30T07:45:00"/>
    <d v="1899-12-30T14:00:00"/>
    <n v="5.75"/>
    <n v="0.5"/>
    <m/>
    <n v="7.75"/>
    <x v="1"/>
  </r>
  <r>
    <x v="66"/>
    <s v="MCC Classes"/>
    <d v="1899-12-30T16:30:00"/>
    <d v="1899-12-30T21:30:00"/>
    <n v="5.0000000000000009"/>
    <m/>
    <m/>
    <n v="7.0000000000000009"/>
    <x v="1"/>
  </r>
  <r>
    <x v="67"/>
    <s v="MCC Rental"/>
    <d v="1899-12-30T07:00:00"/>
    <d v="1899-12-30T14:00:00"/>
    <n v="7"/>
    <m/>
    <m/>
    <n v="9"/>
    <x v="1"/>
  </r>
  <r>
    <x v="67"/>
    <s v="MSRC Classes"/>
    <d v="1899-12-30T07:45:00"/>
    <d v="1899-12-30T14:00:00"/>
    <n v="5.75"/>
    <n v="0.5"/>
    <m/>
    <n v="7.75"/>
    <x v="1"/>
  </r>
  <r>
    <x v="67"/>
    <s v="MCC Rental"/>
    <d v="1899-12-30T17:00:00"/>
    <d v="1899-12-30T19:30:00"/>
    <n v="2.4999999999999991"/>
    <m/>
    <m/>
    <n v="4.4999999999999991"/>
    <x v="1"/>
  </r>
  <r>
    <x v="67"/>
    <s v="MSRC Classes"/>
    <d v="1899-12-30T18:30:00"/>
    <d v="1899-12-30T22:30:00"/>
    <n v="3.9999999999999991"/>
    <m/>
    <m/>
    <n v="5.9999999999999991"/>
    <x v="1"/>
  </r>
  <r>
    <x v="68"/>
    <s v="MSRC Classes"/>
    <d v="1899-12-30T07:45:00"/>
    <d v="1899-12-30T14:00:00"/>
    <n v="5.75"/>
    <n v="0.5"/>
    <m/>
    <n v="7.75"/>
    <x v="1"/>
  </r>
  <r>
    <x v="68"/>
    <s v="MCC Internal"/>
    <d v="1899-12-30T13:00:00"/>
    <d v="1899-12-30T22:00:00"/>
    <n v="8"/>
    <n v="1"/>
    <m/>
    <n v="10"/>
    <x v="1"/>
  </r>
  <r>
    <x v="68"/>
    <s v="MSRC Rental"/>
    <d v="1899-12-30T18:00:00"/>
    <d v="1899-12-30T23:00:00"/>
    <n v="5.0000000000000009"/>
    <m/>
    <m/>
    <n v="7.0000000000000009"/>
    <x v="1"/>
  </r>
  <r>
    <x v="69"/>
    <s v="MSRC Classes"/>
    <d v="1899-12-30T08:00:00"/>
    <d v="1899-12-30T12:00:00"/>
    <n v="4"/>
    <m/>
    <m/>
    <n v="4"/>
    <x v="1"/>
  </r>
  <r>
    <x v="69"/>
    <s v="MCC Rental"/>
    <d v="1899-12-30T11:00:00"/>
    <d v="1899-12-30T01:00:00"/>
    <n v="13"/>
    <n v="1"/>
    <m/>
    <n v="13"/>
    <x v="1"/>
  </r>
  <r>
    <x v="69"/>
    <s v="CRAC Rental"/>
    <d v="1899-12-30T12:00:00"/>
    <d v="1899-12-30T19:00:00"/>
    <n v="6.4999999999999991"/>
    <n v="0.5"/>
    <m/>
    <n v="6.4999999999999991"/>
    <x v="1"/>
  </r>
  <r>
    <x v="69"/>
    <s v="MSRC Rental"/>
    <d v="1899-12-30T14:00:00"/>
    <d v="1899-12-30T23:00:00"/>
    <n v="8"/>
    <n v="1"/>
    <m/>
    <n v="8"/>
    <x v="1"/>
  </r>
  <r>
    <x v="70"/>
    <s v="MSRC Rental"/>
    <d v="1899-12-30T10:00:00"/>
    <d v="1899-12-30T22:00:00"/>
    <n v="10.999999999999998"/>
    <n v="1"/>
    <m/>
    <n v="10.999999999999998"/>
    <x v="1"/>
  </r>
  <r>
    <x v="70"/>
    <s v="MCC Rental"/>
    <d v="1899-12-30T11:00:00"/>
    <d v="1899-12-30T21:00:00"/>
    <n v="9"/>
    <n v="1"/>
    <m/>
    <n v="9"/>
    <x v="1"/>
  </r>
  <r>
    <x v="71"/>
    <s v="MSRC Classes"/>
    <d v="1899-12-30T07:45:00"/>
    <d v="1899-12-30T14:00:00"/>
    <n v="5.75"/>
    <n v="0.5"/>
    <m/>
    <n v="7.75"/>
    <x v="1"/>
  </r>
  <r>
    <x v="72"/>
    <s v="MSRC Classes"/>
    <d v="1899-12-30T07:45:00"/>
    <d v="1899-12-30T14:00:00"/>
    <n v="5.75"/>
    <n v="0.5"/>
    <m/>
    <n v="7.75"/>
    <x v="1"/>
  </r>
  <r>
    <x v="73"/>
    <s v="MSRC Classes"/>
    <d v="1899-12-30T07:45:00"/>
    <d v="1899-12-30T14:00:00"/>
    <n v="5.75"/>
    <n v="0.5"/>
    <m/>
    <n v="7.75"/>
    <x v="1"/>
  </r>
  <r>
    <x v="73"/>
    <s v="MCC Rental"/>
    <d v="1899-12-30T17:00:00"/>
    <d v="1899-12-30T22:00:00"/>
    <n v="4.9999999999999982"/>
    <m/>
    <m/>
    <n v="6.9999999999999982"/>
    <x v="1"/>
  </r>
  <r>
    <x v="74"/>
    <s v="MSRC Classes"/>
    <d v="1899-12-30T07:45:00"/>
    <d v="1899-12-30T14:00:00"/>
    <n v="5.75"/>
    <n v="0.5"/>
    <m/>
    <n v="7.75"/>
    <x v="1"/>
  </r>
  <r>
    <x v="74"/>
    <s v="MCC Classes"/>
    <d v="1899-12-30T16:30:00"/>
    <d v="1899-12-30T18:30:00"/>
    <n v="2.0000000000000009"/>
    <m/>
    <m/>
    <n v="4.0000000000000009"/>
    <x v="1"/>
  </r>
  <r>
    <x v="74"/>
    <s v="MSRC Classes"/>
    <d v="1899-12-30T18:30:00"/>
    <d v="1899-12-30T22:30:00"/>
    <n v="3.9999999999999991"/>
    <m/>
    <m/>
    <n v="5.9999999999999991"/>
    <x v="1"/>
  </r>
  <r>
    <x v="75"/>
    <s v="MSRC Classes"/>
    <d v="1899-12-30T07:45:00"/>
    <d v="1899-12-30T14:00:00"/>
    <n v="5.75"/>
    <n v="0.5"/>
    <m/>
    <n v="7.75"/>
    <x v="1"/>
  </r>
  <r>
    <x v="75"/>
    <s v="MSRC Rental"/>
    <d v="1899-12-30T18:00:00"/>
    <d v="1899-12-30T23:00:00"/>
    <n v="5.0000000000000009"/>
    <m/>
    <m/>
    <n v="7.0000000000000009"/>
    <x v="1"/>
  </r>
  <r>
    <x v="76"/>
    <s v="MSRC Classes"/>
    <d v="1899-12-30T08:00:00"/>
    <d v="1899-12-30T12:00:00"/>
    <n v="4"/>
    <m/>
    <m/>
    <n v="4"/>
    <x v="1"/>
  </r>
  <r>
    <x v="76"/>
    <s v="AD Rental"/>
    <d v="1899-12-30T14:30:00"/>
    <d v="1899-12-30T20:30:00"/>
    <n v="5.5"/>
    <n v="0.5"/>
    <m/>
    <n v="5.5"/>
    <x v="1"/>
  </r>
  <r>
    <x v="76"/>
    <s v="MSRC Rental"/>
    <d v="1899-12-30T18:00:00"/>
    <d v="1899-12-30T23:00:00"/>
    <n v="5.0000000000000009"/>
    <m/>
    <m/>
    <n v="5.0000000000000009"/>
    <x v="1"/>
  </r>
  <r>
    <x v="77"/>
    <s v="MCC Rental"/>
    <d v="1899-12-30T08:00:00"/>
    <d v="1899-12-30T16:00:00"/>
    <n v="8"/>
    <m/>
    <m/>
    <n v="8"/>
    <x v="1"/>
  </r>
  <r>
    <x v="78"/>
    <s v="MSRC Classes"/>
    <d v="1899-12-30T07:45:00"/>
    <d v="1899-12-30T14:00:00"/>
    <n v="5.75"/>
    <n v="0.5"/>
    <m/>
    <n v="7.75"/>
    <x v="1"/>
  </r>
  <r>
    <x v="79"/>
    <s v="MSRC Classes"/>
    <d v="1899-12-30T07:45:00"/>
    <d v="1899-12-30T14:00:00"/>
    <n v="5.75"/>
    <n v="0.5"/>
    <m/>
    <n v="7.75"/>
    <x v="1"/>
  </r>
  <r>
    <x v="79"/>
    <s v="MSRC Classes"/>
    <d v="1899-12-30T17:00:00"/>
    <d v="1899-12-30T21:00:00"/>
    <n v="3.9999999999999991"/>
    <m/>
    <m/>
    <n v="5.9999999999999991"/>
    <x v="1"/>
  </r>
  <r>
    <x v="80"/>
    <s v="MSRC Classes"/>
    <d v="1899-12-30T07:45:00"/>
    <d v="1899-12-30T14:00:00"/>
    <n v="5.75"/>
    <n v="0.5"/>
    <m/>
    <n v="7.75"/>
    <x v="1"/>
  </r>
  <r>
    <x v="80"/>
    <s v="MCC Classes"/>
    <d v="1899-12-30T17:00:00"/>
    <d v="1899-12-30T21:30:00"/>
    <n v="4.5"/>
    <m/>
    <m/>
    <n v="6.5"/>
    <x v="1"/>
  </r>
  <r>
    <x v="81"/>
    <s v="MSRC Classes"/>
    <d v="1899-12-30T07:45:00"/>
    <d v="1899-12-30T14:00:00"/>
    <n v="5.75"/>
    <n v="0.5"/>
    <m/>
    <n v="7.75"/>
    <x v="1"/>
  </r>
  <r>
    <x v="81"/>
    <s v="MCC Rental"/>
    <d v="1899-12-30T16:30:00"/>
    <d v="1899-12-30T00:00:00"/>
    <n v="7"/>
    <n v="0.5"/>
    <m/>
    <n v="9"/>
    <x v="1"/>
  </r>
  <r>
    <x v="81"/>
    <s v="MSRC Classes"/>
    <d v="1899-12-30T18:30:00"/>
    <d v="1899-12-30T22:30:00"/>
    <n v="3.9999999999999991"/>
    <m/>
    <m/>
    <n v="5.9999999999999991"/>
    <x v="1"/>
  </r>
  <r>
    <x v="82"/>
    <s v="MSRC Classes"/>
    <d v="1899-12-30T07:45:00"/>
    <d v="1899-12-30T14:00:00"/>
    <n v="5.75"/>
    <n v="0.5"/>
    <m/>
    <n v="7.75"/>
    <x v="1"/>
  </r>
  <r>
    <x v="82"/>
    <s v="MSRC Rental"/>
    <d v="1899-12-30T16:30:00"/>
    <d v="1899-12-30T23:00:00"/>
    <n v="6.0000000000000009"/>
    <n v="0.5"/>
    <m/>
    <n v="8"/>
    <x v="1"/>
  </r>
  <r>
    <x v="83"/>
    <s v="MSRC Classes"/>
    <d v="1899-12-30T08:00:00"/>
    <d v="1899-12-30T12:00:00"/>
    <n v="4"/>
    <m/>
    <m/>
    <n v="4"/>
    <x v="1"/>
  </r>
  <r>
    <x v="83"/>
    <s v="CRAC Rental"/>
    <d v="1899-12-30T11:00:00"/>
    <d v="1899-12-30T17:00:00"/>
    <n v="5.5000000000000018"/>
    <n v="0.5"/>
    <m/>
    <n v="5.5000000000000018"/>
    <x v="1"/>
  </r>
  <r>
    <x v="83"/>
    <s v="MSRC Rental"/>
    <d v="1899-12-30T12:00:00"/>
    <d v="1899-12-30T22:00:00"/>
    <n v="9"/>
    <n v="1"/>
    <m/>
    <n v="9"/>
    <x v="1"/>
  </r>
  <r>
    <x v="84"/>
    <s v="MSRC Classes"/>
    <d v="1899-12-30T09:00:00"/>
    <d v="1899-12-30T13:30:00"/>
    <n v="4.5"/>
    <m/>
    <m/>
    <n v="6.5"/>
    <x v="1"/>
  </r>
  <r>
    <x v="85"/>
    <s v="MSRC Classes"/>
    <d v="1899-12-30T08:00:00"/>
    <d v="1899-12-30T14:00:00"/>
    <n v="5.5000000000000018"/>
    <n v="0.5"/>
    <m/>
    <n v="7.5000000000000018"/>
    <x v="1"/>
  </r>
  <r>
    <x v="85"/>
    <s v="MSRC Classes"/>
    <d v="1899-12-30T16:00:00"/>
    <d v="1899-12-30T21:00:00"/>
    <n v="5.0000000000000009"/>
    <m/>
    <m/>
    <n v="7.0000000000000009"/>
    <x v="1"/>
  </r>
  <r>
    <x v="86"/>
    <s v="MSRC Classes"/>
    <d v="1899-12-30T08:00:00"/>
    <d v="1899-12-30T14:00:00"/>
    <n v="5.5000000000000018"/>
    <n v="0.5"/>
    <m/>
    <n v="7.5000000000000018"/>
    <x v="1"/>
  </r>
  <r>
    <x v="86"/>
    <s v="MSRC Classes"/>
    <d v="1899-12-30T18:00:00"/>
    <d v="1899-12-30T22:30:00"/>
    <n v="4.5"/>
    <m/>
    <m/>
    <n v="6.5"/>
    <x v="1"/>
  </r>
  <r>
    <x v="87"/>
    <s v="MSRC Classes"/>
    <d v="1899-12-30T08:00:00"/>
    <d v="1899-12-30T14:00:00"/>
    <n v="5.5000000000000018"/>
    <n v="0.5"/>
    <m/>
    <n v="7.5000000000000018"/>
    <x v="1"/>
  </r>
  <r>
    <x v="87"/>
    <s v="MCC Rental"/>
    <d v="1899-12-30T15:30:00"/>
    <d v="1899-12-30T23:30:00"/>
    <n v="7.4999999999999982"/>
    <n v="0.5"/>
    <m/>
    <n v="9.4999999999999982"/>
    <x v="1"/>
  </r>
  <r>
    <x v="87"/>
    <s v="MSRC Rental"/>
    <d v="1899-12-30T18:00:00"/>
    <d v="1899-12-30T23:00:00"/>
    <n v="5.0000000000000009"/>
    <m/>
    <m/>
    <n v="7.0000000000000009"/>
    <x v="1"/>
  </r>
  <r>
    <x v="88"/>
    <s v="MSRC Classes"/>
    <d v="1899-12-30T08:00:00"/>
    <d v="1899-12-30T12:30:00"/>
    <n v="4.5000000000000018"/>
    <m/>
    <m/>
    <n v="4.5000000000000018"/>
    <x v="1"/>
  </r>
  <r>
    <x v="88"/>
    <s v="MCC Classes"/>
    <d v="1899-12-30T08:00:00"/>
    <d v="1899-12-30T11:00:00"/>
    <n v="3"/>
    <m/>
    <m/>
    <n v="3"/>
    <x v="1"/>
  </r>
  <r>
    <x v="88"/>
    <s v="MSRC Rental"/>
    <d v="1899-12-30T12:30:00"/>
    <d v="1899-12-30T20:00:00"/>
    <n v="7"/>
    <n v="0.5"/>
    <m/>
    <n v="7"/>
    <x v="1"/>
  </r>
  <r>
    <x v="88"/>
    <s v="CRAC Rental"/>
    <d v="1899-12-30T14:00:00"/>
    <d v="1899-12-30T00:00:00"/>
    <n v="9"/>
    <n v="1"/>
    <m/>
    <n v="9"/>
    <x v="1"/>
  </r>
  <r>
    <x v="88"/>
    <s v="MCC Rental"/>
    <d v="1899-12-30T15:00:00"/>
    <d v="1899-12-30T00:30:00"/>
    <n v="8.5"/>
    <n v="1"/>
    <m/>
    <n v="8.5"/>
    <x v="1"/>
  </r>
  <r>
    <x v="89"/>
    <s v="AD Rental"/>
    <d v="1899-12-30T16:00:00"/>
    <d v="1899-12-30T22:00:00"/>
    <n v="5.5"/>
    <n v="0.5"/>
    <m/>
    <n v="5.5"/>
    <x v="1"/>
  </r>
  <r>
    <x v="90"/>
    <s v="MSRC Classes"/>
    <d v="1899-12-30T08:00:00"/>
    <d v="1899-12-30T14:00:00"/>
    <n v="5.5000000000000018"/>
    <n v="0.5"/>
    <m/>
    <n v="7.5000000000000018"/>
    <x v="1"/>
  </r>
  <r>
    <x v="91"/>
    <s v="MSRC Classes"/>
    <d v="1899-12-30T08:00:00"/>
    <d v="1899-12-30T13:30:00"/>
    <n v="5.5"/>
    <m/>
    <m/>
    <n v="7.5"/>
    <x v="1"/>
  </r>
  <r>
    <x v="92"/>
    <s v="MSRC Classes"/>
    <d v="1899-12-30T08:00:00"/>
    <d v="1899-12-30T14:00:00"/>
    <n v="5.5000000000000018"/>
    <n v="0.5"/>
    <m/>
    <n v="7.5000000000000018"/>
    <x v="1"/>
  </r>
  <r>
    <x v="92"/>
    <s v="MCC Classes"/>
    <d v="1899-12-30T16:30:00"/>
    <d v="1899-12-30T21:30:00"/>
    <n v="5.0000000000000009"/>
    <m/>
    <m/>
    <n v="7.0000000000000009"/>
    <x v="1"/>
  </r>
  <r>
    <x v="93"/>
    <s v="MSRC Classes"/>
    <d v="1899-12-30T08:00:00"/>
    <d v="1899-12-30T14:00:00"/>
    <n v="5.5000000000000018"/>
    <n v="0.5"/>
    <m/>
    <n v="7.5000000000000018"/>
    <x v="1"/>
  </r>
  <r>
    <x v="93"/>
    <s v="MSRC Classes"/>
    <d v="1899-12-30T18:00:00"/>
    <d v="1899-12-30T22:30:00"/>
    <n v="4.5"/>
    <m/>
    <m/>
    <n v="6.5"/>
    <x v="1"/>
  </r>
  <r>
    <x v="94"/>
    <s v="MSRC Classes"/>
    <d v="1899-12-30T08:00:00"/>
    <d v="1899-12-30T14:00:00"/>
    <n v="5.5000000000000018"/>
    <n v="0.5"/>
    <m/>
    <n v="7.5000000000000018"/>
    <x v="1"/>
  </r>
  <r>
    <x v="94"/>
    <s v="MCC Rental"/>
    <d v="1899-12-30T17:00:00"/>
    <d v="1899-12-30T01:00:00"/>
    <n v="7.4999999999999982"/>
    <n v="0.5"/>
    <m/>
    <n v="9.4999999999999982"/>
    <x v="1"/>
  </r>
  <r>
    <x v="94"/>
    <s v="MSRC Rental"/>
    <d v="1899-12-30T18:00:00"/>
    <d v="1899-12-30T23:00:00"/>
    <n v="5.0000000000000009"/>
    <m/>
    <m/>
    <n v="7.0000000000000009"/>
    <x v="1"/>
  </r>
  <r>
    <x v="95"/>
    <s v="MSRC Rental"/>
    <d v="1899-12-30T06:00:00"/>
    <d v="1899-12-30T12:30:00"/>
    <n v="6.0000000000000009"/>
    <n v="0.5"/>
    <m/>
    <n v="6.0000000000000009"/>
    <x v="1"/>
  </r>
  <r>
    <x v="95"/>
    <s v="MSRC Classes"/>
    <d v="1899-12-30T12:30:00"/>
    <d v="1899-12-30T18:30:00"/>
    <n v="5.5"/>
    <n v="0.5"/>
    <m/>
    <n v="5.5"/>
    <x v="1"/>
  </r>
  <r>
    <x v="95"/>
    <s v="AD Rental"/>
    <d v="1899-12-30T13:00:00"/>
    <d v="1899-12-30T18:00:00"/>
    <n v="5.0000000000000009"/>
    <m/>
    <m/>
    <n v="5.0000000000000009"/>
    <x v="1"/>
  </r>
  <r>
    <x v="95"/>
    <s v="MCC Rental"/>
    <d v="1899-12-30T13:00:00"/>
    <d v="1899-12-30T19:00:00"/>
    <n v="5.5"/>
    <n v="0.5"/>
    <m/>
    <n v="5.5"/>
    <x v="1"/>
  </r>
  <r>
    <x v="96"/>
    <s v="MCC Rental"/>
    <d v="1899-12-30T11:00:00"/>
    <d v="1899-12-30T17:30:00"/>
    <n v="6"/>
    <n v="0.5"/>
    <m/>
    <n v="6"/>
    <x v="1"/>
  </r>
  <r>
    <x v="97"/>
    <s v="MSRC Classes"/>
    <d v="1899-12-30T08:00:00"/>
    <d v="1899-12-30T14:00:00"/>
    <n v="5.5000000000000018"/>
    <n v="0.5"/>
    <m/>
    <n v="7.5000000000000018"/>
    <x v="1"/>
  </r>
  <r>
    <x v="98"/>
    <s v="MSRC Classes"/>
    <d v="1899-12-30T08:00:00"/>
    <d v="1899-12-30T14:00:00"/>
    <n v="5.5000000000000018"/>
    <n v="0.5"/>
    <m/>
    <n v="7.5000000000000018"/>
    <x v="1"/>
  </r>
  <r>
    <x v="98"/>
    <s v="MCC Classes"/>
    <d v="1899-12-30T16:30:00"/>
    <d v="1899-12-30T21:00:00"/>
    <n v="4.5"/>
    <m/>
    <m/>
    <n v="6.5"/>
    <x v="1"/>
  </r>
  <r>
    <x v="98"/>
    <s v="MSRC Rental"/>
    <d v="1899-12-30T17:00:00"/>
    <d v="1899-12-30T21:00:00"/>
    <n v="3.9999999999999991"/>
    <m/>
    <m/>
    <n v="5.9999999999999991"/>
    <x v="1"/>
  </r>
  <r>
    <x v="99"/>
    <s v="MSRC Classes"/>
    <d v="1899-12-30T11:00:00"/>
    <d v="1899-12-30T14:00:00"/>
    <n v="3.0000000000000013"/>
    <m/>
    <m/>
    <n v="5.0000000000000018"/>
    <x v="1"/>
  </r>
  <r>
    <x v="99"/>
    <s v="MSRC Classes"/>
    <d v="1899-12-30T18:30:00"/>
    <d v="1899-12-30T22:30:00"/>
    <n v="3.9999999999999991"/>
    <m/>
    <m/>
    <n v="5.9999999999999991"/>
    <x v="1"/>
  </r>
  <r>
    <x v="100"/>
    <s v="MSRC Classes"/>
    <d v="1899-12-30T08:00:00"/>
    <d v="1899-12-30T14:00:00"/>
    <n v="5.5000000000000018"/>
    <n v="0.5"/>
    <m/>
    <n v="7.5000000000000018"/>
    <x v="1"/>
  </r>
  <r>
    <x v="100"/>
    <s v="MSRC Classes"/>
    <d v="1899-12-30T18:00:00"/>
    <d v="1899-12-30T23:00:00"/>
    <n v="5.0000000000000009"/>
    <m/>
    <m/>
    <n v="7.0000000000000009"/>
    <x v="1"/>
  </r>
  <r>
    <x v="101"/>
    <s v="MSRC Classes"/>
    <d v="1899-12-30T08:00:00"/>
    <d v="1899-12-30T12:00:00"/>
    <n v="4"/>
    <m/>
    <m/>
    <n v="4"/>
    <x v="1"/>
  </r>
  <r>
    <x v="101"/>
    <s v="AD Rental"/>
    <d v="1899-12-30T10:00:00"/>
    <d v="1899-12-30T16:00:00"/>
    <n v="5.4999999999999982"/>
    <n v="0.5"/>
    <m/>
    <n v="5.4999999999999982"/>
    <x v="1"/>
  </r>
  <r>
    <x v="101"/>
    <s v="MCC Rental"/>
    <d v="1899-12-30T12:30:00"/>
    <d v="1899-12-30T18:00:00"/>
    <n v="5.4999999999999991"/>
    <m/>
    <m/>
    <n v="5.4999999999999991"/>
    <x v="1"/>
  </r>
  <r>
    <x v="102"/>
    <s v="MCC Rental"/>
    <d v="1899-12-30T07:00:00"/>
    <d v="1899-12-30T17:00:00"/>
    <n v="9"/>
    <n v="1"/>
    <m/>
    <n v="9"/>
    <x v="1"/>
  </r>
  <r>
    <x v="102"/>
    <s v="MSRC Rental"/>
    <d v="1899-12-30T10:00:00"/>
    <d v="1899-12-30T15:00:00"/>
    <n v="5"/>
    <m/>
    <m/>
    <n v="5"/>
    <x v="1"/>
  </r>
  <r>
    <x v="103"/>
    <s v="MSRC Classes"/>
    <d v="1899-12-30T08:00:00"/>
    <d v="1899-12-30T14:00:00"/>
    <n v="5.5000000000000018"/>
    <n v="0.5"/>
    <m/>
    <n v="7.5000000000000018"/>
    <x v="1"/>
  </r>
  <r>
    <x v="104"/>
    <s v="MSRC Classes"/>
    <d v="1899-12-30T08:00:00"/>
    <d v="1899-12-30T14:00:00"/>
    <n v="5.5000000000000018"/>
    <n v="0.5"/>
    <m/>
    <n v="7.5000000000000018"/>
    <x v="1"/>
  </r>
  <r>
    <x v="105"/>
    <s v="MSRC Classes"/>
    <d v="1899-12-30T08:00:00"/>
    <d v="1899-12-30T14:00:00"/>
    <n v="5.5000000000000018"/>
    <n v="0.5"/>
    <m/>
    <n v="7.5000000000000018"/>
    <x v="1"/>
  </r>
  <r>
    <x v="105"/>
    <s v="MCC Classes"/>
    <d v="1899-12-30T16:30:00"/>
    <d v="1899-12-30T21:00:00"/>
    <n v="4.5"/>
    <m/>
    <m/>
    <n v="6.5"/>
    <x v="1"/>
  </r>
  <r>
    <x v="106"/>
    <s v="MSRC Classes"/>
    <d v="1899-12-30T08:00:00"/>
    <d v="1899-12-30T14:00:00"/>
    <n v="5.5000000000000018"/>
    <n v="0.5"/>
    <m/>
    <n v="7.5000000000000018"/>
    <x v="1"/>
  </r>
  <r>
    <x v="106"/>
    <s v="MSRC Classes"/>
    <d v="1899-12-30T18:30:00"/>
    <d v="1899-12-30T22:30:00"/>
    <n v="3.9999999999999991"/>
    <m/>
    <m/>
    <n v="5.9999999999999991"/>
    <x v="1"/>
  </r>
  <r>
    <x v="107"/>
    <s v="MSRC Classes"/>
    <d v="1899-12-30T09:00:00"/>
    <d v="1899-12-30T14:00:00"/>
    <n v="5.0000000000000009"/>
    <m/>
    <m/>
    <n v="7.0000000000000009"/>
    <x v="1"/>
  </r>
  <r>
    <x v="107"/>
    <s v="MSRC Classes"/>
    <d v="1899-12-30T18:00:00"/>
    <d v="1899-12-30T23:00:00"/>
    <n v="5.0000000000000009"/>
    <m/>
    <m/>
    <n v="7.0000000000000009"/>
    <x v="1"/>
  </r>
  <r>
    <x v="108"/>
    <s v="MCC Rental"/>
    <d v="1899-12-30T08:30:00"/>
    <d v="1899-12-30T15:00:00"/>
    <n v="6"/>
    <n v="0.5"/>
    <m/>
    <n v="6"/>
    <x v="1"/>
  </r>
  <r>
    <x v="108"/>
    <s v="MSRC Classes"/>
    <d v="1899-12-30T09:00:00"/>
    <d v="1899-12-30T13:00:00"/>
    <n v="3.9999999999999991"/>
    <m/>
    <m/>
    <n v="3.9999999999999991"/>
    <x v="1"/>
  </r>
  <r>
    <x v="108"/>
    <s v="AD Rental"/>
    <d v="1899-12-30T09:00:00"/>
    <d v="1899-12-30T17:00:00"/>
    <n v="7.5"/>
    <n v="0.5"/>
    <m/>
    <n v="7.5"/>
    <x v="1"/>
  </r>
  <r>
    <x v="108"/>
    <s v="MSRC Classes"/>
    <d v="1899-12-30T12:00:00"/>
    <d v="1899-12-30T18:00:00"/>
    <n v="5.5"/>
    <n v="0.5"/>
    <m/>
    <n v="5.5"/>
    <x v="1"/>
  </r>
  <r>
    <x v="108"/>
    <s v="CRAC Rental"/>
    <d v="1899-12-30T15:00:00"/>
    <d v="1899-12-30T18:00:00"/>
    <n v="3"/>
    <m/>
    <m/>
    <n v="3"/>
    <x v="1"/>
  </r>
  <r>
    <x v="109"/>
    <s v="MCC Rental"/>
    <d v="1899-12-30T12:00:00"/>
    <d v="1899-12-30T19:00:00"/>
    <n v="6.4999999999999991"/>
    <n v="0.5"/>
    <m/>
    <n v="6.4999999999999991"/>
    <x v="1"/>
  </r>
  <r>
    <x v="109"/>
    <s v="MSRC Rental"/>
    <d v="1899-12-30T15:00:00"/>
    <d v="1899-12-30T20:00:00"/>
    <n v="5.0000000000000009"/>
    <m/>
    <m/>
    <n v="5.0000000000000009"/>
    <x v="1"/>
  </r>
  <r>
    <x v="110"/>
    <s v="MSRC Classes"/>
    <d v="1899-12-30T08:00:00"/>
    <d v="1899-12-30T14:00:00"/>
    <n v="5.5000000000000018"/>
    <n v="0.5"/>
    <m/>
    <n v="7.5000000000000018"/>
    <x v="1"/>
  </r>
  <r>
    <x v="111"/>
    <s v="MSRC Classes"/>
    <d v="1899-12-30T08:00:00"/>
    <d v="1899-12-30T13:00:00"/>
    <n v="5"/>
    <m/>
    <m/>
    <n v="7"/>
    <x v="1"/>
  </r>
  <r>
    <x v="112"/>
    <s v="MSRC Classes"/>
    <d v="1899-12-30T08:00:00"/>
    <d v="1899-12-30T14:00:00"/>
    <n v="5.5000000000000018"/>
    <n v="0.5"/>
    <n v="5521"/>
    <n v="7.5000000000000018"/>
    <x v="1"/>
  </r>
  <r>
    <x v="112"/>
    <s v="MCC Classes"/>
    <d v="1899-12-30T16:30:00"/>
    <d v="1899-12-30T21:00:00"/>
    <n v="4.5"/>
    <m/>
    <m/>
    <n v="6.5"/>
    <x v="1"/>
  </r>
  <r>
    <x v="113"/>
    <s v="MSRC Classes"/>
    <d v="1899-12-30T18:30:00"/>
    <d v="1899-12-30T22:30:00"/>
    <n v="3.9999999999999991"/>
    <m/>
    <m/>
    <n v="5.9999999999999991"/>
    <x v="1"/>
  </r>
  <r>
    <x v="113"/>
    <s v="MSRC Classes"/>
    <d v="1899-12-30T08:00:00"/>
    <d v="1899-12-30T14:00:00"/>
    <n v="5.5000000000000018"/>
    <n v="0.5"/>
    <m/>
    <n v="7.5000000000000018"/>
    <x v="1"/>
  </r>
  <r>
    <x v="114"/>
    <s v="MSRC Classes"/>
    <d v="1899-12-30T08:00:00"/>
    <d v="1899-12-30T14:00:00"/>
    <n v="5.5000000000000018"/>
    <n v="0.5"/>
    <m/>
    <n v="7.5000000000000018"/>
    <x v="1"/>
  </r>
  <r>
    <x v="115"/>
    <s v="MSRC Classes"/>
    <d v="1899-12-30T12:30:00"/>
    <d v="1899-12-30T18:00:00"/>
    <n v="5.4999999999999991"/>
    <m/>
    <m/>
    <n v="5.4999999999999991"/>
    <x v="1"/>
  </r>
  <r>
    <x v="115"/>
    <s v="MSRC Rental"/>
    <d v="1899-12-30T15:00:00"/>
    <d v="1899-12-30T21:00:00"/>
    <n v="5.5"/>
    <n v="0.5"/>
    <m/>
    <n v="5.5"/>
    <x v="1"/>
  </r>
  <r>
    <x v="115"/>
    <s v="MCC Rental"/>
    <d v="1899-12-30T15:00:00"/>
    <d v="1899-12-30T20:00:00"/>
    <n v="5.0000000000000009"/>
    <m/>
    <m/>
    <n v="5.0000000000000009"/>
    <x v="1"/>
  </r>
  <r>
    <x v="116"/>
    <s v="MSRC Classes"/>
    <d v="1899-12-30T08:00:00"/>
    <d v="1899-12-30T14:00:00"/>
    <n v="5.5000000000000018"/>
    <n v="0.5"/>
    <m/>
    <n v="7.5000000000000018"/>
    <x v="1"/>
  </r>
  <r>
    <x v="117"/>
    <s v="MSRC Classes"/>
    <d v="1899-12-30T09:00:00"/>
    <d v="1899-12-30T13:30:00"/>
    <n v="4.5"/>
    <m/>
    <m/>
    <n v="6.5"/>
    <x v="1"/>
  </r>
  <r>
    <x v="118"/>
    <s v="MSRC Classes"/>
    <d v="1899-12-30T08:00:00"/>
    <d v="1899-12-30T13:00:00"/>
    <n v="5"/>
    <m/>
    <m/>
    <n v="7"/>
    <x v="1"/>
  </r>
  <r>
    <x v="118"/>
    <s v="MSRC Classes"/>
    <d v="1899-12-30T16:00:00"/>
    <d v="1899-12-30T17:30:00"/>
    <n v="1.5"/>
    <m/>
    <m/>
    <n v="3.5"/>
    <x v="1"/>
  </r>
  <r>
    <x v="118"/>
    <s v="MCC Classes"/>
    <d v="1899-12-30T16:30:00"/>
    <d v="1899-12-30T21:00:00"/>
    <n v="4.5"/>
    <m/>
    <m/>
    <n v="6.5"/>
    <x v="1"/>
  </r>
  <r>
    <x v="119"/>
    <s v="MCC Classes"/>
    <d v="1899-12-30T18:30:00"/>
    <d v="1899-12-30T23:00:00"/>
    <n v="4.5"/>
    <m/>
    <m/>
    <n v="6.5"/>
    <x v="1"/>
  </r>
  <r>
    <x v="119"/>
    <s v="MSRC Classes"/>
    <d v="1899-12-30T08:00:00"/>
    <d v="1899-12-30T14:00:00"/>
    <n v="5.5000000000000018"/>
    <n v="0.5"/>
    <m/>
    <n v="7.5000000000000018"/>
    <x v="1"/>
  </r>
  <r>
    <x v="119"/>
    <s v="MSRC Classes"/>
    <d v="1899-12-30T18:30:00"/>
    <d v="1899-12-30T22:30:00"/>
    <n v="3.9999999999999991"/>
    <m/>
    <m/>
    <n v="5.9999999999999991"/>
    <x v="1"/>
  </r>
  <r>
    <x v="120"/>
    <s v="MCC Classes"/>
    <d v="1899-12-30T18:00:00"/>
    <d v="1899-12-30T23:30:00"/>
    <n v="4.9999999999999991"/>
    <n v="0.5"/>
    <m/>
    <n v="6.9999999999999991"/>
    <x v="1"/>
  </r>
  <r>
    <x v="120"/>
    <s v="MSRC Classes"/>
    <d v="1899-12-30T08:00:00"/>
    <d v="1899-12-30T14:00:00"/>
    <n v="5.5000000000000018"/>
    <n v="0.5"/>
    <m/>
    <n v="7.5000000000000018"/>
    <x v="1"/>
  </r>
  <r>
    <x v="121"/>
    <s v="MCC Rental"/>
    <d v="1899-12-30T12:30:00"/>
    <d v="1899-12-30T16:30:00"/>
    <n v="3.9999999999999991"/>
    <m/>
    <m/>
    <n v="3.9999999999999991"/>
    <x v="1"/>
  </r>
  <r>
    <x v="121"/>
    <s v="MSRC Rental"/>
    <d v="1899-12-30T14:00:00"/>
    <d v="1899-12-30T20:30:00"/>
    <n v="5.9999999999999982"/>
    <n v="0.5"/>
    <m/>
    <n v="5.9999999999999982"/>
    <x v="1"/>
  </r>
  <r>
    <x v="121"/>
    <s v="MCC Rental"/>
    <d v="1899-12-30T07:30:00"/>
    <d v="1899-12-30T12:30:00"/>
    <n v="5.0000000000000009"/>
    <m/>
    <m/>
    <n v="5.0000000000000009"/>
    <x v="1"/>
  </r>
  <r>
    <x v="121"/>
    <s v="AD Rental"/>
    <d v="1899-12-30T10:00:00"/>
    <d v="1899-12-30T17:00:00"/>
    <n v="6.5"/>
    <n v="0.5"/>
    <m/>
    <n v="6.5"/>
    <x v="1"/>
  </r>
  <r>
    <x v="122"/>
    <s v="MCC Classes"/>
    <d v="1899-12-30T15:00:00"/>
    <d v="1899-12-30T19:00:00"/>
    <n v="3.9999999999999991"/>
    <m/>
    <m/>
    <n v="3.9999999999999991"/>
    <x v="1"/>
  </r>
  <r>
    <x v="123"/>
    <s v="MSRC Classes"/>
    <d v="1899-12-30T08:00:00"/>
    <d v="1899-12-30T14:00:00"/>
    <n v="5.5000000000000018"/>
    <n v="0.5"/>
    <m/>
    <n v="7.5000000000000018"/>
    <x v="1"/>
  </r>
  <r>
    <x v="124"/>
    <s v="MSRC Classes"/>
    <d v="1899-12-30T08:00:00"/>
    <d v="1899-12-30T14:00:00"/>
    <n v="5.5000000000000018"/>
    <n v="0.5"/>
    <m/>
    <n v="7.5000000000000018"/>
    <x v="1"/>
  </r>
  <r>
    <x v="125"/>
    <s v="MSRC Classes"/>
    <d v="1899-12-30T08:00:00"/>
    <d v="1899-12-30T14:00:00"/>
    <n v="5.5000000000000018"/>
    <n v="0.5"/>
    <m/>
    <n v="7.5000000000000018"/>
    <x v="1"/>
  </r>
  <r>
    <x v="125"/>
    <s v="MSRC Classes"/>
    <d v="1899-12-30T16:00:00"/>
    <d v="1899-12-30T21:00:00"/>
    <n v="5.0000000000000009"/>
    <m/>
    <m/>
    <n v="7.0000000000000009"/>
    <x v="1"/>
  </r>
  <r>
    <x v="125"/>
    <s v="MCC Classes"/>
    <d v="1899-12-30T16:30:00"/>
    <d v="1899-12-30T21:00:00"/>
    <n v="4.5"/>
    <m/>
    <m/>
    <n v="6.5"/>
    <x v="1"/>
  </r>
  <r>
    <x v="126"/>
    <s v="MSRC Classes"/>
    <d v="1899-12-30T08:00:00"/>
    <d v="1899-12-30T14:00:00"/>
    <n v="5.5000000000000018"/>
    <n v="0.5"/>
    <m/>
    <n v="7.5000000000000018"/>
    <x v="1"/>
  </r>
  <r>
    <x v="126"/>
    <s v="MSRC Internal"/>
    <d v="1899-12-30T07:00:00"/>
    <d v="1899-12-30T11:00:00"/>
    <n v="3.9999999999999991"/>
    <m/>
    <m/>
    <n v="5.9999999999999991"/>
    <x v="1"/>
  </r>
  <r>
    <x v="126"/>
    <s v="MSRC Classes"/>
    <d v="1899-12-30T18:00:00"/>
    <d v="1899-12-30T23:00:00"/>
    <n v="5.0000000000000009"/>
    <m/>
    <m/>
    <n v="7.0000000000000009"/>
    <x v="1"/>
  </r>
  <r>
    <x v="126"/>
    <s v="AD Classes"/>
    <d v="1899-12-30T19:00:00"/>
    <d v="1899-12-30T22:00:00"/>
    <n v="3"/>
    <m/>
    <m/>
    <n v="5"/>
    <x v="1"/>
  </r>
  <r>
    <x v="127"/>
    <s v="MSRC Classes"/>
    <d v="1899-12-30T09:00:00"/>
    <d v="1899-12-30T14:00:00"/>
    <n v="5.0000000000000009"/>
    <m/>
    <m/>
    <n v="7.0000000000000009"/>
    <x v="1"/>
  </r>
  <r>
    <x v="128"/>
    <s v="MSRC Rental"/>
    <d v="1899-12-30T15:30:00"/>
    <d v="1899-12-30T22:30:00"/>
    <n v="6.4999999999999991"/>
    <n v="0.5"/>
    <m/>
    <n v="6.4999999999999991"/>
    <x v="1"/>
  </r>
  <r>
    <x v="128"/>
    <s v="MSRC Classes"/>
    <d v="1899-12-30T08:00:00"/>
    <d v="1899-12-30T12:30:00"/>
    <n v="4.5000000000000018"/>
    <m/>
    <m/>
    <n v="4.5000000000000018"/>
    <x v="1"/>
  </r>
  <r>
    <x v="129"/>
    <s v="CRAC Rental"/>
    <d v="1899-12-30T14:00:00"/>
    <d v="1899-12-30T19:00:00"/>
    <n v="4.9999999999999982"/>
    <m/>
    <m/>
    <n v="4.9999999999999982"/>
    <x v="1"/>
  </r>
  <r>
    <x v="129"/>
    <s v="MSRC Rental"/>
    <d v="1899-12-30T15:00:00"/>
    <d v="1899-12-30T22:30:00"/>
    <n v="7"/>
    <n v="0.5"/>
    <m/>
    <n v="7"/>
    <x v="1"/>
  </r>
  <r>
    <x v="130"/>
    <s v="MSRC Classes"/>
    <d v="1899-12-30T08:00:00"/>
    <d v="1899-12-30T14:00:00"/>
    <n v="5.5000000000000018"/>
    <n v="0.5"/>
    <m/>
    <n v="7.5000000000000018"/>
    <x v="1"/>
  </r>
  <r>
    <x v="130"/>
    <s v="MSRC Rental"/>
    <d v="1899-12-30T18:00:00"/>
    <d v="1899-12-30T21:30:00"/>
    <n v="3.5000000000000009"/>
    <m/>
    <m/>
    <n v="5.5000000000000009"/>
    <x v="1"/>
  </r>
  <r>
    <x v="131"/>
    <s v="MSRC Classes"/>
    <d v="1899-12-30T08:00:00"/>
    <d v="1899-12-30T14:00:00"/>
    <n v="5.5000000000000018"/>
    <n v="0.5"/>
    <m/>
    <n v="7.5000000000000018"/>
    <x v="1"/>
  </r>
  <r>
    <x v="132"/>
    <s v="MSRC Classes"/>
    <d v="1899-12-30T16:30:00"/>
    <d v="1899-12-30T21:00:00"/>
    <n v="4.5"/>
    <m/>
    <m/>
    <n v="6.5"/>
    <x v="1"/>
  </r>
  <r>
    <x v="132"/>
    <s v="MSRC Classes"/>
    <d v="1899-12-30T08:00:00"/>
    <d v="1899-12-30T13:00:00"/>
    <n v="5"/>
    <m/>
    <m/>
    <n v="7"/>
    <x v="1"/>
  </r>
  <r>
    <x v="133"/>
    <s v="MSRC Classes"/>
    <d v="1899-12-30T08:00:00"/>
    <d v="1899-12-30T14:00:00"/>
    <n v="5.5000000000000018"/>
    <n v="0.5"/>
    <m/>
    <n v="7.5000000000000018"/>
    <x v="1"/>
  </r>
  <r>
    <x v="133"/>
    <s v="MSRC Classes"/>
    <d v="1899-12-30T18:30:00"/>
    <d v="1899-12-30T22:30:00"/>
    <n v="3.9999999999999991"/>
    <m/>
    <m/>
    <n v="5.9999999999999991"/>
    <x v="1"/>
  </r>
  <r>
    <x v="133"/>
    <s v="MCC Internal"/>
    <d v="1899-12-30T17:00:00"/>
    <d v="1899-12-30T22:00:00"/>
    <n v="4.4999999999999982"/>
    <n v="0.5"/>
    <m/>
    <n v="6.4999999999999982"/>
    <x v="1"/>
  </r>
  <r>
    <x v="134"/>
    <s v="MSRC Classes"/>
    <d v="1899-12-30T08:00:00"/>
    <d v="1899-12-30T14:00:00"/>
    <n v="5.5000000000000018"/>
    <n v="0.5"/>
    <m/>
    <n v="7.5000000000000018"/>
    <x v="1"/>
  </r>
  <r>
    <x v="134"/>
    <s v="MCC Internal"/>
    <d v="1899-12-30T18:30:00"/>
    <d v="1899-12-30T23:30:00"/>
    <n v="4.9999999999999982"/>
    <m/>
    <m/>
    <n v="6.9999999999999982"/>
    <x v="1"/>
  </r>
  <r>
    <x v="135"/>
    <s v="MSRC Rental"/>
    <d v="1899-12-30T12:00:00"/>
    <d v="1899-12-30T21:30:00"/>
    <n v="8.5"/>
    <n v="1"/>
    <m/>
    <n v="8.5"/>
    <x v="1"/>
  </r>
  <r>
    <x v="135"/>
    <s v="MCC Rental"/>
    <d v="1899-12-30T19:00:00"/>
    <d v="1899-12-30T21:00:00"/>
    <n v="2.0000000000000009"/>
    <m/>
    <m/>
    <n v="2.0000000000000009"/>
    <x v="1"/>
  </r>
  <r>
    <x v="135"/>
    <s v="AD Rental"/>
    <d v="1899-12-30T12:30:00"/>
    <d v="1899-12-30T19:00:00"/>
    <n v="5.9999999999999982"/>
    <n v="0.5"/>
    <m/>
    <n v="5.9999999999999982"/>
    <x v="1"/>
  </r>
  <r>
    <x v="136"/>
    <s v="MCC Internal"/>
    <d v="1899-12-30T16:00:00"/>
    <d v="1899-12-30T23:00:00"/>
    <n v="6.5000000000000018"/>
    <n v="0.5"/>
    <m/>
    <n v="6.5000000000000018"/>
    <x v="1"/>
  </r>
  <r>
    <x v="137"/>
    <s v="MSRC Classes"/>
    <d v="1899-12-30T08:00:00"/>
    <d v="1899-12-30T14:00:00"/>
    <n v="5.5000000000000018"/>
    <n v="0.5"/>
    <m/>
    <n v="7.5000000000000018"/>
    <x v="1"/>
  </r>
  <r>
    <x v="138"/>
    <s v="MCC Classes"/>
    <d v="1899-12-30T16:30:00"/>
    <d v="1899-12-30T21:00:00"/>
    <n v="4.5"/>
    <m/>
    <m/>
    <n v="6.5"/>
    <x v="1"/>
  </r>
  <r>
    <x v="139"/>
    <s v="MSRC Classes"/>
    <d v="1899-12-30T18:00:00"/>
    <d v="1899-12-30T23:00:00"/>
    <n v="5.0000000000000009"/>
    <m/>
    <m/>
    <n v="7.0000000000000009"/>
    <x v="1"/>
  </r>
  <r>
    <x v="139"/>
    <s v="AD Classes"/>
    <d v="1899-12-30T19:00:00"/>
    <d v="1899-12-30T22:00:00"/>
    <n v="3"/>
    <m/>
    <m/>
    <n v="5"/>
    <x v="1"/>
  </r>
  <r>
    <x v="139"/>
    <s v="MCC Rental"/>
    <d v="1899-12-30T15:30:00"/>
    <d v="1899-12-30T22:00:00"/>
    <n v="5.9999999999999982"/>
    <n v="0.5"/>
    <m/>
    <n v="7.9999999999999982"/>
    <x v="1"/>
  </r>
  <r>
    <x v="139"/>
    <s v="MSRC Classes"/>
    <d v="1899-12-30T09:00:00"/>
    <d v="1899-12-30T14:00:00"/>
    <n v="5.0000000000000009"/>
    <m/>
    <m/>
    <n v="7.0000000000000009"/>
    <x v="1"/>
  </r>
  <r>
    <x v="140"/>
    <s v="MSRC Classes"/>
    <d v="1899-12-30T08:00:00"/>
    <d v="1899-12-30T14:00:00"/>
    <n v="5.5000000000000018"/>
    <n v="0.5"/>
    <m/>
    <n v="7.5000000000000018"/>
    <x v="1"/>
  </r>
  <r>
    <x v="141"/>
    <s v="MCC Rental"/>
    <d v="1899-12-30T09:00:00"/>
    <d v="1899-12-30T13:00:00"/>
    <n v="3.9999999999999991"/>
    <m/>
    <n v="5521"/>
    <n v="3.9999999999999991"/>
    <x v="1"/>
  </r>
  <r>
    <x v="141"/>
    <s v="AD Rental"/>
    <d v="1899-12-30T09:00:00"/>
    <d v="1899-12-30T17:00:00"/>
    <n v="7.5"/>
    <n v="0.5"/>
    <m/>
    <n v="7.5"/>
    <x v="1"/>
  </r>
  <r>
    <x v="141"/>
    <s v="MSRC Rental"/>
    <d v="1899-12-30T13:00:00"/>
    <d v="1899-12-30T21:00:00"/>
    <n v="7.5"/>
    <n v="0.5"/>
    <m/>
    <n v="7.5"/>
    <x v="1"/>
  </r>
  <r>
    <x v="141"/>
    <s v="MCC Rental"/>
    <d v="1899-12-30T16:00:00"/>
    <d v="1899-12-30T21:00:00"/>
    <n v="5.0000000000000009"/>
    <m/>
    <m/>
    <n v="5.0000000000000009"/>
    <x v="1"/>
  </r>
  <r>
    <x v="142"/>
    <s v="MCC Rental"/>
    <d v="1899-12-30T16:00:00"/>
    <d v="1899-12-30T23:00:00"/>
    <n v="6.5000000000000018"/>
    <n v="0.5"/>
    <m/>
    <n v="6.5000000000000018"/>
    <x v="1"/>
  </r>
  <r>
    <x v="143"/>
    <s v="MSRC Classes"/>
    <d v="1899-12-30T08:00:00"/>
    <d v="1899-12-30T14:00:00"/>
    <n v="5.5000000000000018"/>
    <n v="0.5"/>
    <m/>
    <n v="7.5000000000000018"/>
    <x v="1"/>
  </r>
  <r>
    <x v="144"/>
    <s v="MSRC Classes"/>
    <d v="1899-12-30T08:00:00"/>
    <d v="1899-12-30T14:00:00"/>
    <n v="5.5000000000000018"/>
    <n v="0.5"/>
    <m/>
    <n v="7.5000000000000018"/>
    <x v="1"/>
  </r>
  <r>
    <x v="144"/>
    <s v="MCC Rental"/>
    <d v="1899-12-30T17:00:00"/>
    <d v="1899-12-30T23:00:00"/>
    <n v="5.5"/>
    <n v="0.5"/>
    <m/>
    <n v="7.5"/>
    <x v="1"/>
  </r>
  <r>
    <x v="145"/>
    <s v="MSRC Classes"/>
    <d v="1899-12-30T08:00:00"/>
    <d v="1899-12-30T14:00:00"/>
    <n v="5.5000000000000018"/>
    <n v="0.5"/>
    <m/>
    <n v="7.5000000000000018"/>
    <x v="1"/>
  </r>
  <r>
    <x v="145"/>
    <s v="MSRC Rental"/>
    <d v="1899-12-30T16:00:00"/>
    <d v="1899-12-30T21:00:00"/>
    <n v="5.0000000000000009"/>
    <m/>
    <m/>
    <n v="7.0000000000000009"/>
    <x v="1"/>
  </r>
  <r>
    <x v="145"/>
    <s v="MCC Classes"/>
    <d v="1899-12-30T16:00:00"/>
    <d v="1899-12-30T21:30:00"/>
    <n v="5.5000000000000018"/>
    <m/>
    <m/>
    <n v="7.5000000000000018"/>
    <x v="1"/>
  </r>
  <r>
    <x v="146"/>
    <s v="MCC Rental"/>
    <d v="1899-12-30T07:00:00"/>
    <d v="1899-12-30T14:00:00"/>
    <n v="6.5"/>
    <n v="0.5"/>
    <m/>
    <n v="8.5"/>
    <x v="1"/>
  </r>
  <r>
    <x v="146"/>
    <s v="MSRC Classes"/>
    <d v="1899-12-30T08:00:00"/>
    <d v="1899-12-30T14:00:00"/>
    <n v="5.5000000000000018"/>
    <n v="0.5"/>
    <m/>
    <n v="7.5000000000000018"/>
    <x v="1"/>
  </r>
  <r>
    <x v="146"/>
    <s v="MSRC Classes"/>
    <d v="1899-12-30T18:00:00"/>
    <d v="1899-12-30T23:00:00"/>
    <n v="5.0000000000000009"/>
    <m/>
    <m/>
    <n v="7.0000000000000009"/>
    <x v="1"/>
  </r>
  <r>
    <x v="146"/>
    <s v="MCC Classes"/>
    <d v="1899-12-30T19:00:00"/>
    <d v="1899-12-30T22:30:00"/>
    <n v="3.5000000000000009"/>
    <m/>
    <m/>
    <n v="5.5000000000000009"/>
    <x v="1"/>
  </r>
  <r>
    <x v="147"/>
    <s v="MSRC Classes"/>
    <d v="1899-12-30T08:00:00"/>
    <d v="1899-12-30T14:00:00"/>
    <n v="5.5000000000000018"/>
    <n v="0.5"/>
    <m/>
    <n v="7.5000000000000018"/>
    <x v="1"/>
  </r>
  <r>
    <x v="148"/>
    <s v="MSRC Classes"/>
    <d v="1899-12-30T08:00:00"/>
    <d v="1899-12-30T12:30:00"/>
    <n v="4.5000000000000018"/>
    <m/>
    <m/>
    <n v="4.5000000000000018"/>
    <x v="1"/>
  </r>
  <r>
    <x v="148"/>
    <s v="MCC Rental"/>
    <d v="1899-12-30T09:00:00"/>
    <d v="1899-12-30T20:00:00"/>
    <n v="10"/>
    <n v="1"/>
    <m/>
    <n v="10"/>
    <x v="1"/>
  </r>
  <r>
    <x v="148"/>
    <s v="MSRC Rental"/>
    <d v="1899-12-30T13:00:00"/>
    <d v="1899-12-30T22:30:00"/>
    <n v="8.5"/>
    <n v="1"/>
    <m/>
    <n v="8.5"/>
    <x v="1"/>
  </r>
  <r>
    <x v="149"/>
    <s v="MSRC Rental"/>
    <d v="1899-12-30T11:30:00"/>
    <d v="1899-12-30T18:30:00"/>
    <n v="6.5"/>
    <n v="0.5"/>
    <m/>
    <n v="6.5"/>
    <x v="1"/>
  </r>
  <r>
    <x v="150"/>
    <s v="MSRC Classes"/>
    <d v="1899-12-30T08:00:00"/>
    <d v="1899-12-30T14:00:00"/>
    <n v="5.5000000000000018"/>
    <n v="0.5"/>
    <m/>
    <n v="7.5000000000000018"/>
    <x v="1"/>
  </r>
  <r>
    <x v="150"/>
    <s v="AD Classes"/>
    <d v="1899-12-30T08:00:00"/>
    <d v="1899-12-30T13:00:00"/>
    <n v="5"/>
    <m/>
    <m/>
    <n v="7"/>
    <x v="1"/>
  </r>
  <r>
    <x v="150"/>
    <s v="CRAC Classes"/>
    <d v="1899-12-30T12:30:00"/>
    <d v="1899-12-30T16:30:00"/>
    <n v="3.9999999999999991"/>
    <m/>
    <m/>
    <n v="5.9999999999999991"/>
    <x v="1"/>
  </r>
  <r>
    <x v="151"/>
    <s v="MSRC Classes"/>
    <d v="1899-12-30T08:00:00"/>
    <d v="1899-12-30T14:00:00"/>
    <n v="5.5000000000000018"/>
    <n v="0.5"/>
    <m/>
    <n v="7.5000000000000018"/>
    <x v="1"/>
  </r>
  <r>
    <x v="151"/>
    <s v="CRAC Classes"/>
    <d v="1899-12-30T12:30:00"/>
    <d v="1899-12-30T16:30:00"/>
    <n v="3.9999999999999991"/>
    <m/>
    <m/>
    <n v="5.9999999999999991"/>
    <x v="1"/>
  </r>
  <r>
    <x v="152"/>
    <s v="MSRC Classes"/>
    <d v="1899-12-30T08:00:00"/>
    <d v="1899-12-30T14:00:00"/>
    <n v="5.5000000000000018"/>
    <n v="0.5"/>
    <m/>
    <n v="7.5000000000000018"/>
    <x v="1"/>
  </r>
  <r>
    <x v="152"/>
    <s v="MSC Classes"/>
    <d v="1899-12-30T12:00:00"/>
    <d v="1899-12-30T16:00:00"/>
    <n v="3.9999999999999991"/>
    <m/>
    <m/>
    <n v="5.9999999999999991"/>
    <x v="1"/>
  </r>
  <r>
    <x v="152"/>
    <s v="CRAC Classes"/>
    <d v="1899-12-30T12:30:00"/>
    <d v="1899-12-30T16:30:00"/>
    <n v="3.9999999999999991"/>
    <m/>
    <m/>
    <n v="5.9999999999999991"/>
    <x v="1"/>
  </r>
  <r>
    <x v="152"/>
    <s v="MCC Classes"/>
    <d v="1899-12-30T16:00:00"/>
    <d v="1899-12-30T21:30:00"/>
    <n v="5.5000000000000018"/>
    <m/>
    <m/>
    <n v="7.5000000000000018"/>
    <x v="1"/>
  </r>
  <r>
    <x v="153"/>
    <s v="MSRC Classes"/>
    <d v="1899-12-30T08:00:00"/>
    <d v="1899-12-30T14:00:00"/>
    <n v="5.5000000000000018"/>
    <n v="0.5"/>
    <m/>
    <n v="7.5000000000000018"/>
    <x v="1"/>
  </r>
  <r>
    <x v="153"/>
    <s v="CRAC Classes"/>
    <d v="1899-12-30T12:30:00"/>
    <d v="1899-12-30T16:30:00"/>
    <n v="3.9999999999999991"/>
    <m/>
    <m/>
    <n v="5.9999999999999991"/>
    <x v="1"/>
  </r>
  <r>
    <x v="153"/>
    <s v="MCC Classes"/>
    <d v="1899-12-30T18:00:00"/>
    <d v="1899-12-30T22:30:00"/>
    <n v="4.5"/>
    <m/>
    <m/>
    <n v="6.5"/>
    <x v="1"/>
  </r>
  <r>
    <x v="153"/>
    <s v="MSRC Classes"/>
    <d v="1899-12-30T18:00:00"/>
    <d v="1899-12-30T23:00:00"/>
    <n v="5.0000000000000009"/>
    <m/>
    <m/>
    <n v="7.0000000000000009"/>
    <x v="1"/>
  </r>
  <r>
    <x v="154"/>
    <s v="MSRC Classes"/>
    <d v="1899-12-30T08:00:00"/>
    <d v="1899-12-30T14:00:00"/>
    <n v="5.5000000000000018"/>
    <n v="0.5"/>
    <m/>
    <n v="7.5000000000000018"/>
    <x v="1"/>
  </r>
  <r>
    <x v="154"/>
    <s v="CRAC Classes"/>
    <d v="1899-12-30T12:30:00"/>
    <d v="1899-12-30T16:30:00"/>
    <n v="3.9999999999999991"/>
    <m/>
    <m/>
    <n v="5.9999999999999991"/>
    <x v="1"/>
  </r>
  <r>
    <x v="154"/>
    <s v="AD Rental"/>
    <d v="1899-12-30T14:00:00"/>
    <d v="1899-12-30T23:00:00"/>
    <n v="8"/>
    <n v="1"/>
    <m/>
    <n v="10"/>
    <x v="1"/>
  </r>
  <r>
    <x v="155"/>
    <s v="MSRC Classes"/>
    <d v="1899-12-30T08:00:00"/>
    <d v="1899-12-30T12:30:00"/>
    <n v="4.5000000000000018"/>
    <m/>
    <m/>
    <n v="4.5000000000000018"/>
    <x v="1"/>
  </r>
  <r>
    <x v="155"/>
    <s v="MCC Rental"/>
    <d v="1899-12-30T08:00:00"/>
    <d v="1899-12-30T01:30:00"/>
    <n v="16"/>
    <n v="1.5"/>
    <m/>
    <n v="16"/>
    <x v="1"/>
  </r>
  <r>
    <x v="155"/>
    <s v="AD Rental"/>
    <d v="1899-12-30T14:00:00"/>
    <d v="1899-12-30T23:00:00"/>
    <n v="8"/>
    <n v="1"/>
    <m/>
    <n v="8"/>
    <x v="1"/>
  </r>
  <r>
    <x v="156"/>
    <s v="AD Rental"/>
    <d v="1899-12-30T10:00:00"/>
    <d v="1899-12-30T15:00:00"/>
    <n v="5"/>
    <m/>
    <m/>
    <n v="5"/>
    <x v="1"/>
  </r>
  <r>
    <x v="156"/>
    <s v="MCC Rental"/>
    <d v="1899-12-30T14:00:00"/>
    <d v="1899-12-30T22:00:00"/>
    <n v="7.4999999999999982"/>
    <n v="0.5"/>
    <m/>
    <n v="7.4999999999999982"/>
    <x v="1"/>
  </r>
  <r>
    <x v="157"/>
    <s v="MSRC Classes"/>
    <d v="1899-12-30T08:00:00"/>
    <d v="1899-12-30T14:00:00"/>
    <n v="5.5000000000000018"/>
    <n v="0.5"/>
    <m/>
    <n v="7.5000000000000018"/>
    <x v="1"/>
  </r>
  <r>
    <x v="157"/>
    <s v="CRAC Classes"/>
    <d v="1899-12-30T08:00:00"/>
    <d v="1899-12-30T16:30:00"/>
    <n v="8"/>
    <n v="0.5"/>
    <m/>
    <n v="10"/>
    <x v="1"/>
  </r>
  <r>
    <x v="158"/>
    <s v="MSRC Classes"/>
    <d v="1899-12-30T08:00:00"/>
    <d v="1899-12-30T14:00:00"/>
    <n v="5.5000000000000018"/>
    <n v="0.5"/>
    <m/>
    <n v="7.5000000000000018"/>
    <x v="1"/>
  </r>
  <r>
    <x v="158"/>
    <s v="CRAC Classes"/>
    <d v="1899-12-30T12:00:00"/>
    <d v="1899-12-30T16:30:00"/>
    <n v="4.5"/>
    <m/>
    <m/>
    <n v="6.5"/>
    <x v="1"/>
  </r>
  <r>
    <x v="159"/>
    <s v="MSRC Classes"/>
    <d v="1899-12-30T08:00:00"/>
    <d v="1899-12-30T14:00:00"/>
    <n v="5.5000000000000018"/>
    <n v="0.5"/>
    <m/>
    <n v="7.5000000000000018"/>
    <x v="1"/>
  </r>
  <r>
    <x v="159"/>
    <s v="CRAC Classes"/>
    <d v="1899-12-30T12:00:00"/>
    <d v="1899-12-30T16:30:00"/>
    <n v="4.5"/>
    <m/>
    <m/>
    <n v="6.5"/>
    <x v="1"/>
  </r>
  <r>
    <x v="159"/>
    <s v="AD Rental"/>
    <d v="1899-12-30T16:00:00"/>
    <d v="1899-12-30T22:00:00"/>
    <n v="5.5"/>
    <n v="0.5"/>
    <m/>
    <n v="7.5"/>
    <x v="1"/>
  </r>
  <r>
    <x v="159"/>
    <s v="MSRC Rental"/>
    <d v="1899-12-30T17:00:00"/>
    <d v="1899-12-30T21:00:00"/>
    <n v="3.9999999999999991"/>
    <m/>
    <m/>
    <n v="5.9999999999999991"/>
    <x v="1"/>
  </r>
  <r>
    <x v="160"/>
    <s v="MSRC Classes"/>
    <d v="1899-12-30T08:00:00"/>
    <d v="1899-12-30T14:00:00"/>
    <n v="5.5000000000000018"/>
    <n v="0.5"/>
    <m/>
    <n v="7.5000000000000018"/>
    <x v="1"/>
  </r>
  <r>
    <x v="160"/>
    <s v="CRAC Classes"/>
    <d v="1899-12-30T12:00:00"/>
    <d v="1899-12-30T16:30:00"/>
    <n v="4.5"/>
    <m/>
    <m/>
    <n v="6.5"/>
    <x v="1"/>
  </r>
  <r>
    <x v="160"/>
    <s v="MCC Classes"/>
    <d v="1899-12-30T18:00:00"/>
    <d v="1899-12-30T22:30:00"/>
    <n v="4.5"/>
    <m/>
    <m/>
    <n v="6.5"/>
    <x v="1"/>
  </r>
  <r>
    <x v="160"/>
    <s v="MSRC Classes"/>
    <d v="1899-12-30T18:00:00"/>
    <d v="1899-12-30T23:00:00"/>
    <n v="5.0000000000000009"/>
    <m/>
    <m/>
    <n v="7.0000000000000009"/>
    <x v="1"/>
  </r>
  <r>
    <x v="161"/>
    <s v="MSRC Classes"/>
    <d v="1899-12-30T08:00:00"/>
    <d v="1899-12-30T14:00:00"/>
    <n v="5.5000000000000018"/>
    <n v="0.5"/>
    <m/>
    <n v="7.5000000000000018"/>
    <x v="1"/>
  </r>
  <r>
    <x v="161"/>
    <s v="CRAC Classes"/>
    <d v="1899-12-30T12:00:00"/>
    <d v="1899-12-30T16:30:00"/>
    <n v="4.5"/>
    <m/>
    <m/>
    <n v="6.5"/>
    <x v="1"/>
  </r>
  <r>
    <x v="161"/>
    <s v="MCC Rental"/>
    <d v="1899-12-30T13:00:00"/>
    <d v="1899-12-30T01:00:00"/>
    <n v="11"/>
    <n v="1"/>
    <m/>
    <n v="13"/>
    <x v="1"/>
  </r>
  <r>
    <x v="161"/>
    <s v="MSRC Rental"/>
    <d v="1899-12-30T17:00:00"/>
    <d v="1899-12-30T23:00:00"/>
    <n v="5.5"/>
    <n v="0.5"/>
    <m/>
    <n v="7.5"/>
    <x v="1"/>
  </r>
  <r>
    <x v="162"/>
    <s v="MSRC Classes"/>
    <d v="1899-12-30T08:00:00"/>
    <d v="1899-12-30T12:30:00"/>
    <n v="4.5000000000000018"/>
    <m/>
    <m/>
    <n v="4.5000000000000018"/>
    <x v="1"/>
  </r>
  <r>
    <x v="162"/>
    <s v="CRAC Rental"/>
    <d v="1899-12-30T08:30:00"/>
    <d v="1899-12-30T17:00:00"/>
    <n v="8"/>
    <n v="0.5"/>
    <m/>
    <n v="8"/>
    <x v="1"/>
  </r>
  <r>
    <x v="162"/>
    <s v="MCC Rental"/>
    <d v="1899-12-30T08:00:00"/>
    <d v="1899-12-30T22:00:00"/>
    <n v="12.999999999999998"/>
    <n v="1"/>
    <m/>
    <n v="12.999999999999998"/>
    <x v="1"/>
  </r>
  <r>
    <x v="162"/>
    <s v="MSRC Rental"/>
    <d v="1899-12-30T14:00:00"/>
    <d v="1899-12-30T00:00:00"/>
    <n v="9"/>
    <n v="1"/>
    <m/>
    <n v="9"/>
    <x v="1"/>
  </r>
  <r>
    <x v="162"/>
    <s v="AD Rental"/>
    <d v="1899-12-30T11:00:00"/>
    <d v="1899-12-30T21:00:00"/>
    <n v="9"/>
    <n v="1"/>
    <m/>
    <n v="9"/>
    <x v="1"/>
  </r>
  <r>
    <x v="163"/>
    <s v="AD Rental"/>
    <d v="1899-12-30T11:00:00"/>
    <d v="1899-12-30T18:00:00"/>
    <n v="6.5"/>
    <n v="0.5"/>
    <m/>
    <n v="6.5"/>
    <x v="1"/>
  </r>
  <r>
    <x v="163"/>
    <s v="MCC Rental"/>
    <d v="1899-12-30T14:00:00"/>
    <d v="1899-12-30T22:00:00"/>
    <n v="7.4999999999999982"/>
    <n v="0.5"/>
    <m/>
    <n v="7.4999999999999982"/>
    <x v="1"/>
  </r>
  <r>
    <x v="164"/>
    <s v="MSRC Classes"/>
    <d v="1899-12-30T08:00:00"/>
    <d v="1899-12-30T14:00:00"/>
    <n v="5.5000000000000018"/>
    <n v="0.5"/>
    <m/>
    <n v="7.5000000000000018"/>
    <x v="1"/>
  </r>
  <r>
    <x v="164"/>
    <s v="CRAC Classes"/>
    <d v="1899-12-30T08:00:00"/>
    <d v="1899-12-30T16:30:00"/>
    <n v="8"/>
    <n v="0.5"/>
    <m/>
    <n v="10"/>
    <x v="1"/>
  </r>
  <r>
    <x v="165"/>
    <s v="MSRC Classes"/>
    <d v="1899-12-30T08:00:00"/>
    <d v="1899-12-30T14:00:00"/>
    <n v="5.5000000000000018"/>
    <n v="0.5"/>
    <m/>
    <n v="7.5000000000000018"/>
    <x v="1"/>
  </r>
  <r>
    <x v="165"/>
    <s v="CRAC Classes"/>
    <d v="1899-12-30T08:00:00"/>
    <d v="1899-12-30T16:30:00"/>
    <n v="8"/>
    <n v="0.5"/>
    <m/>
    <n v="10"/>
    <x v="1"/>
  </r>
  <r>
    <x v="166"/>
    <s v="MSRC Classes"/>
    <d v="1899-12-30T08:00:00"/>
    <d v="1899-12-30T14:00:00"/>
    <n v="5.5000000000000018"/>
    <n v="0.5"/>
    <m/>
    <n v="7.5000000000000018"/>
    <x v="1"/>
  </r>
  <r>
    <x v="166"/>
    <s v="CRAC Classes"/>
    <d v="1899-12-30T08:00:00"/>
    <d v="1899-12-30T16:30:00"/>
    <n v="8"/>
    <n v="0.5"/>
    <m/>
    <n v="10"/>
    <x v="1"/>
  </r>
  <r>
    <x v="166"/>
    <s v="MCC Classes"/>
    <d v="1899-12-30T16:00:00"/>
    <d v="1899-12-30T21:30:00"/>
    <n v="5.5000000000000018"/>
    <m/>
    <m/>
    <n v="7.5000000000000018"/>
    <x v="1"/>
  </r>
  <r>
    <x v="167"/>
    <s v="MSRC Classes"/>
    <d v="1899-12-30T08:00:00"/>
    <d v="1899-12-30T14:00:00"/>
    <n v="5.5000000000000018"/>
    <n v="0.5"/>
    <m/>
    <n v="7.5000000000000018"/>
    <x v="1"/>
  </r>
  <r>
    <x v="167"/>
    <s v="CRAC Classes"/>
    <d v="1899-12-30T12:00:00"/>
    <d v="1899-12-30T16:30:00"/>
    <n v="4.5"/>
    <m/>
    <m/>
    <n v="6.5"/>
    <x v="1"/>
  </r>
  <r>
    <x v="167"/>
    <s v="MCC Classes"/>
    <d v="1899-12-30T18:00:00"/>
    <d v="1899-12-30T22:30:00"/>
    <n v="4.5"/>
    <m/>
    <m/>
    <n v="6.5"/>
    <x v="1"/>
  </r>
  <r>
    <x v="167"/>
    <s v="MSRC Classes"/>
    <d v="1899-12-30T18:00:00"/>
    <d v="1899-12-30T23:00:00"/>
    <n v="5.0000000000000009"/>
    <m/>
    <m/>
    <n v="7.0000000000000009"/>
    <x v="1"/>
  </r>
  <r>
    <x v="168"/>
    <s v="MSRC Classes"/>
    <d v="1899-12-30T08:00:00"/>
    <d v="1899-12-30T14:00:00"/>
    <n v="5.5000000000000018"/>
    <n v="0.5"/>
    <m/>
    <n v="7.5000000000000018"/>
    <x v="1"/>
  </r>
  <r>
    <x v="168"/>
    <s v="CRAC Classes"/>
    <d v="1899-12-30T12:00:00"/>
    <d v="1899-12-30T16:30:00"/>
    <n v="4.5"/>
    <m/>
    <m/>
    <n v="6.5"/>
    <x v="1"/>
  </r>
  <r>
    <x v="169"/>
    <s v="MSRC Classes"/>
    <d v="1899-12-30T08:00:00"/>
    <d v="1899-12-30T12:30:00"/>
    <n v="4.5000000000000018"/>
    <m/>
    <m/>
    <n v="4.5000000000000018"/>
    <x v="1"/>
  </r>
  <r>
    <x v="169"/>
    <s v="MCC Classes"/>
    <d v="1899-12-30T08:00:00"/>
    <d v="1899-12-30T00:00:00"/>
    <n v="15"/>
    <n v="1"/>
    <m/>
    <n v="15"/>
    <x v="1"/>
  </r>
  <r>
    <x v="169"/>
    <s v="CRAC Rental"/>
    <d v="1899-12-30T08:30:00"/>
    <d v="1899-12-30T16:30:00"/>
    <n v="7.5"/>
    <n v="0.5"/>
    <m/>
    <n v="7.5"/>
    <x v="1"/>
  </r>
  <r>
    <x v="169"/>
    <s v="MSRC Rental"/>
    <d v="1899-12-30T13:00:00"/>
    <d v="1899-12-30T20:00:00"/>
    <n v="6.5000000000000018"/>
    <n v="0.5"/>
    <m/>
    <n v="6.5000000000000018"/>
    <x v="1"/>
  </r>
  <r>
    <x v="169"/>
    <s v="AD Rental"/>
    <d v="1899-12-30T11:00:00"/>
    <d v="1899-12-30T20:00:00"/>
    <n v="8.0000000000000018"/>
    <n v="1"/>
    <m/>
    <n v="8.0000000000000018"/>
    <x v="1"/>
  </r>
  <r>
    <x v="170"/>
    <s v="MSRC Classes"/>
    <d v="1899-12-30T08:00:00"/>
    <d v="1899-12-30T14:00:00"/>
    <n v="5.5000000000000018"/>
    <n v="0.5"/>
    <n v="5521"/>
    <n v="7.5000000000000018"/>
    <x v="1"/>
  </r>
  <r>
    <x v="171"/>
    <s v="MSRC Classes"/>
    <d v="1899-12-30T08:00:00"/>
    <d v="1899-12-30T14:00:00"/>
    <n v="5.5000000000000018"/>
    <n v="0.5"/>
    <m/>
    <n v="7.5000000000000018"/>
    <x v="1"/>
  </r>
  <r>
    <x v="172"/>
    <s v="MCC Classes"/>
    <d v="1899-12-30T16:00:00"/>
    <d v="1899-12-30T21:30:00"/>
    <n v="5.0000000000000018"/>
    <n v="0.5"/>
    <m/>
    <n v="7.0000000000000018"/>
    <x v="1"/>
  </r>
  <r>
    <x v="172"/>
    <s v="MSRC Classes"/>
    <d v="1899-12-30T08:00:00"/>
    <d v="1899-12-30T14:00:00"/>
    <n v="5.5000000000000018"/>
    <n v="0.5"/>
    <m/>
    <n v="7.5000000000000018"/>
    <x v="1"/>
  </r>
  <r>
    <x v="173"/>
    <s v="MSRC Classes"/>
    <d v="1899-12-30T08:00:00"/>
    <d v="1899-12-30T14:00:00"/>
    <n v="5.5000000000000018"/>
    <n v="0.5"/>
    <m/>
    <n v="7.5000000000000018"/>
    <x v="1"/>
  </r>
  <r>
    <x v="174"/>
    <s v="MCC Rental"/>
    <d v="1899-12-30T13:00:00"/>
    <d v="1899-12-30T18:00:00"/>
    <n v="5.0000000000000009"/>
    <m/>
    <m/>
    <n v="5.0000000000000009"/>
    <x v="1"/>
  </r>
  <r>
    <x v="174"/>
    <s v="MCC Classes"/>
    <d v="1899-12-30T07:45:00"/>
    <d v="1899-12-30T13:00:00"/>
    <n v="4.7499999999999982"/>
    <n v="0.5"/>
    <m/>
    <n v="4.7499999999999982"/>
    <x v="1"/>
  </r>
  <r>
    <x v="174"/>
    <s v="MSRC Classes"/>
    <d v="1899-12-30T08:00:00"/>
    <d v="1899-12-30T13:00:00"/>
    <n v="5"/>
    <m/>
    <m/>
    <n v="5"/>
    <x v="1"/>
  </r>
  <r>
    <x v="174"/>
    <s v="MCC Rental"/>
    <d v="1899-12-30T18:00:00"/>
    <d v="1899-12-30T22:30:00"/>
    <n v="4.5"/>
    <m/>
    <m/>
    <n v="4.5"/>
    <x v="1"/>
  </r>
  <r>
    <x v="174"/>
    <s v="MSRC Rental"/>
    <d v="1899-12-30T17:30:00"/>
    <d v="1899-12-30T23:30:00"/>
    <n v="5.5"/>
    <n v="0.5"/>
    <m/>
    <n v="5.5"/>
    <x v="1"/>
  </r>
  <r>
    <x v="175"/>
    <s v="MSRC Rental"/>
    <d v="1899-12-30T12:00:00"/>
    <d v="1899-12-30T18:00:00"/>
    <n v="5.5"/>
    <n v="0.5"/>
    <m/>
    <n v="5.5"/>
    <x v="1"/>
  </r>
  <r>
    <x v="176"/>
    <s v="MSRC Classes"/>
    <d v="1899-12-30T08:00:00"/>
    <d v="1899-12-30T14:00:00"/>
    <n v="5.5000000000000018"/>
    <n v="0.5"/>
    <m/>
    <n v="7.5000000000000018"/>
    <x v="1"/>
  </r>
  <r>
    <x v="176"/>
    <s v="MCC Classes"/>
    <d v="1899-12-30T08:00:00"/>
    <d v="1899-12-30T12:00:00"/>
    <n v="4"/>
    <m/>
    <m/>
    <n v="6"/>
    <x v="1"/>
  </r>
  <r>
    <x v="176"/>
    <s v="CRAC Classes"/>
    <d v="1899-12-30T08:00:00"/>
    <d v="1899-12-30T16:30:00"/>
    <n v="8"/>
    <n v="0.5"/>
    <m/>
    <n v="10"/>
    <x v="1"/>
  </r>
  <r>
    <x v="177"/>
    <s v="MSRC Classes"/>
    <d v="1899-12-30T08:00:00"/>
    <d v="1899-12-30T14:00:00"/>
    <n v="5.5000000000000018"/>
    <n v="0.5"/>
    <m/>
    <n v="7.5000000000000018"/>
    <x v="1"/>
  </r>
  <r>
    <x v="178"/>
    <s v="MCC Classes"/>
    <d v="1899-12-30T16:00:00"/>
    <d v="1899-12-30T21:30:00"/>
    <n v="5.0000000000000018"/>
    <n v="0.5"/>
    <m/>
    <n v="7.0000000000000018"/>
    <x v="1"/>
  </r>
  <r>
    <x v="178"/>
    <s v="MSRC Classes"/>
    <d v="1899-12-30T08:00:00"/>
    <d v="1899-12-30T14:00:00"/>
    <n v="5.5000000000000018"/>
    <n v="0.5"/>
    <m/>
    <n v="7.5000000000000018"/>
    <x v="1"/>
  </r>
  <r>
    <x v="179"/>
    <s v="MSRC Classes"/>
    <d v="1899-12-30T08:00:00"/>
    <d v="1899-12-30T14:00:00"/>
    <n v="5.5000000000000018"/>
    <n v="0.5"/>
    <m/>
    <n v="7.5000000000000018"/>
    <x v="1"/>
  </r>
  <r>
    <x v="179"/>
    <s v="MSRC Classes"/>
    <d v="1899-12-30T18:00:00"/>
    <d v="1899-12-30T23:00:00"/>
    <n v="5.0000000000000009"/>
    <m/>
    <m/>
    <n v="7.0000000000000009"/>
    <x v="1"/>
  </r>
  <r>
    <x v="180"/>
    <s v="MSRC Classes"/>
    <d v="1899-12-30T08:00:00"/>
    <d v="1899-12-30T14:00:00"/>
    <n v="5.5000000000000018"/>
    <n v="0.5"/>
    <m/>
    <n v="7.5000000000000018"/>
    <x v="1"/>
  </r>
  <r>
    <x v="181"/>
    <s v="CRAC Rental"/>
    <d v="1899-12-30T13:00:00"/>
    <d v="1899-12-30T21:00:00"/>
    <n v="7.5"/>
    <n v="0.5"/>
    <m/>
    <n v="7.5"/>
    <x v="1"/>
  </r>
  <r>
    <x v="181"/>
    <s v="MCC Classes"/>
    <d v="1899-12-30T07:45:00"/>
    <d v="1899-12-30T15:30:00"/>
    <n v="7.25"/>
    <n v="0.5"/>
    <m/>
    <n v="7.25"/>
    <x v="1"/>
  </r>
  <r>
    <x v="181"/>
    <s v="MSRC Classes"/>
    <d v="1899-12-30T08:00:00"/>
    <d v="1899-12-30T13:00:00"/>
    <n v="5"/>
    <m/>
    <m/>
    <n v="5"/>
    <x v="1"/>
  </r>
  <r>
    <x v="181"/>
    <s v="MCC Rental"/>
    <d v="1899-12-30T15:00:00"/>
    <d v="1899-12-30T19:00:00"/>
    <n v="3.9999999999999991"/>
    <m/>
    <m/>
    <n v="3.9999999999999991"/>
    <x v="1"/>
  </r>
  <r>
    <x v="181"/>
    <s v="MCC Rental"/>
    <d v="1899-12-30T19:00:00"/>
    <d v="1899-12-30T00:00:00"/>
    <n v="5.0000000000000009"/>
    <m/>
    <m/>
    <n v="5.0000000000000009"/>
    <x v="1"/>
  </r>
  <r>
    <x v="181"/>
    <s v="AD Rental"/>
    <d v="1899-12-30T15:00:00"/>
    <d v="1899-12-30T22:00:00"/>
    <n v="6.4999999999999991"/>
    <n v="0.5"/>
    <m/>
    <n v="6.4999999999999991"/>
    <x v="1"/>
  </r>
  <r>
    <x v="181"/>
    <s v="MSRC Rental"/>
    <d v="1899-12-30T13:00:00"/>
    <d v="1899-12-30T21:00:00"/>
    <n v="7.5"/>
    <n v="0.5"/>
    <m/>
    <n v="7.5"/>
    <x v="1"/>
  </r>
  <r>
    <x v="182"/>
    <s v="MCC Rental"/>
    <d v="1899-12-30T07:00:00"/>
    <d v="1899-12-30T11:00:00"/>
    <n v="3.9999999999999991"/>
    <m/>
    <m/>
    <n v="3.9999999999999991"/>
    <x v="1"/>
  </r>
  <r>
    <x v="182"/>
    <s v="MCC Rental"/>
    <d v="1899-12-30T11:00:00"/>
    <d v="1899-12-30T18:00:00"/>
    <n v="6.5"/>
    <n v="0.5"/>
    <m/>
    <n v="6.5"/>
    <x v="1"/>
  </r>
  <r>
    <x v="182"/>
    <s v="AD Rental"/>
    <d v="1899-12-30T07:00:00"/>
    <d v="1899-12-30T16:00:00"/>
    <n v="7.9999999999999982"/>
    <n v="1"/>
    <m/>
    <n v="7.9999999999999982"/>
    <x v="1"/>
  </r>
  <r>
    <x v="183"/>
    <s v="MSRC Classes"/>
    <d v="1899-12-30T08:00:00"/>
    <d v="1899-12-30T14:00:00"/>
    <n v="5.5000000000000018"/>
    <n v="0.5"/>
    <m/>
    <n v="7.5000000000000018"/>
    <x v="1"/>
  </r>
  <r>
    <x v="184"/>
    <s v="MSRC Rental"/>
    <d v="1899-12-30T17:00:00"/>
    <d v="1899-12-30T22:00:00"/>
    <n v="4.9999999999999982"/>
    <m/>
    <m/>
    <n v="6.9999999999999982"/>
    <x v="1"/>
  </r>
  <r>
    <x v="184"/>
    <s v="MSRC Classes"/>
    <d v="1899-12-30T08:00:00"/>
    <d v="1899-12-30T14:00:00"/>
    <n v="5.5000000000000018"/>
    <n v="0.5"/>
    <m/>
    <n v="7.5000000000000018"/>
    <x v="1"/>
  </r>
  <r>
    <x v="185"/>
    <s v="MSRC Classes"/>
    <d v="1899-12-30T08:00:00"/>
    <d v="1899-12-30T14:00:00"/>
    <n v="5.5000000000000018"/>
    <n v="0.5"/>
    <m/>
    <n v="7.5000000000000018"/>
    <x v="1"/>
  </r>
  <r>
    <x v="185"/>
    <s v="MSRC Rental"/>
    <d v="1899-12-30T17:00:00"/>
    <d v="1899-12-30T21:00:00"/>
    <n v="3.9999999999999991"/>
    <m/>
    <m/>
    <n v="5.9999999999999991"/>
    <x v="1"/>
  </r>
  <r>
    <x v="185"/>
    <s v="MCC Classes"/>
    <d v="1899-12-30T16:00:00"/>
    <d v="1899-12-30T21:30:00"/>
    <n v="5.0000000000000018"/>
    <n v="0.5"/>
    <m/>
    <n v="7.0000000000000018"/>
    <x v="1"/>
  </r>
  <r>
    <x v="186"/>
    <s v="MSRC Classes"/>
    <d v="1899-12-30T18:00:00"/>
    <d v="1899-12-30T23:00:00"/>
    <n v="5.0000000000000009"/>
    <m/>
    <m/>
    <n v="7.0000000000000009"/>
    <x v="1"/>
  </r>
  <r>
    <x v="186"/>
    <s v="MSRC Classes"/>
    <d v="1899-12-30T08:00:00"/>
    <d v="1899-12-30T14:00:00"/>
    <n v="5.5000000000000018"/>
    <n v="0.5"/>
    <m/>
    <n v="7.5000000000000018"/>
    <x v="1"/>
  </r>
  <r>
    <x v="187"/>
    <s v="MSRC Classes"/>
    <d v="1899-12-30T08:00:00"/>
    <d v="1899-12-30T14:00:00"/>
    <n v="5.5000000000000018"/>
    <n v="0.5"/>
    <m/>
    <n v="7.5000000000000018"/>
    <x v="1"/>
  </r>
  <r>
    <x v="187"/>
    <s v="MSRC Rental"/>
    <d v="1899-12-30T16:00:00"/>
    <d v="1899-12-30T23:00:00"/>
    <n v="6.5000000000000018"/>
    <n v="0.5"/>
    <m/>
    <n v="8.5000000000000018"/>
    <x v="1"/>
  </r>
  <r>
    <x v="188"/>
    <s v="MCC Classes"/>
    <d v="1899-12-30T06:45:00"/>
    <d v="1899-12-30T14:30:00"/>
    <n v="7.2499999999999991"/>
    <n v="0.5"/>
    <m/>
    <n v="7.2499999999999991"/>
    <x v="1"/>
  </r>
  <r>
    <x v="188"/>
    <s v="MSRC Classes"/>
    <d v="1899-12-30T08:00:00"/>
    <d v="1899-12-30T13:00:00"/>
    <n v="5"/>
    <m/>
    <m/>
    <n v="5"/>
    <x v="1"/>
  </r>
  <r>
    <x v="188"/>
    <s v="MCC Rental"/>
    <d v="1899-12-30T14:30:00"/>
    <d v="1899-12-30T23:30:00"/>
    <n v="8"/>
    <n v="1"/>
    <m/>
    <n v="8"/>
    <x v="1"/>
  </r>
  <r>
    <x v="188"/>
    <s v="MSRC Rental"/>
    <d v="1899-12-30T15:00:00"/>
    <d v="1899-12-30T23:00:00"/>
    <n v="7.5"/>
    <n v="0.5"/>
    <m/>
    <n v="7.5"/>
    <x v="1"/>
  </r>
  <r>
    <x v="188"/>
    <s v="AD Rental"/>
    <d v="1899-12-30T11:00:00"/>
    <d v="1899-12-30T19:00:00"/>
    <n v="7.5"/>
    <n v="0.5"/>
    <m/>
    <n v="7.5"/>
    <x v="1"/>
  </r>
  <r>
    <x v="189"/>
    <s v="MCC Rental"/>
    <d v="1899-12-30T16:00:00"/>
    <d v="1899-12-30T21:00:00"/>
    <n v="5.0000000000000009"/>
    <m/>
    <m/>
    <n v="5.0000000000000009"/>
    <x v="1"/>
  </r>
  <r>
    <x v="189"/>
    <s v="MCC Rental"/>
    <d v="1899-12-30T08:00:00"/>
    <d v="1899-12-30T16:00:00"/>
    <n v="7.5"/>
    <n v="0.5"/>
    <m/>
    <n v="7.5"/>
    <x v="1"/>
  </r>
  <r>
    <x v="189"/>
    <s v="MSRC Rental"/>
    <d v="1899-12-30T08:30:00"/>
    <d v="1899-12-30T15:00:00"/>
    <n v="6"/>
    <n v="0.5"/>
    <m/>
    <n v="6"/>
    <x v="1"/>
  </r>
  <r>
    <x v="190"/>
    <s v="MSRC Classes"/>
    <d v="1899-12-30T08:00:00"/>
    <d v="1899-12-30T14:00:00"/>
    <n v="5.5000000000000018"/>
    <n v="0.5"/>
    <m/>
    <n v="7.5000000000000018"/>
    <x v="1"/>
  </r>
  <r>
    <x v="191"/>
    <s v="MSRC Classes"/>
    <d v="1899-12-30T08:00:00"/>
    <d v="1899-12-30T14:00:00"/>
    <n v="5.5000000000000018"/>
    <n v="0.5"/>
    <m/>
    <n v="7.5000000000000018"/>
    <x v="1"/>
  </r>
  <r>
    <x v="192"/>
    <s v="MSRC Classes"/>
    <d v="1899-12-30T08:00:00"/>
    <d v="1899-12-30T14:00:00"/>
    <n v="5.5000000000000018"/>
    <n v="0.5"/>
    <m/>
    <n v="7.5000000000000018"/>
    <x v="1"/>
  </r>
  <r>
    <x v="192"/>
    <s v="MCC Classes"/>
    <d v="1899-12-30T16:00:00"/>
    <d v="1899-12-30T22:30:00"/>
    <n v="6.0000000000000009"/>
    <n v="0.5"/>
    <m/>
    <n v="8"/>
    <x v="1"/>
  </r>
  <r>
    <x v="193"/>
    <s v="MSRC Classes"/>
    <d v="1899-12-30T08:00:00"/>
    <d v="1899-12-30T14:00:00"/>
    <n v="5.5000000000000018"/>
    <n v="0.5"/>
    <m/>
    <n v="7.5000000000000018"/>
    <x v="1"/>
  </r>
  <r>
    <x v="193"/>
    <s v="MSRC Classes"/>
    <d v="1899-12-30T18:00:00"/>
    <d v="1899-12-30T23:00:00"/>
    <n v="5.0000000000000009"/>
    <m/>
    <m/>
    <n v="7.0000000000000009"/>
    <x v="1"/>
  </r>
  <r>
    <x v="194"/>
    <s v="MSRC Classes"/>
    <d v="1899-12-30T08:00:00"/>
    <d v="1899-12-30T14:00:00"/>
    <n v="5.5000000000000018"/>
    <n v="0.5"/>
    <m/>
    <n v="7.5000000000000018"/>
    <x v="1"/>
  </r>
  <r>
    <x v="195"/>
    <s v="MCC Classes"/>
    <d v="1899-12-30T07:00:00"/>
    <d v="1899-12-30T15:30:00"/>
    <n v="8"/>
    <n v="0.5"/>
    <m/>
    <n v="8"/>
    <x v="1"/>
  </r>
  <r>
    <x v="195"/>
    <s v="MSRC Classes"/>
    <d v="1899-12-30T08:00:00"/>
    <d v="1899-12-30T13:00:00"/>
    <n v="5"/>
    <m/>
    <m/>
    <n v="5"/>
    <x v="1"/>
  </r>
  <r>
    <x v="195"/>
    <s v="AD Rental"/>
    <d v="1899-12-30T13:00:00"/>
    <d v="1899-12-30T18:00:00"/>
    <n v="4.5000000000000009"/>
    <n v="0.5"/>
    <m/>
    <n v="4.5000000000000009"/>
    <x v="1"/>
  </r>
  <r>
    <x v="195"/>
    <s v="MSRC Rental"/>
    <d v="1899-12-30T15:30:00"/>
    <d v="1899-12-30T21:30:00"/>
    <n v="5.5"/>
    <n v="0.5"/>
    <m/>
    <n v="5.5"/>
    <x v="1"/>
  </r>
  <r>
    <x v="196"/>
    <s v="MCC Rental"/>
    <d v="1899-12-30T10:00:00"/>
    <d v="1899-12-30T15:00:00"/>
    <n v="5"/>
    <m/>
    <m/>
    <n v="5"/>
    <x v="1"/>
  </r>
  <r>
    <x v="197"/>
    <s v="MSRC Rental"/>
    <d v="1899-12-30T16:30:00"/>
    <d v="1899-12-30T21:30:00"/>
    <n v="5.0000000000000009"/>
    <m/>
    <m/>
    <n v="7.0000000000000009"/>
    <x v="1"/>
  </r>
  <r>
    <x v="197"/>
    <s v="MSRC Classes"/>
    <d v="1899-12-30T08:00:00"/>
    <d v="1899-12-30T14:00:00"/>
    <n v="5.5000000000000018"/>
    <n v="0.5"/>
    <m/>
    <n v="7.5000000000000018"/>
    <x v="1"/>
  </r>
  <r>
    <x v="198"/>
    <s v="MSRC Classes"/>
    <d v="1899-12-30T08:00:00"/>
    <d v="1899-12-30T14:00:00"/>
    <n v="5.5000000000000018"/>
    <n v="0.5"/>
    <m/>
    <n v="7.5000000000000018"/>
    <x v="1"/>
  </r>
  <r>
    <x v="199"/>
    <s v="MSRC Classes"/>
    <d v="1899-12-30T08:00:00"/>
    <d v="1899-12-30T14:00:00"/>
    <n v="5.5000000000000018"/>
    <n v="0.5"/>
    <m/>
    <n v="7.5000000000000018"/>
    <x v="1"/>
  </r>
  <r>
    <x v="199"/>
    <s v="MSRC Classes"/>
    <d v="1899-12-30T16:00:00"/>
    <d v="1899-12-30T22:00:00"/>
    <n v="5.5"/>
    <n v="0.5"/>
    <m/>
    <n v="7.5"/>
    <x v="1"/>
  </r>
  <r>
    <x v="200"/>
    <s v="MSRC Classes"/>
    <d v="1899-12-30T08:00:00"/>
    <d v="1899-12-30T14:00:00"/>
    <n v="5.5000000000000018"/>
    <n v="0.5"/>
    <n v="5521"/>
    <n v="7.5000000000000018"/>
    <x v="1"/>
  </r>
  <r>
    <x v="200"/>
    <s v="MSRC Classes"/>
    <d v="1899-12-30T18:00:00"/>
    <d v="1899-12-30T23:00:00"/>
    <n v="5.0000000000000009"/>
    <m/>
    <m/>
    <n v="7.0000000000000009"/>
    <x v="1"/>
  </r>
  <r>
    <x v="201"/>
    <s v="MSRC Classes"/>
    <d v="1899-12-30T08:00:00"/>
    <d v="1899-12-30T14:00:00"/>
    <n v="5.5000000000000018"/>
    <n v="0.5"/>
    <m/>
    <n v="7.5000000000000018"/>
    <x v="1"/>
  </r>
  <r>
    <x v="202"/>
    <s v="MCC Classes"/>
    <d v="1899-12-30T07:30:00"/>
    <d v="1899-12-30T10:00:00"/>
    <n v="2.5000000000000004"/>
    <m/>
    <m/>
    <n v="2.5000000000000004"/>
    <x v="1"/>
  </r>
  <r>
    <x v="202"/>
    <s v="MSRC Classes"/>
    <d v="1899-12-30T08:00:00"/>
    <d v="1899-12-30T13:00:00"/>
    <n v="5"/>
    <m/>
    <m/>
    <n v="5"/>
    <x v="1"/>
  </r>
  <r>
    <x v="202"/>
    <s v="AD Rental"/>
    <d v="1899-12-30T15:00:00"/>
    <d v="1899-12-30T20:00:00"/>
    <n v="5.0000000000000009"/>
    <m/>
    <m/>
    <n v="5.0000000000000009"/>
    <x v="1"/>
  </r>
  <r>
    <x v="203"/>
    <s v="MCC Classes"/>
    <d v="1899-12-30T09:00:00"/>
    <d v="1899-12-30T15:00:00"/>
    <n v="5.5"/>
    <n v="0.5"/>
    <m/>
    <n v="7.5"/>
    <x v="1"/>
  </r>
  <r>
    <x v="203"/>
    <s v="MSRC Classes"/>
    <d v="1899-12-30T08:00:00"/>
    <d v="1899-12-30T14:00:00"/>
    <n v="5.5000000000000018"/>
    <n v="0.5"/>
    <m/>
    <n v="7.5000000000000018"/>
    <x v="1"/>
  </r>
  <r>
    <x v="204"/>
    <s v="MSRC Classes"/>
    <d v="1899-12-30T08:00:00"/>
    <d v="1899-12-30T14:00:00"/>
    <n v="5.5000000000000018"/>
    <n v="0.5"/>
    <m/>
    <n v="7.5000000000000018"/>
    <x v="1"/>
  </r>
  <r>
    <x v="205"/>
    <s v="MSRC Classes"/>
    <d v="1899-12-30T08:00:00"/>
    <d v="1899-12-30T14:00:00"/>
    <n v="5.5000000000000018"/>
    <n v="0.5"/>
    <m/>
    <n v="7.5000000000000018"/>
    <x v="1"/>
  </r>
  <r>
    <x v="205"/>
    <s v="MCC Classes"/>
    <d v="1899-12-30T18:00:00"/>
    <d v="1899-12-30T22:00:00"/>
    <n v="3.9999999999999991"/>
    <m/>
    <m/>
    <n v="5.9999999999999991"/>
    <x v="1"/>
  </r>
  <r>
    <x v="205"/>
    <s v="MSRC Classes"/>
    <d v="1899-12-30T16:00:00"/>
    <d v="1899-12-30T21:00:00"/>
    <n v="5.0000000000000009"/>
    <m/>
    <m/>
    <n v="7.0000000000000009"/>
    <x v="1"/>
  </r>
  <r>
    <x v="206"/>
    <s v="MSRC Classes"/>
    <d v="1899-12-30T08:00:00"/>
    <d v="1899-12-30T14:00:00"/>
    <n v="5.5000000000000018"/>
    <n v="0.5"/>
    <m/>
    <n v="7.5000000000000018"/>
    <x v="1"/>
  </r>
  <r>
    <x v="206"/>
    <s v="MCC Rental"/>
    <d v="1899-12-30T16:00:00"/>
    <d v="1899-12-30T22:00:00"/>
    <n v="5.5"/>
    <n v="0.5"/>
    <m/>
    <n v="7.5"/>
    <x v="1"/>
  </r>
  <r>
    <x v="207"/>
    <s v="MSRC Classes"/>
    <d v="1899-12-30T09:00:00"/>
    <d v="1899-12-30T14:00:00"/>
    <n v="5.0000000000000009"/>
    <m/>
    <m/>
    <n v="7.0000000000000009"/>
    <x v="1"/>
  </r>
  <r>
    <x v="207"/>
    <s v="MCC Rental"/>
    <d v="1899-12-30T16:00:00"/>
    <d v="1899-12-30T23:00:00"/>
    <n v="6.5000000000000018"/>
    <n v="0.5"/>
    <m/>
    <n v="8.5000000000000018"/>
    <x v="1"/>
  </r>
  <r>
    <x v="208"/>
    <s v="MSRC Classes"/>
    <d v="1899-12-30T08:00:00"/>
    <d v="1899-12-30T13:00:00"/>
    <n v="5"/>
    <m/>
    <m/>
    <n v="5"/>
    <x v="1"/>
  </r>
  <r>
    <x v="208"/>
    <s v="MSRC Rental"/>
    <d v="1899-12-30T18:30:00"/>
    <d v="1899-12-30T01:00:00"/>
    <n v="5.9999999999999982"/>
    <n v="0.5"/>
    <m/>
    <n v="5.9999999999999982"/>
    <x v="1"/>
  </r>
  <r>
    <x v="208"/>
    <s v="MCC Classes"/>
    <d v="1899-12-30T06:30:00"/>
    <d v="1899-12-30T12:30:00"/>
    <n v="5.5000000000000018"/>
    <n v="0.5"/>
    <m/>
    <n v="5.5000000000000018"/>
    <x v="1"/>
  </r>
  <r>
    <x v="208"/>
    <s v="AD Rental"/>
    <d v="1899-12-30T11:30:00"/>
    <d v="1899-12-30T18:30:00"/>
    <n v="6.5"/>
    <n v="0.5"/>
    <m/>
    <n v="6.5"/>
    <x v="1"/>
  </r>
  <r>
    <x v="208"/>
    <s v="MSRC Rental"/>
    <d v="1899-12-30T13:00:00"/>
    <d v="1899-12-30T18:30:00"/>
    <n v="5.0000000000000018"/>
    <n v="0.5"/>
    <m/>
    <n v="5.0000000000000018"/>
    <x v="1"/>
  </r>
  <r>
    <x v="209"/>
    <s v="MSRC Classes"/>
    <d v="1899-12-30T08:00:00"/>
    <d v="1899-12-30T14:00:00"/>
    <n v="5.5000000000000018"/>
    <n v="0.5"/>
    <m/>
    <n v="7.5000000000000018"/>
    <x v="1"/>
  </r>
  <r>
    <x v="210"/>
    <s v="MSRC Classes"/>
    <d v="1899-12-30T08:00:00"/>
    <d v="1899-12-30T14:00:00"/>
    <n v="5.5000000000000018"/>
    <n v="0.5"/>
    <m/>
    <n v="7.5000000000000018"/>
    <x v="1"/>
  </r>
  <r>
    <x v="211"/>
    <s v="MSRC Classes"/>
    <d v="1899-12-30T08:00:00"/>
    <d v="1899-12-30T14:00:00"/>
    <n v="5.5000000000000018"/>
    <n v="0.5"/>
    <m/>
    <n v="7.5000000000000018"/>
    <x v="1"/>
  </r>
  <r>
    <x v="211"/>
    <s v="MCC Classes"/>
    <d v="1899-12-30T16:00:00"/>
    <d v="1899-12-30T21:30:00"/>
    <n v="5.0000000000000018"/>
    <n v="0.5"/>
    <m/>
    <n v="7.0000000000000018"/>
    <x v="1"/>
  </r>
  <r>
    <x v="212"/>
    <s v="MSRC Classes"/>
    <d v="1899-12-30T18:30:00"/>
    <d v="1899-12-30T23:00:00"/>
    <n v="4.5"/>
    <m/>
    <m/>
    <n v="6.5"/>
    <x v="1"/>
  </r>
  <r>
    <x v="212"/>
    <s v="MSRC Classes"/>
    <d v="1899-12-30T08:00:00"/>
    <d v="1899-12-30T14:00:00"/>
    <n v="5.5000000000000018"/>
    <n v="0.5"/>
    <m/>
    <n v="7.5000000000000018"/>
    <x v="1"/>
  </r>
  <r>
    <x v="213"/>
    <s v="MCC Rental"/>
    <d v="1899-12-30T16:30:00"/>
    <d v="1899-12-30T23:00:00"/>
    <n v="6.0000000000000009"/>
    <n v="0.5"/>
    <m/>
    <n v="8"/>
    <x v="1"/>
  </r>
  <r>
    <x v="213"/>
    <s v="AD Classes"/>
    <d v="1899-12-30T08:00:00"/>
    <d v="1899-12-30T16:00:00"/>
    <n v="7.5"/>
    <n v="0.5"/>
    <m/>
    <n v="9.5"/>
    <x v="1"/>
  </r>
  <r>
    <x v="213"/>
    <s v="MSRC Classes"/>
    <d v="1899-12-30T08:00:00"/>
    <d v="1899-12-30T14:00:00"/>
    <n v="5.5000000000000018"/>
    <n v="0.5"/>
    <m/>
    <n v="7.5000000000000018"/>
    <x v="1"/>
  </r>
  <r>
    <x v="214"/>
    <s v="CRAC Rental"/>
    <d v="1899-12-30T10:00:00"/>
    <d v="1899-12-30T17:00:00"/>
    <n v="6.5"/>
    <n v="0.5"/>
    <m/>
    <n v="6.5"/>
    <x v="1"/>
  </r>
  <r>
    <x v="214"/>
    <s v="MCC Classes"/>
    <d v="1899-12-30T06:30:00"/>
    <d v="1899-12-30T12:30:00"/>
    <n v="5.5000000000000018"/>
    <n v="0.5"/>
    <m/>
    <n v="5.5000000000000018"/>
    <x v="1"/>
  </r>
  <r>
    <x v="214"/>
    <s v="MSRC Classes"/>
    <d v="1899-12-30T08:00:00"/>
    <d v="1899-12-30T12:30:00"/>
    <n v="4.5000000000000018"/>
    <m/>
    <m/>
    <n v="4.5000000000000018"/>
    <x v="1"/>
  </r>
  <r>
    <x v="214"/>
    <s v="MSRC Rental"/>
    <d v="1899-12-30T12:30:00"/>
    <d v="1899-12-30T19:30:00"/>
    <n v="6.4999999999999991"/>
    <n v="0.5"/>
    <m/>
    <n v="6.4999999999999991"/>
    <x v="1"/>
  </r>
  <r>
    <x v="214"/>
    <s v="AD Rental"/>
    <d v="1899-12-30T12:00:00"/>
    <d v="1899-12-30T19:00:00"/>
    <n v="6.4999999999999991"/>
    <n v="0.5"/>
    <m/>
    <n v="6.4999999999999991"/>
    <x v="1"/>
  </r>
  <r>
    <x v="215"/>
    <s v="MSRC Rental"/>
    <d v="1899-12-30T09:30:00"/>
    <d v="1899-12-30T16:30:00"/>
    <n v="6.5"/>
    <n v="0.5"/>
    <m/>
    <n v="6.5"/>
    <x v="1"/>
  </r>
  <r>
    <x v="215"/>
    <s v="CRAC Rental"/>
    <d v="1899-12-30T10:00:00"/>
    <d v="1899-12-30T16:30:00"/>
    <n v="6"/>
    <n v="0.5"/>
    <m/>
    <n v="6"/>
    <x v="1"/>
  </r>
  <r>
    <x v="215"/>
    <s v="MCC Rental"/>
    <d v="1899-12-30T13:00:00"/>
    <d v="1899-12-30T19:00:00"/>
    <n v="5.5"/>
    <n v="0.5"/>
    <m/>
    <n v="5.5"/>
    <x v="1"/>
  </r>
  <r>
    <x v="215"/>
    <s v="MCC Rental"/>
    <d v="1899-12-30T08:00:00"/>
    <d v="1899-12-30T13:00:00"/>
    <n v="5"/>
    <m/>
    <m/>
    <n v="5"/>
    <x v="1"/>
  </r>
  <r>
    <x v="216"/>
    <s v="MSRC Classes"/>
    <d v="1899-12-30T08:00:00"/>
    <d v="1899-12-30T14:00:00"/>
    <n v="5.5000000000000018"/>
    <n v="0.5"/>
    <m/>
    <n v="7.5000000000000018"/>
    <x v="1"/>
  </r>
  <r>
    <x v="217"/>
    <s v="MSRC Classes"/>
    <d v="1899-12-30T08:00:00"/>
    <d v="1899-12-30T14:00:00"/>
    <n v="5.5000000000000018"/>
    <n v="0.5"/>
    <m/>
    <n v="7.5000000000000018"/>
    <x v="1"/>
  </r>
  <r>
    <x v="217"/>
    <s v="MCC Internal"/>
    <d v="1899-12-30T14:00:00"/>
    <d v="1899-12-30T20:00:00"/>
    <n v="5.5"/>
    <n v="0.5"/>
    <m/>
    <n v="7.5"/>
    <x v="1"/>
  </r>
  <r>
    <x v="217"/>
    <s v="MCC Internal"/>
    <d v="1899-12-30T20:00:00"/>
    <d v="1899-12-30T00:00:00"/>
    <n v="3.9999999999999991"/>
    <m/>
    <m/>
    <n v="5.9999999999999991"/>
    <x v="1"/>
  </r>
  <r>
    <x v="218"/>
    <s v="MSRC Classes"/>
    <d v="1899-12-30T08:00:00"/>
    <d v="1899-12-30T14:00:00"/>
    <n v="5.5000000000000018"/>
    <n v="0.5"/>
    <m/>
    <n v="7.5000000000000018"/>
    <x v="1"/>
  </r>
  <r>
    <x v="218"/>
    <s v="MCC Classes"/>
    <d v="1899-12-30T16:00:00"/>
    <d v="1899-12-30T21:30:00"/>
    <n v="5.0000000000000018"/>
    <n v="0.5"/>
    <m/>
    <n v="7.0000000000000018"/>
    <x v="1"/>
  </r>
  <r>
    <x v="219"/>
    <s v="MCC Rental"/>
    <d v="1899-12-30T13:00:00"/>
    <d v="1899-12-30T18:30:00"/>
    <n v="5.0000000000000018"/>
    <n v="0.5"/>
    <m/>
    <n v="7.0000000000000018"/>
    <x v="1"/>
  </r>
  <r>
    <x v="219"/>
    <s v="MCC Rental"/>
    <d v="1899-12-30T18:30:00"/>
    <d v="1899-12-30T23:30:00"/>
    <n v="4.9999999999999982"/>
    <m/>
    <m/>
    <n v="6.9999999999999982"/>
    <x v="1"/>
  </r>
  <r>
    <x v="219"/>
    <s v="MSRC Classes"/>
    <d v="1899-12-30T08:00:00"/>
    <d v="1899-12-30T14:00:00"/>
    <n v="5.5000000000000018"/>
    <n v="0.5"/>
    <m/>
    <n v="7.5000000000000018"/>
    <x v="1"/>
  </r>
  <r>
    <x v="219"/>
    <s v="MSRC Classes"/>
    <d v="1899-12-30T17:00:00"/>
    <d v="1899-12-30T23:00:00"/>
    <n v="5.5"/>
    <n v="0.5"/>
    <m/>
    <n v="7.5"/>
    <x v="1"/>
  </r>
  <r>
    <x v="220"/>
    <s v="MSRC Classes"/>
    <d v="1899-12-30T08:00:00"/>
    <d v="1899-12-30T14:00:00"/>
    <n v="5.5000000000000018"/>
    <n v="0.5"/>
    <m/>
    <n v="7.5000000000000018"/>
    <x v="1"/>
  </r>
  <r>
    <x v="221"/>
    <s v="MCC Classes"/>
    <d v="1899-12-30T06:30:00"/>
    <d v="1899-12-30T12:30:00"/>
    <n v="5.5000000000000018"/>
    <n v="0.5"/>
    <m/>
    <n v="5.5000000000000018"/>
    <x v="1"/>
  </r>
  <r>
    <x v="221"/>
    <s v="MCC Rental"/>
    <d v="1899-12-30T13:30:00"/>
    <d v="1899-12-30T19:30:00"/>
    <n v="5.5"/>
    <n v="0.5"/>
    <m/>
    <n v="5.5"/>
    <x v="1"/>
  </r>
  <r>
    <x v="221"/>
    <s v="MSRC Classes"/>
    <d v="1899-12-30T08:00:00"/>
    <d v="1899-12-30T15:00:00"/>
    <n v="6.5"/>
    <n v="0.5"/>
    <m/>
    <n v="6.5"/>
    <x v="1"/>
  </r>
  <r>
    <x v="222"/>
    <s v="MSRC Classes"/>
    <d v="1899-12-30T13:30:00"/>
    <d v="1899-12-30T19:00:00"/>
    <n v="4.9999999999999991"/>
    <n v="0.5"/>
    <m/>
    <n v="4.9999999999999991"/>
    <x v="1"/>
  </r>
  <r>
    <x v="222"/>
    <s v="MSRC Rental"/>
    <d v="1899-12-30T08:00:00"/>
    <d v="1899-12-30T13:30:00"/>
    <n v="5"/>
    <n v="0.5"/>
    <m/>
    <n v="5"/>
    <x v="1"/>
  </r>
  <r>
    <x v="222"/>
    <s v="MSRC Rental"/>
    <d v="1899-12-30T19:00:00"/>
    <d v="1899-12-30T00:00:00"/>
    <n v="5.0000000000000009"/>
    <m/>
    <m/>
    <n v="5.0000000000000009"/>
    <x v="1"/>
  </r>
  <r>
    <x v="223"/>
    <s v="MSRC Classes"/>
    <d v="1899-12-30T08:00:00"/>
    <d v="1899-12-30T14:00:00"/>
    <n v="5.5000000000000018"/>
    <n v="0.5"/>
    <m/>
    <n v="7.5000000000000018"/>
    <x v="1"/>
  </r>
  <r>
    <x v="223"/>
    <s v="MSRC Classes"/>
    <d v="1899-12-30T16:00:00"/>
    <d v="1899-12-30T21:00:00"/>
    <n v="5.0000000000000009"/>
    <m/>
    <m/>
    <n v="7.0000000000000009"/>
    <x v="1"/>
  </r>
  <r>
    <x v="224"/>
    <s v="MSRC Classes"/>
    <d v="1899-12-30T08:00:00"/>
    <d v="1899-12-30T14:00:00"/>
    <n v="5.5000000000000018"/>
    <n v="0.5"/>
    <m/>
    <n v="7.5000000000000018"/>
    <x v="1"/>
  </r>
  <r>
    <x v="225"/>
    <s v="MSRC Classes"/>
    <d v="1899-12-30T08:00:00"/>
    <d v="1899-12-30T14:00:00"/>
    <n v="5.5000000000000018"/>
    <n v="0.5"/>
    <m/>
    <n v="7.5000000000000018"/>
    <x v="1"/>
  </r>
  <r>
    <x v="225"/>
    <s v="MCC Classes"/>
    <d v="1899-12-30T16:00:00"/>
    <d v="1899-12-30T21:30:00"/>
    <n v="5.0000000000000018"/>
    <n v="0.5"/>
    <m/>
    <n v="7.0000000000000018"/>
    <x v="1"/>
  </r>
  <r>
    <x v="226"/>
    <s v="MSRC Classes"/>
    <d v="1899-12-30T08:00:00"/>
    <d v="1899-12-30T14:00:00"/>
    <n v="5.5000000000000018"/>
    <n v="0.5"/>
    <m/>
    <n v="7.5000000000000018"/>
    <x v="1"/>
  </r>
  <r>
    <x v="226"/>
    <s v="MSRC Classes"/>
    <d v="1899-12-30T18:30:00"/>
    <d v="1899-12-30T23:00:00"/>
    <n v="4.5"/>
    <m/>
    <m/>
    <n v="6.5"/>
    <x v="1"/>
  </r>
  <r>
    <x v="227"/>
    <s v="MSRC Classes"/>
    <d v="1899-12-30T08:00:00"/>
    <d v="1899-12-30T14:00:00"/>
    <n v="5.5000000000000018"/>
    <n v="0.5"/>
    <m/>
    <n v="7.5000000000000018"/>
    <x v="1"/>
  </r>
  <r>
    <x v="228"/>
    <s v="MSRC Classes"/>
    <d v="1899-12-30T08:00:00"/>
    <d v="1899-12-30T13:00:00"/>
    <n v="5"/>
    <m/>
    <m/>
    <n v="5"/>
    <x v="1"/>
  </r>
  <r>
    <x v="228"/>
    <s v="MCC Rental"/>
    <d v="1899-12-30T14:00:00"/>
    <d v="1899-12-30T19:30:00"/>
    <n v="4.9999999999999991"/>
    <n v="0.5"/>
    <m/>
    <n v="4.9999999999999991"/>
    <x v="1"/>
  </r>
  <r>
    <x v="228"/>
    <s v="MSRC Rental"/>
    <d v="1899-12-30T20:00:00"/>
    <d v="1899-12-30T01:00:00"/>
    <n v="4.9999999999999982"/>
    <m/>
    <m/>
    <n v="4.9999999999999982"/>
    <x v="1"/>
  </r>
  <r>
    <x v="228"/>
    <s v="MSRC Rental"/>
    <d v="1899-12-30T14:00:00"/>
    <d v="1899-12-30T20:00:00"/>
    <n v="5.5"/>
    <n v="0.5"/>
    <m/>
    <n v="5.5"/>
    <x v="1"/>
  </r>
  <r>
    <x v="228"/>
    <s v="MCC Classes"/>
    <d v="1899-12-30T08:00:00"/>
    <d v="1899-12-30T12:30:00"/>
    <n v="4.5000000000000018"/>
    <m/>
    <m/>
    <n v="4.5000000000000018"/>
    <x v="1"/>
  </r>
  <r>
    <x v="228"/>
    <s v="MCC Rental"/>
    <d v="1899-12-30T19:30:00"/>
    <d v="1899-12-30T00:00:00"/>
    <n v="4.5"/>
    <m/>
    <m/>
    <n v="4.5"/>
    <x v="1"/>
  </r>
  <r>
    <x v="229"/>
    <s v="MSRC Classes"/>
    <d v="1899-12-30T08:00:00"/>
    <d v="1899-12-30T14:00:00"/>
    <n v="5.5000000000000018"/>
    <n v="0.5"/>
    <m/>
    <n v="7.5000000000000018"/>
    <x v="1"/>
  </r>
  <r>
    <x v="229"/>
    <s v="MCC Classes"/>
    <d v="1899-12-30T16:30:00"/>
    <d v="1899-12-30T21:30:00"/>
    <n v="4.5000000000000009"/>
    <n v="0.5"/>
    <m/>
    <n v="6.5000000000000009"/>
    <x v="1"/>
  </r>
  <r>
    <x v="230"/>
    <s v="MSRC Classes"/>
    <d v="1899-12-30T08:00:00"/>
    <d v="1899-12-30T14:00:00"/>
    <n v="5.5000000000000018"/>
    <n v="0.5"/>
    <m/>
    <n v="7.5000000000000018"/>
    <x v="1"/>
  </r>
  <r>
    <x v="230"/>
    <s v="MSRC Classes"/>
    <d v="1899-12-30T16:00:00"/>
    <d v="1899-12-30T21:30:00"/>
    <n v="5.5000000000000018"/>
    <m/>
    <m/>
    <n v="7.5000000000000018"/>
    <x v="1"/>
  </r>
  <r>
    <x v="231"/>
    <s v="MSRC Classes"/>
    <d v="1899-12-30T18:00:00"/>
    <d v="1899-12-30T23:00:00"/>
    <n v="5.0000000000000009"/>
    <m/>
    <m/>
    <n v="7.0000000000000009"/>
    <x v="1"/>
  </r>
  <r>
    <x v="231"/>
    <s v="MSRC Classes"/>
    <d v="1899-12-30T08:00:00"/>
    <d v="1899-12-30T14:00:00"/>
    <n v="5.5000000000000018"/>
    <n v="0.5"/>
    <m/>
    <n v="7.5000000000000018"/>
    <x v="1"/>
  </r>
  <r>
    <x v="232"/>
    <s v="MSRC Classes"/>
    <d v="1899-12-30T08:00:00"/>
    <d v="1899-12-30T14:00:00"/>
    <n v="5.5000000000000018"/>
    <n v="0.5"/>
    <m/>
    <n v="7.5000000000000018"/>
    <x v="1"/>
  </r>
  <r>
    <x v="233"/>
    <s v="MSRC Classes"/>
    <d v="1899-12-30T06:30:00"/>
    <d v="1899-12-30T10:00:00"/>
    <n v="3.5000000000000009"/>
    <m/>
    <m/>
    <n v="3.5000000000000009"/>
    <x v="1"/>
  </r>
  <r>
    <x v="233"/>
    <s v="MSRC Classes"/>
    <d v="1899-12-30T08:00:00"/>
    <d v="1899-12-30T13:00:00"/>
    <n v="5"/>
    <m/>
    <m/>
    <n v="5"/>
    <x v="1"/>
  </r>
  <r>
    <x v="233"/>
    <s v="MCC Classes"/>
    <d v="1899-12-30T08:00:00"/>
    <d v="1899-12-30T12:30:00"/>
    <n v="4.5000000000000018"/>
    <m/>
    <m/>
    <n v="4.5000000000000018"/>
    <x v="1"/>
  </r>
  <r>
    <x v="233"/>
    <s v="MSRC Rental"/>
    <d v="1899-12-30T13:00:00"/>
    <d v="1899-12-30T21:00:00"/>
    <n v="7.5"/>
    <n v="0.5"/>
    <m/>
    <n v="7.5"/>
    <x v="1"/>
  </r>
  <r>
    <x v="233"/>
    <s v="MCC Rental"/>
    <d v="1899-12-30T11:30:00"/>
    <d v="1899-12-30T18:00:00"/>
    <n v="6"/>
    <n v="0.5"/>
    <m/>
    <n v="6"/>
    <x v="1"/>
  </r>
  <r>
    <x v="233"/>
    <s v="AD Rental"/>
    <d v="1899-12-30T12:00:00"/>
    <d v="1899-12-30T19:00:00"/>
    <n v="6.4999999999999991"/>
    <n v="0.5"/>
    <m/>
    <n v="6.4999999999999991"/>
    <x v="1"/>
  </r>
  <r>
    <x v="233"/>
    <s v="MCC Rental"/>
    <d v="1899-12-30T18:00:00"/>
    <d v="1899-12-30T00:30:00"/>
    <n v="6.0000000000000009"/>
    <n v="0.5"/>
    <m/>
    <n v="6.0000000000000009"/>
    <x v="1"/>
  </r>
  <r>
    <x v="234"/>
    <s v="AD Rental"/>
    <d v="1899-12-30T14:00:00"/>
    <d v="1899-12-30T22:00:00"/>
    <n v="7.4999999999999982"/>
    <n v="0.5"/>
    <m/>
    <n v="7.4999999999999982"/>
    <x v="1"/>
  </r>
  <r>
    <x v="235"/>
    <s v="MSRC Classes"/>
    <d v="1899-12-30T08:00:00"/>
    <d v="1899-12-30T14:00:00"/>
    <n v="5.5000000000000018"/>
    <n v="0.5"/>
    <m/>
    <n v="7.5000000000000018"/>
    <x v="1"/>
  </r>
  <r>
    <x v="236"/>
    <s v="MCC Rental"/>
    <d v="1899-12-30T16:00:00"/>
    <d v="1899-12-30T21:00:00"/>
    <n v="5.0000000000000009"/>
    <m/>
    <m/>
    <n v="7.0000000000000009"/>
    <x v="1"/>
  </r>
  <r>
    <x v="236"/>
    <s v="MSRC Classes"/>
    <d v="1899-12-30T08:00:00"/>
    <d v="1899-12-30T14:00:00"/>
    <n v="5.5000000000000018"/>
    <n v="0.5"/>
    <m/>
    <n v="7.5000000000000018"/>
    <x v="1"/>
  </r>
  <r>
    <x v="237"/>
    <s v="MSRC Classes"/>
    <d v="1899-12-30T08:00:00"/>
    <d v="1899-12-30T14:00:00"/>
    <n v="5.5000000000000018"/>
    <n v="0.5"/>
    <m/>
    <n v="7.5000000000000018"/>
    <x v="1"/>
  </r>
  <r>
    <x v="238"/>
    <s v="MSRC Classes"/>
    <d v="1899-12-30T08:00:00"/>
    <d v="1899-12-30T14:00:00"/>
    <n v="5.5000000000000018"/>
    <n v="0.5"/>
    <m/>
    <n v="7.5000000000000018"/>
    <x v="1"/>
  </r>
  <r>
    <x v="238"/>
    <s v="MSRC Classes"/>
    <d v="1899-12-30T18:30:00"/>
    <d v="1899-12-30T23:00:00"/>
    <n v="4.5"/>
    <m/>
    <m/>
    <n v="6.5"/>
    <x v="1"/>
  </r>
  <r>
    <x v="239"/>
    <s v="AD Internal"/>
    <d v="1899-12-30T08:00:00"/>
    <d v="1899-12-30T16:00:00"/>
    <n v="7.5"/>
    <n v="0.5"/>
    <m/>
    <n v="9.5"/>
    <x v="1"/>
  </r>
  <r>
    <x v="239"/>
    <s v="MCC Rental"/>
    <d v="1899-12-30T15:00:00"/>
    <d v="1899-12-30T20:00:00"/>
    <n v="5.0000000000000009"/>
    <m/>
    <m/>
    <n v="7.0000000000000009"/>
    <x v="1"/>
  </r>
  <r>
    <x v="239"/>
    <s v="MSRC Classes"/>
    <d v="1899-12-30T08:00:00"/>
    <d v="1899-12-30T14:00:00"/>
    <n v="5.5000000000000018"/>
    <n v="0.5"/>
    <m/>
    <n v="7.5000000000000018"/>
    <x v="1"/>
  </r>
  <r>
    <x v="240"/>
    <s v="MCC Classes"/>
    <d v="1899-12-30T08:00:00"/>
    <d v="1899-12-30T12:30:00"/>
    <n v="4.5000000000000018"/>
    <m/>
    <m/>
    <n v="4.5000000000000018"/>
    <x v="1"/>
  </r>
  <r>
    <x v="240"/>
    <s v="MCC Rental"/>
    <d v="1899-12-30T16:00:00"/>
    <d v="1899-12-30T20:00:00"/>
    <n v="4.0000000000000018"/>
    <m/>
    <m/>
    <n v="4.0000000000000018"/>
    <x v="1"/>
  </r>
  <r>
    <x v="240"/>
    <s v="MSRC Rental"/>
    <d v="1899-12-30T17:00:00"/>
    <d v="1899-12-30T23:00:00"/>
    <n v="5.5"/>
    <n v="0.5"/>
    <m/>
    <n v="5.5"/>
    <x v="1"/>
  </r>
  <r>
    <x v="240"/>
    <s v="MCC Rental"/>
    <d v="1899-12-30T20:00:00"/>
    <d v="1899-12-30T01:00:00"/>
    <n v="4.9999999999999982"/>
    <m/>
    <m/>
    <n v="4.9999999999999982"/>
    <x v="1"/>
  </r>
  <r>
    <x v="240"/>
    <s v="MSRC Rental"/>
    <d v="1899-12-30T11:00:00"/>
    <d v="1899-12-30T17:00:00"/>
    <n v="5.5000000000000018"/>
    <n v="0.5"/>
    <m/>
    <n v="5.5000000000000018"/>
    <x v="1"/>
  </r>
  <r>
    <x v="240"/>
    <s v="MSRC Rental"/>
    <d v="1899-12-30T06:30:00"/>
    <d v="1899-12-30T10:00:00"/>
    <n v="3.5000000000000009"/>
    <m/>
    <m/>
    <n v="3.5000000000000009"/>
    <x v="1"/>
  </r>
  <r>
    <x v="240"/>
    <s v="MSRC Classes"/>
    <d v="1899-12-30T08:00:00"/>
    <d v="1899-12-30T13:00:00"/>
    <n v="5"/>
    <m/>
    <m/>
    <n v="5"/>
    <x v="1"/>
  </r>
  <r>
    <x v="241"/>
    <s v="AD Rental"/>
    <d v="1899-12-30T09:00:00"/>
    <d v="1899-12-30T17:00:00"/>
    <n v="7.5"/>
    <n v="0.5"/>
    <m/>
    <n v="7.5"/>
    <x v="1"/>
  </r>
  <r>
    <x v="241"/>
    <s v="MSRC Rental"/>
    <d v="1899-12-30T11:00:00"/>
    <d v="1899-12-30T17:00:00"/>
    <n v="5.5000000000000018"/>
    <n v="0.5"/>
    <m/>
    <n v="5.5000000000000018"/>
    <x v="1"/>
  </r>
  <r>
    <x v="242"/>
    <s v="MSRC Classes"/>
    <d v="1899-12-30T08:00:00"/>
    <d v="1899-12-30T14:00:00"/>
    <n v="5.5000000000000018"/>
    <n v="0.5"/>
    <m/>
    <n v="7.5000000000000018"/>
    <x v="1"/>
  </r>
  <r>
    <x v="243"/>
    <s v="MSRC Classes"/>
    <d v="1899-12-30T08:00:00"/>
    <d v="1899-12-30T14:00:00"/>
    <n v="5.5000000000000018"/>
    <n v="0.5"/>
    <m/>
    <n v="7.5000000000000018"/>
    <x v="1"/>
  </r>
  <r>
    <x v="244"/>
    <s v="MCC Classes"/>
    <d v="1899-12-30T16:30:00"/>
    <d v="1899-12-30T21:30:00"/>
    <n v="5.0000000000000009"/>
    <m/>
    <m/>
    <n v="7.0000000000000009"/>
    <x v="1"/>
  </r>
  <r>
    <x v="244"/>
    <s v="MSRC Classes"/>
    <d v="1899-12-30T08:00:00"/>
    <d v="1899-12-30T14:00:00"/>
    <n v="5.5000000000000018"/>
    <n v="0.5"/>
    <m/>
    <n v="7.5000000000000018"/>
    <x v="1"/>
  </r>
  <r>
    <x v="244"/>
    <s v="MSRC Classes"/>
    <d v="1899-12-30T17:00:00"/>
    <d v="1899-12-30T21:00:00"/>
    <n v="3.9999999999999991"/>
    <m/>
    <m/>
    <n v="5.9999999999999991"/>
    <x v="1"/>
  </r>
  <r>
    <x v="245"/>
    <s v="MSRC Classes"/>
    <d v="1899-12-30T08:00:00"/>
    <d v="1899-12-30T14:00:00"/>
    <n v="5.5000000000000018"/>
    <n v="0.5"/>
    <m/>
    <n v="7.5000000000000018"/>
    <x v="1"/>
  </r>
  <r>
    <x v="245"/>
    <s v="MSRC Classes"/>
    <d v="1899-12-30T18:30:00"/>
    <d v="1899-12-30T23:00:00"/>
    <n v="4.5"/>
    <m/>
    <m/>
    <n v="6.5"/>
    <x v="1"/>
  </r>
  <r>
    <x v="246"/>
    <s v="MSRC Classes"/>
    <d v="1899-12-30T08:00:00"/>
    <d v="1899-12-30T14:00:00"/>
    <n v="5.5000000000000018"/>
    <n v="0.5"/>
    <m/>
    <n v="7.5000000000000018"/>
    <x v="1"/>
  </r>
  <r>
    <x v="247"/>
    <s v="MSRC Rental"/>
    <d v="1899-12-30T06:30:00"/>
    <d v="1899-12-30T10:00:00"/>
    <n v="3.5000000000000009"/>
    <m/>
    <m/>
    <n v="3.5000000000000009"/>
    <x v="1"/>
  </r>
  <r>
    <x v="247"/>
    <s v="MSRC Classes"/>
    <d v="1899-12-30T08:00:00"/>
    <d v="1899-12-30T15:30:00"/>
    <n v="7.0000000000000018"/>
    <n v="0.5"/>
    <m/>
    <n v="7.0000000000000018"/>
    <x v="1"/>
  </r>
  <r>
    <x v="247"/>
    <s v="MSRC Rental"/>
    <d v="1899-12-30T15:00:00"/>
    <d v="1899-12-30T01:00:00"/>
    <n v="9"/>
    <n v="1"/>
    <m/>
    <n v="9"/>
    <x v="1"/>
  </r>
  <r>
    <x v="247"/>
    <s v="MCC Rental"/>
    <d v="1899-12-30T13:00:00"/>
    <d v="1899-12-30T19:00:00"/>
    <n v="5.5"/>
    <n v="0.5"/>
    <m/>
    <n v="5.5"/>
    <x v="1"/>
  </r>
  <r>
    <x v="247"/>
    <s v="AD Rental"/>
    <d v="1899-12-30T17:30:00"/>
    <d v="1899-12-30T22:00:00"/>
    <n v="4.5"/>
    <m/>
    <m/>
    <n v="4.5"/>
    <x v="1"/>
  </r>
  <r>
    <x v="247"/>
    <s v="CRAC Classes"/>
    <d v="1899-12-30T08:00:00"/>
    <d v="1899-12-30T11:30:00"/>
    <n v="3.5000000000000009"/>
    <m/>
    <m/>
    <n v="3.5000000000000009"/>
    <x v="1"/>
  </r>
  <r>
    <x v="247"/>
    <s v="MCC Classes"/>
    <d v="1899-12-30T08:00:00"/>
    <d v="1899-12-30T13:00:00"/>
    <n v="5"/>
    <m/>
    <m/>
    <n v="5"/>
    <x v="1"/>
  </r>
  <r>
    <x v="247"/>
    <s v="AD Rental"/>
    <d v="1899-12-30T12:00:00"/>
    <d v="1899-12-30T17:00:00"/>
    <n v="4.5000000000000009"/>
    <n v="0.5"/>
    <m/>
    <n v="4.5000000000000009"/>
    <x v="1"/>
  </r>
  <r>
    <x v="247"/>
    <s v="CRAC Rental"/>
    <d v="1899-12-30T11:30:00"/>
    <d v="1899-12-30T15:00:00"/>
    <n v="3.4999999999999996"/>
    <m/>
    <m/>
    <n v="3.4999999999999996"/>
    <x v="1"/>
  </r>
  <r>
    <x v="248"/>
    <s v="AD Rental"/>
    <d v="1899-12-30T13:00:00"/>
    <d v="1899-12-30T18:00:00"/>
    <n v="5.0000000000000009"/>
    <m/>
    <m/>
    <n v="5.0000000000000009"/>
    <x v="1"/>
  </r>
  <r>
    <x v="248"/>
    <s v="MCC Classes"/>
    <d v="1899-12-30T13:30:00"/>
    <d v="1899-12-30T17:30:00"/>
    <n v="3.9999999999999991"/>
    <m/>
    <m/>
    <n v="3.9999999999999991"/>
    <x v="1"/>
  </r>
  <r>
    <x v="249"/>
    <s v="MSRC Classes"/>
    <d v="1899-12-30T08:00:00"/>
    <d v="1899-12-30T14:00:00"/>
    <n v="5.5000000000000018"/>
    <n v="0.5"/>
    <m/>
    <n v="7.5000000000000018"/>
    <x v="1"/>
  </r>
  <r>
    <x v="250"/>
    <s v="MSRC Classes"/>
    <d v="1899-12-30T08:00:00"/>
    <d v="1899-12-30T14:00:00"/>
    <n v="5.5000000000000018"/>
    <n v="0.5"/>
    <m/>
    <n v="7.5000000000000018"/>
    <x v="1"/>
  </r>
  <r>
    <x v="251"/>
    <s v="MCC Classes"/>
    <d v="1899-12-30T17:00:00"/>
    <d v="1899-12-30T21:30:00"/>
    <n v="4.5"/>
    <m/>
    <m/>
    <n v="6.5"/>
    <x v="1"/>
  </r>
  <r>
    <x v="251"/>
    <s v="MSRC Classes"/>
    <d v="1899-12-30T08:00:00"/>
    <d v="1899-12-30T14:00:00"/>
    <n v="5.5000000000000018"/>
    <n v="0.5"/>
    <m/>
    <n v="7.5000000000000018"/>
    <x v="1"/>
  </r>
  <r>
    <x v="252"/>
    <s v="MSRC Classes"/>
    <d v="1899-12-30T17:30:00"/>
    <d v="1899-12-30T23:00:00"/>
    <n v="5.0000000000000018"/>
    <n v="0.5"/>
    <m/>
    <n v="7.0000000000000018"/>
    <x v="1"/>
  </r>
  <r>
    <x v="252"/>
    <s v="MSRC Classes"/>
    <d v="1899-12-30T08:00:00"/>
    <d v="1899-12-30T14:00:00"/>
    <n v="5.5000000000000018"/>
    <n v="0.5"/>
    <m/>
    <n v="7.5000000000000018"/>
    <x v="1"/>
  </r>
  <r>
    <x v="253"/>
    <s v="MSRC Classes"/>
    <d v="1899-12-30T08:00:00"/>
    <d v="1899-12-30T14:00:00"/>
    <n v="5.5000000000000018"/>
    <n v="0.5"/>
    <m/>
    <n v="7.5000000000000018"/>
    <x v="1"/>
  </r>
  <r>
    <x v="253"/>
    <s v="MSRC Classes"/>
    <d v="1899-12-30T15:00:00"/>
    <d v="1899-12-30T20:00:00"/>
    <n v="5.0000000000000009"/>
    <m/>
    <m/>
    <n v="7.0000000000000009"/>
    <x v="1"/>
  </r>
  <r>
    <x v="254"/>
    <s v="MSRC Classes"/>
    <d v="1899-12-30T08:00:00"/>
    <d v="1899-12-30T13:00:00"/>
    <n v="5"/>
    <m/>
    <m/>
    <n v="5"/>
    <x v="1"/>
  </r>
  <r>
    <x v="254"/>
    <s v="MCC Rental"/>
    <d v="1899-12-30T17:00:00"/>
    <d v="1899-12-30T22:00:00"/>
    <n v="4.9999999999999982"/>
    <m/>
    <m/>
    <n v="4.9999999999999982"/>
    <x v="1"/>
  </r>
  <r>
    <x v="254"/>
    <s v="MSRC Rental"/>
    <d v="1899-12-30T13:00:00"/>
    <d v="1899-12-30T21:00:00"/>
    <n v="7.5"/>
    <n v="0.5"/>
    <m/>
    <n v="7.5"/>
    <x v="1"/>
  </r>
  <r>
    <x v="254"/>
    <s v="MCC Rental"/>
    <d v="1899-12-30T12:00:00"/>
    <d v="1899-12-30T17:00:00"/>
    <n v="5.0000000000000009"/>
    <m/>
    <m/>
    <n v="5.0000000000000009"/>
    <x v="1"/>
  </r>
  <r>
    <x v="254"/>
    <s v="MCC Rental"/>
    <d v="1899-12-30T06:30:00"/>
    <d v="1899-12-30T12:00:00"/>
    <n v="5"/>
    <n v="0.5"/>
    <m/>
    <n v="5"/>
    <x v="1"/>
  </r>
  <r>
    <x v="254"/>
    <s v="MSRC Rental"/>
    <d v="1899-12-30T06:30:00"/>
    <d v="1899-12-30T10:00:00"/>
    <n v="3.5000000000000009"/>
    <m/>
    <m/>
    <n v="3.5000000000000009"/>
    <x v="1"/>
  </r>
  <r>
    <x v="255"/>
    <s v="MCC Classes"/>
    <d v="1899-12-30T13:00:00"/>
    <d v="1899-12-30T18:30:00"/>
    <n v="5.0000000000000018"/>
    <n v="0.5"/>
    <m/>
    <n v="5.0000000000000018"/>
    <x v="1"/>
  </r>
  <r>
    <x v="255"/>
    <s v="MCC Rental"/>
    <d v="1899-12-30T18:30:00"/>
    <d v="1899-12-30T01:00:00"/>
    <n v="5.9999999999999982"/>
    <n v="0.5"/>
    <m/>
    <n v="5.9999999999999982"/>
    <x v="1"/>
  </r>
  <r>
    <x v="255"/>
    <s v="AD Rental"/>
    <d v="1899-12-30T15:00:00"/>
    <d v="1899-12-30T21:00:00"/>
    <n v="5.5"/>
    <n v="0.5"/>
    <m/>
    <n v="5.5"/>
    <x v="1"/>
  </r>
  <r>
    <x v="255"/>
    <s v="MSRC Rental"/>
    <d v="1899-12-30T08:00:00"/>
    <d v="1899-12-30T17:00:00"/>
    <n v="8.0000000000000018"/>
    <n v="1"/>
    <m/>
    <n v="8.0000000000000018"/>
    <x v="1"/>
  </r>
  <r>
    <x v="256"/>
    <s v="MSRC Classes"/>
    <d v="1899-12-30T08:00:00"/>
    <d v="1899-12-30T14:00:00"/>
    <n v="5.5000000000000018"/>
    <n v="0.5"/>
    <m/>
    <n v="7.5000000000000018"/>
    <x v="1"/>
  </r>
  <r>
    <x v="257"/>
    <s v="MSRC Classes"/>
    <d v="1899-12-30T08:00:00"/>
    <d v="1899-12-30T14:00:00"/>
    <n v="5.5000000000000018"/>
    <n v="0.5"/>
    <n v="5521"/>
    <n v="7.5000000000000018"/>
    <x v="1"/>
  </r>
  <r>
    <x v="258"/>
    <s v="MSRC Classes"/>
    <d v="1899-12-30T07:30:00"/>
    <d v="1899-12-30T14:00:00"/>
    <n v="6.0000000000000009"/>
    <n v="0.5"/>
    <m/>
    <n v="8"/>
    <x v="1"/>
  </r>
  <r>
    <x v="258"/>
    <s v="MCC Classes"/>
    <d v="1899-12-30T17:00:00"/>
    <d v="1899-12-30T21:00:00"/>
    <n v="3.9999999999999991"/>
    <m/>
    <m/>
    <n v="5.9999999999999991"/>
    <x v="1"/>
  </r>
  <r>
    <x v="258"/>
    <s v="MSRC Classes"/>
    <d v="1899-12-30T16:00:00"/>
    <d v="1899-12-30T21:00:00"/>
    <n v="5.0000000000000009"/>
    <m/>
    <m/>
    <n v="7.0000000000000009"/>
    <x v="1"/>
  </r>
  <r>
    <x v="259"/>
    <s v="MSRC Classes"/>
    <d v="1899-12-30T08:00:00"/>
    <d v="1899-12-30T14:00:00"/>
    <n v="5.5000000000000018"/>
    <n v="0.5"/>
    <m/>
    <n v="7.5000000000000018"/>
    <x v="1"/>
  </r>
  <r>
    <x v="259"/>
    <s v="MSRC Classes"/>
    <d v="1899-12-30T16:30:00"/>
    <d v="1899-12-30T23:00:00"/>
    <n v="6.0000000000000009"/>
    <n v="0.5"/>
    <m/>
    <n v="8"/>
    <x v="1"/>
  </r>
  <r>
    <x v="260"/>
    <s v="MSRC Classes"/>
    <d v="1899-12-30T15:00:00"/>
    <d v="1899-12-30T19:00:00"/>
    <n v="3.9999999999999991"/>
    <m/>
    <m/>
    <n v="5.9999999999999991"/>
    <x v="1"/>
  </r>
  <r>
    <x v="260"/>
    <s v="MSRC Classes"/>
    <d v="1899-12-30T08:00:00"/>
    <d v="1899-12-30T14:00:00"/>
    <n v="5.5000000000000018"/>
    <n v="0.5"/>
    <m/>
    <n v="7.5000000000000018"/>
    <x v="1"/>
  </r>
  <r>
    <x v="261"/>
    <s v="MSRC Rental"/>
    <d v="1899-12-30T17:30:00"/>
    <d v="1899-12-30T22:00:00"/>
    <n v="4.5"/>
    <m/>
    <m/>
    <n v="4.5"/>
    <x v="1"/>
  </r>
  <r>
    <x v="261"/>
    <s v="MCC Rental"/>
    <d v="1899-12-30T15:00:00"/>
    <d v="1899-12-30T21:00:00"/>
    <n v="5.5"/>
    <n v="0.5"/>
    <m/>
    <n v="5.5"/>
    <x v="1"/>
  </r>
  <r>
    <x v="261"/>
    <s v="MSRC Classes"/>
    <d v="1899-12-30T08:00:00"/>
    <d v="1899-12-30T13:00:00"/>
    <n v="5"/>
    <m/>
    <m/>
    <n v="5"/>
    <x v="1"/>
  </r>
  <r>
    <x v="261"/>
    <s v="MSRC Rental"/>
    <d v="1899-12-30T06:30:00"/>
    <d v="1899-12-30T10:00:00"/>
    <n v="3.5000000000000009"/>
    <m/>
    <m/>
    <n v="3.5000000000000009"/>
    <x v="1"/>
  </r>
  <r>
    <x v="261"/>
    <s v="MCC Classes"/>
    <d v="1899-12-30T09:00:00"/>
    <d v="1899-12-30T12:00:00"/>
    <n v="3"/>
    <m/>
    <m/>
    <n v="3"/>
    <x v="1"/>
  </r>
  <r>
    <x v="261"/>
    <s v="CRAC Rental"/>
    <d v="1899-12-30T08:00:00"/>
    <d v="1899-12-30T13:30:00"/>
    <n v="5"/>
    <n v="0.5"/>
    <m/>
    <n v="5"/>
    <x v="1"/>
  </r>
  <r>
    <x v="261"/>
    <s v="CRAC Rental"/>
    <d v="1899-12-30T13:30:00"/>
    <d v="1899-12-30T17:30:00"/>
    <n v="3.9999999999999991"/>
    <m/>
    <m/>
    <n v="3.9999999999999991"/>
    <x v="1"/>
  </r>
  <r>
    <x v="261"/>
    <s v="MSRC Rental"/>
    <d v="1899-12-30T13:00:00"/>
    <d v="1899-12-30T17:30:00"/>
    <n v="4.5"/>
    <m/>
    <m/>
    <n v="4.5"/>
    <x v="1"/>
  </r>
  <r>
    <x v="262"/>
    <s v="MSRC Rental"/>
    <d v="1899-12-30T11:00:00"/>
    <d v="1899-12-30T18:00:00"/>
    <n v="6.5"/>
    <n v="0.5"/>
    <m/>
    <n v="6.5"/>
    <x v="1"/>
  </r>
  <r>
    <x v="262"/>
    <s v="MSRC Rental"/>
    <d v="1899-12-30T18:00:00"/>
    <d v="1899-12-30T01:00:00"/>
    <n v="6.4999999999999991"/>
    <n v="0.5"/>
    <m/>
    <n v="6.4999999999999991"/>
    <x v="1"/>
  </r>
  <r>
    <x v="262"/>
    <s v="MCC Classes"/>
    <d v="1899-12-30T12:00:00"/>
    <d v="1899-12-30T20:00:00"/>
    <n v="7.5"/>
    <n v="0.5"/>
    <m/>
    <n v="7.5"/>
    <x v="1"/>
  </r>
  <r>
    <x v="263"/>
    <s v="MSRC Classes"/>
    <d v="1899-12-30T08:00:00"/>
    <d v="1899-12-30T14:00:00"/>
    <n v="5.5000000000000018"/>
    <n v="0.5"/>
    <m/>
    <n v="7.5000000000000018"/>
    <x v="1"/>
  </r>
  <r>
    <x v="263"/>
    <s v="MCC Classes"/>
    <d v="1899-12-30T17:00:00"/>
    <d v="1899-12-30T22:00:00"/>
    <n v="4.9999999999999982"/>
    <m/>
    <m/>
    <n v="6.9999999999999982"/>
    <x v="1"/>
  </r>
  <r>
    <x v="264"/>
    <s v="MSRC Classes"/>
    <d v="1899-12-30T08:00:00"/>
    <d v="1899-12-30T14:00:00"/>
    <n v="5.5000000000000018"/>
    <n v="0.5"/>
    <m/>
    <n v="7.5000000000000018"/>
    <x v="1"/>
  </r>
  <r>
    <x v="264"/>
    <s v="MSRC Classes"/>
    <d v="1899-12-30T15:00:00"/>
    <d v="1899-12-30T18:00:00"/>
    <n v="3"/>
    <m/>
    <m/>
    <n v="5"/>
    <x v="1"/>
  </r>
  <r>
    <x v="265"/>
    <s v="MSRC Classes"/>
    <d v="1899-12-30T08:00:00"/>
    <d v="1899-12-30T14:00:00"/>
    <n v="5.5000000000000018"/>
    <n v="0.5"/>
    <m/>
    <n v="7.5000000000000018"/>
    <x v="1"/>
  </r>
  <r>
    <x v="265"/>
    <s v="MCC Classes"/>
    <d v="1899-12-30T17:30:00"/>
    <d v="1899-12-30T21:30:00"/>
    <n v="4.0000000000000018"/>
    <m/>
    <m/>
    <n v="6.0000000000000018"/>
    <x v="1"/>
  </r>
  <r>
    <x v="266"/>
    <s v="MSRC Classes"/>
    <d v="1899-12-30T17:00:00"/>
    <d v="1899-12-30T23:00:00"/>
    <n v="5.5"/>
    <n v="0.5"/>
    <m/>
    <n v="7.5"/>
    <x v="1"/>
  </r>
  <r>
    <x v="266"/>
    <s v="MCC Classes"/>
    <d v="1899-12-30T17:00:00"/>
    <d v="1899-12-30T20:30:00"/>
    <n v="3.4999999999999982"/>
    <m/>
    <m/>
    <n v="5.4999999999999982"/>
    <x v="1"/>
  </r>
  <r>
    <x v="266"/>
    <s v="MSRC Classes"/>
    <d v="1899-12-30T08:00:00"/>
    <d v="1899-12-30T14:00:00"/>
    <n v="5.5000000000000018"/>
    <n v="0.5"/>
    <m/>
    <n v="7.5000000000000018"/>
    <x v="1"/>
  </r>
  <r>
    <x v="267"/>
    <s v="MSRC Classes"/>
    <d v="1899-12-30T08:00:00"/>
    <d v="1899-12-30T14:00:00"/>
    <n v="5.5000000000000018"/>
    <n v="0.5"/>
    <m/>
    <n v="7.5000000000000018"/>
    <x v="1"/>
  </r>
  <r>
    <x v="267"/>
    <s v="AD Rental"/>
    <d v="1899-12-30T11:00:00"/>
    <d v="1899-12-30T19:00:00"/>
    <n v="7.5"/>
    <n v="0.5"/>
    <m/>
    <n v="9.5"/>
    <x v="1"/>
  </r>
  <r>
    <x v="268"/>
    <s v="MCC Rental"/>
    <d v="1899-12-30T15:00:00"/>
    <d v="1899-12-30T01:00:00"/>
    <n v="9"/>
    <n v="1"/>
    <m/>
    <n v="9"/>
    <x v="1"/>
  </r>
  <r>
    <x v="268"/>
    <s v="MCC Classes"/>
    <d v="1899-12-30T09:00:00"/>
    <d v="1899-12-30T12:00:00"/>
    <n v="3"/>
    <m/>
    <m/>
    <n v="3"/>
    <x v="1"/>
  </r>
  <r>
    <x v="268"/>
    <s v="MSRC Classes"/>
    <d v="1899-12-30T06:30:00"/>
    <d v="1899-12-30T13:00:00"/>
    <n v="6"/>
    <n v="0.5"/>
    <m/>
    <n v="6"/>
    <x v="1"/>
  </r>
  <r>
    <x v="269"/>
    <s v="MCC Classes"/>
    <d v="1899-12-30T14:30:00"/>
    <d v="1899-12-30T17:30:00"/>
    <n v="3"/>
    <m/>
    <m/>
    <n v="3"/>
    <x v="1"/>
  </r>
  <r>
    <x v="270"/>
    <s v="MSRC Classes"/>
    <d v="1899-12-30T08:00:00"/>
    <d v="1899-12-30T14:00:00"/>
    <n v="5.5000000000000018"/>
    <n v="0.5"/>
    <m/>
    <n v="7.5000000000000018"/>
    <x v="1"/>
  </r>
  <r>
    <x v="271"/>
    <s v="MSRC Classes"/>
    <d v="1899-12-30T08:00:00"/>
    <d v="1899-12-30T14:00:00"/>
    <n v="5.5000000000000018"/>
    <n v="0.5"/>
    <m/>
    <n v="7.5000000000000018"/>
    <x v="1"/>
  </r>
  <r>
    <x v="272"/>
    <s v="MSRC Classes"/>
    <d v="1899-12-30T08:00:00"/>
    <d v="1899-12-30T11:00:00"/>
    <n v="3"/>
    <m/>
    <m/>
    <n v="5"/>
    <x v="1"/>
  </r>
  <r>
    <x v="272"/>
    <s v="MSRC Classes"/>
    <d v="1899-12-30T11:00:00"/>
    <d v="1899-12-30T14:00:00"/>
    <n v="3.0000000000000013"/>
    <m/>
    <m/>
    <n v="5.0000000000000018"/>
    <x v="1"/>
  </r>
  <r>
    <x v="272"/>
    <s v="MSRC Classes"/>
    <d v="1899-12-30T16:30:00"/>
    <d v="1899-12-30T21:30:00"/>
    <n v="5.0000000000000009"/>
    <m/>
    <m/>
    <n v="7.0000000000000009"/>
    <x v="1"/>
  </r>
  <r>
    <x v="273"/>
    <s v="MSRC Classes"/>
    <d v="1899-12-30T08:00:00"/>
    <d v="1899-12-30T14:00:00"/>
    <n v="5.5000000000000018"/>
    <n v="0.5"/>
    <m/>
    <n v="7.5000000000000018"/>
    <x v="1"/>
  </r>
  <r>
    <x v="273"/>
    <s v="MSRC Classes"/>
    <d v="1899-12-30T17:00:00"/>
    <d v="1899-12-30T23:00:00"/>
    <n v="5.5"/>
    <n v="0.5"/>
    <m/>
    <n v="7.5"/>
    <x v="1"/>
  </r>
  <r>
    <x v="274"/>
    <s v="MSRC Classes"/>
    <d v="1899-12-30T08:00:00"/>
    <d v="1899-12-30T14:00:00"/>
    <n v="5.5000000000000018"/>
    <n v="0.5"/>
    <m/>
    <n v="7.5000000000000018"/>
    <x v="1"/>
  </r>
  <r>
    <x v="274"/>
    <s v="MSRC Classes"/>
    <d v="1899-12-30T15:00:00"/>
    <d v="1899-12-30T20:00:00"/>
    <n v="5.0000000000000009"/>
    <m/>
    <m/>
    <n v="7.0000000000000009"/>
    <x v="1"/>
  </r>
  <r>
    <x v="275"/>
    <s v="CRAC Rental"/>
    <d v="1899-12-30T12:00:00"/>
    <d v="1899-12-30T18:00:00"/>
    <n v="5.5"/>
    <n v="0.5"/>
    <m/>
    <n v="5.5"/>
    <x v="1"/>
  </r>
  <r>
    <x v="275"/>
    <s v="MCC Classes"/>
    <d v="1899-12-30T09:00:00"/>
    <d v="1899-12-30T12:00:00"/>
    <n v="3"/>
    <m/>
    <m/>
    <n v="3"/>
    <x v="1"/>
  </r>
  <r>
    <x v="275"/>
    <s v="MSRC Rental"/>
    <d v="1899-12-30T13:00:00"/>
    <d v="1899-12-30T18:30:00"/>
    <n v="5.0000000000000018"/>
    <n v="0.5"/>
    <m/>
    <n v="5.0000000000000018"/>
    <x v="1"/>
  </r>
  <r>
    <x v="275"/>
    <s v="MSRC Rental"/>
    <d v="1899-12-30T18:30:00"/>
    <d v="1899-12-30T00:00:00"/>
    <n v="4.9999999999999991"/>
    <n v="0.5"/>
    <m/>
    <n v="4.9999999999999991"/>
    <x v="1"/>
  </r>
  <r>
    <x v="275"/>
    <s v="MSRC Classes"/>
    <d v="1899-12-30T06:30:00"/>
    <d v="1899-12-30T10:00:00"/>
    <n v="3.5000000000000009"/>
    <m/>
    <m/>
    <n v="3.5000000000000009"/>
    <x v="1"/>
  </r>
  <r>
    <x v="275"/>
    <s v="MSRC Classes"/>
    <d v="1899-12-30T08:00:00"/>
    <d v="1899-12-30T13:00:00"/>
    <n v="5"/>
    <m/>
    <m/>
    <n v="5"/>
    <x v="1"/>
  </r>
  <r>
    <x v="276"/>
    <s v="MSRC Rental"/>
    <d v="1899-12-30T10:00:00"/>
    <d v="1899-12-30T19:00:00"/>
    <n v="7.9999999999999982"/>
    <n v="1"/>
    <m/>
    <n v="7.9999999999999982"/>
    <x v="1"/>
  </r>
  <r>
    <x v="276"/>
    <s v="MCC Classes"/>
    <d v="1899-12-30T14:30:00"/>
    <d v="1899-12-30T17:30:00"/>
    <n v="3"/>
    <m/>
    <m/>
    <n v="3"/>
    <x v="1"/>
  </r>
  <r>
    <x v="277"/>
    <s v="MSRC Classes"/>
    <d v="1899-12-30T08:00:00"/>
    <d v="1899-12-30T14:00:00"/>
    <n v="5.5000000000000018"/>
    <n v="0.5"/>
    <m/>
    <n v="7.5000000000000018"/>
    <x v="1"/>
  </r>
  <r>
    <x v="278"/>
    <s v="MSRC Classes"/>
    <d v="1899-12-30T08:00:00"/>
    <d v="1899-12-30T14:00:00"/>
    <n v="5.5000000000000018"/>
    <n v="0.5"/>
    <m/>
    <n v="7.5000000000000018"/>
    <x v="1"/>
  </r>
  <r>
    <x v="279"/>
    <s v="MCC Classes"/>
    <d v="1899-12-30T17:00:00"/>
    <d v="1899-12-30T21:30:00"/>
    <n v="4.5"/>
    <m/>
    <m/>
    <n v="6.5"/>
    <x v="1"/>
  </r>
  <r>
    <x v="279"/>
    <s v="MSRC Classes"/>
    <d v="1899-12-30T08:00:00"/>
    <d v="1899-12-30T14:00:00"/>
    <n v="5.5000000000000018"/>
    <n v="0.5"/>
    <m/>
    <n v="7.5000000000000018"/>
    <x v="1"/>
  </r>
  <r>
    <x v="280"/>
    <s v="MCC Classes"/>
    <d v="1899-12-30T18:00:00"/>
    <d v="1899-12-30T23:30:00"/>
    <n v="4.9999999999999991"/>
    <n v="0.5"/>
    <m/>
    <n v="6.9999999999999991"/>
    <x v="1"/>
  </r>
  <r>
    <x v="280"/>
    <s v="MSRC Classes"/>
    <d v="1899-12-30T08:00:00"/>
    <d v="1899-12-30T14:00:00"/>
    <n v="5.5000000000000018"/>
    <n v="0.5"/>
    <m/>
    <n v="7.5000000000000018"/>
    <x v="1"/>
  </r>
  <r>
    <x v="280"/>
    <s v="MSRC Classes"/>
    <d v="1899-12-30T17:00:00"/>
    <d v="1899-12-30T23:00:00"/>
    <n v="5.5"/>
    <n v="0.5"/>
    <m/>
    <n v="7.5"/>
    <x v="1"/>
  </r>
  <r>
    <x v="280"/>
    <s v="MCC Rental"/>
    <d v="1899-12-30T11:30:00"/>
    <d v="1899-12-30T17:30:00"/>
    <n v="5.4999999999999982"/>
    <n v="0.5"/>
    <m/>
    <n v="7.4999999999999982"/>
    <x v="1"/>
  </r>
  <r>
    <x v="281"/>
    <s v="MCC Classes"/>
    <d v="1899-12-30T11:30:00"/>
    <d v="1899-12-30T17:30:00"/>
    <n v="5.4999999999999982"/>
    <n v="0.5"/>
    <m/>
    <n v="7.4999999999999982"/>
    <x v="1"/>
  </r>
  <r>
    <x v="281"/>
    <s v="MSRC Classes"/>
    <d v="1899-12-30T08:00:00"/>
    <d v="1899-12-30T14:00:00"/>
    <n v="5.5000000000000018"/>
    <n v="0.5"/>
    <m/>
    <n v="7.5000000000000018"/>
    <x v="1"/>
  </r>
  <r>
    <x v="282"/>
    <s v="MSRC Rental"/>
    <d v="1899-12-30T06:30:00"/>
    <d v="1899-12-30T14:30:00"/>
    <n v="7.5"/>
    <n v="0.5"/>
    <m/>
    <n v="7.5"/>
    <x v="1"/>
  </r>
  <r>
    <x v="282"/>
    <s v="MCC Rental"/>
    <d v="1899-12-30T08:00:00"/>
    <d v="1899-12-30T14:00:00"/>
    <n v="5.5000000000000018"/>
    <n v="0.5"/>
    <m/>
    <n v="5.5000000000000018"/>
    <x v="1"/>
  </r>
  <r>
    <x v="282"/>
    <s v="MCC Rental"/>
    <d v="1899-12-30T14:00:00"/>
    <d v="1899-12-30T18:30:00"/>
    <n v="4.5"/>
    <m/>
    <m/>
    <n v="4.5"/>
    <x v="1"/>
  </r>
  <r>
    <x v="282"/>
    <s v="MSRC Rental"/>
    <d v="1899-12-30T14:00:00"/>
    <d v="1899-12-30T01:00:00"/>
    <n v="9.9999999999999982"/>
    <n v="1"/>
    <m/>
    <n v="9.9999999999999982"/>
    <x v="1"/>
  </r>
  <r>
    <x v="282"/>
    <s v="AD Rental"/>
    <d v="1899-12-30T14:30:00"/>
    <d v="1899-12-30T20:30:00"/>
    <n v="5.5"/>
    <n v="0.5"/>
    <m/>
    <n v="5.5"/>
    <x v="1"/>
  </r>
  <r>
    <x v="282"/>
    <s v="MSC Rental"/>
    <d v="1899-12-30T17:30:00"/>
    <d v="1899-12-30T21:30:00"/>
    <n v="4.0000000000000018"/>
    <m/>
    <m/>
    <n v="4.0000000000000018"/>
    <x v="1"/>
  </r>
  <r>
    <x v="283"/>
    <s v="MCC Rental"/>
    <d v="1899-12-30T12:00:00"/>
    <d v="1899-12-30T18:00:00"/>
    <n v="5.5"/>
    <n v="0.5"/>
    <m/>
    <n v="5.5"/>
    <x v="1"/>
  </r>
  <r>
    <x v="283"/>
    <s v="MSRC Rental"/>
    <d v="1899-12-30T13:30:00"/>
    <d v="1899-12-30T18:30:00"/>
    <n v="5.0000000000000009"/>
    <m/>
    <m/>
    <n v="5.0000000000000009"/>
    <x v="1"/>
  </r>
  <r>
    <x v="284"/>
    <s v="MSRC Classes"/>
    <d v="1899-12-30T08:00:00"/>
    <d v="1899-12-30T14:00:00"/>
    <n v="5.5000000000000018"/>
    <n v="0.5"/>
    <m/>
    <n v="7.5000000000000018"/>
    <x v="1"/>
  </r>
  <r>
    <x v="285"/>
    <s v="MSRC Classes"/>
    <d v="1899-12-30T08:00:00"/>
    <d v="1899-12-30T14:00:00"/>
    <n v="5.5000000000000018"/>
    <n v="0.5"/>
    <m/>
    <n v="7.5000000000000018"/>
    <x v="1"/>
  </r>
  <r>
    <x v="286"/>
    <s v="MCC Classes"/>
    <d v="1899-12-30T17:00:00"/>
    <d v="1899-12-30T21:30:00"/>
    <n v="4.5"/>
    <m/>
    <m/>
    <n v="6.5"/>
    <x v="1"/>
  </r>
  <r>
    <x v="286"/>
    <s v="MSRC Classes"/>
    <d v="1899-12-30T08:00:00"/>
    <d v="1899-12-30T14:00:00"/>
    <n v="5.5000000000000018"/>
    <n v="0.5"/>
    <m/>
    <n v="7.5000000000000018"/>
    <x v="1"/>
  </r>
  <r>
    <x v="287"/>
    <s v="MSRC Classes"/>
    <d v="1899-12-30T18:30:00"/>
    <d v="1899-12-30T22:00:00"/>
    <n v="3.4999999999999982"/>
    <m/>
    <m/>
    <n v="5.4999999999999982"/>
    <x v="1"/>
  </r>
  <r>
    <x v="287"/>
    <s v="MSRC Classes"/>
    <d v="1899-12-30T08:00:00"/>
    <d v="1899-12-30T14:00:00"/>
    <n v="5.5000000000000018"/>
    <n v="0.5"/>
    <m/>
    <n v="7.5000000000000018"/>
    <x v="1"/>
  </r>
  <r>
    <x v="288"/>
    <s v="MSRC Classes"/>
    <d v="1899-12-30T08:00:00"/>
    <d v="1899-12-30T14:00:00"/>
    <n v="5.5000000000000018"/>
    <n v="0.5"/>
    <n v="5521"/>
    <n v="7.5000000000000018"/>
    <x v="1"/>
  </r>
  <r>
    <x v="288"/>
    <s v="MCC Rental"/>
    <d v="1899-12-30T18:00:00"/>
    <d v="1899-12-30T23:00:00"/>
    <n v="5.0000000000000009"/>
    <m/>
    <m/>
    <n v="7.0000000000000009"/>
    <x v="1"/>
  </r>
  <r>
    <x v="288"/>
    <s v="MCC Rental"/>
    <d v="1899-12-30T11:00:00"/>
    <d v="1899-12-30T16:00:00"/>
    <n v="5"/>
    <m/>
    <m/>
    <n v="7"/>
    <x v="1"/>
  </r>
  <r>
    <x v="289"/>
    <s v="CRAC Rental"/>
    <d v="1899-12-30T10:00:00"/>
    <d v="1899-12-30T13:00:00"/>
    <n v="2.9999999999999987"/>
    <m/>
    <m/>
    <n v="2.9999999999999987"/>
    <x v="1"/>
  </r>
  <r>
    <x v="289"/>
    <s v="MCC Classes"/>
    <d v="1899-12-30T09:00:00"/>
    <d v="1899-12-30T11:00:00"/>
    <n v="1.9999999999999996"/>
    <m/>
    <m/>
    <n v="1.9999999999999996"/>
    <x v="1"/>
  </r>
  <r>
    <x v="289"/>
    <s v="MSRC Rental"/>
    <d v="1899-12-30T06:30:00"/>
    <d v="1899-12-30T13:00:00"/>
    <n v="6"/>
    <n v="0.5"/>
    <m/>
    <n v="6"/>
    <x v="1"/>
  </r>
  <r>
    <x v="289"/>
    <s v="MCC Rental"/>
    <d v="1899-12-30T13:00:00"/>
    <d v="1899-12-30T01:30:00"/>
    <n v="11.5"/>
    <n v="1"/>
    <m/>
    <n v="11.5"/>
    <x v="1"/>
  </r>
  <r>
    <x v="289"/>
    <s v="MSRC Rental"/>
    <d v="1899-12-30T13:00:00"/>
    <d v="1899-12-30T22:00:00"/>
    <n v="8"/>
    <n v="1"/>
    <m/>
    <n v="8"/>
    <x v="1"/>
  </r>
  <r>
    <x v="289"/>
    <s v="CRAC Rental"/>
    <d v="1899-12-30T13:00:00"/>
    <d v="1899-12-30T17:00:00"/>
    <n v="4.0000000000000018"/>
    <m/>
    <m/>
    <n v="4.0000000000000018"/>
    <x v="1"/>
  </r>
  <r>
    <x v="289"/>
    <s v="AD Rental"/>
    <d v="1899-12-30T11:00:00"/>
    <d v="1899-12-30T19:00:00"/>
    <n v="7.5"/>
    <n v="0.5"/>
    <m/>
    <n v="7.5"/>
    <x v="1"/>
  </r>
  <r>
    <x v="290"/>
    <s v="MCC Classes"/>
    <d v="1899-12-30T15:00:00"/>
    <d v="1899-12-30T17:00:00"/>
    <n v="2.0000000000000009"/>
    <m/>
    <m/>
    <n v="2.0000000000000009"/>
    <x v="1"/>
  </r>
  <r>
    <x v="291"/>
    <s v="MSRC Classes"/>
    <d v="1899-12-30T18:00:00"/>
    <d v="1899-12-30T23:00:00"/>
    <n v="5.0000000000000009"/>
    <m/>
    <m/>
    <n v="7.0000000000000009"/>
    <x v="1"/>
  </r>
  <r>
    <x v="291"/>
    <s v="MSRC Classes"/>
    <d v="1899-12-30T08:00:00"/>
    <d v="1899-12-30T14:00:00"/>
    <n v="5.5000000000000018"/>
    <n v="0.5"/>
    <m/>
    <n v="7.5000000000000018"/>
    <x v="1"/>
  </r>
  <r>
    <x v="292"/>
    <s v="MSRC Classes"/>
    <d v="1899-12-30T08:00:00"/>
    <d v="1899-12-30T14:00:00"/>
    <n v="5.5000000000000018"/>
    <n v="0.5"/>
    <m/>
    <n v="7.5000000000000018"/>
    <x v="1"/>
  </r>
  <r>
    <x v="292"/>
    <s v="MCC Rental"/>
    <d v="1899-12-30T17:00:00"/>
    <d v="1899-12-30T22:30:00"/>
    <n v="4.9999999999999991"/>
    <n v="0.5"/>
    <m/>
    <n v="6.9999999999999991"/>
    <x v="1"/>
  </r>
  <r>
    <x v="293"/>
    <s v="MCC Classes"/>
    <d v="1899-12-30T15:00:00"/>
    <d v="1899-12-30T21:30:00"/>
    <n v="6.0000000000000009"/>
    <n v="0.5"/>
    <m/>
    <n v="8"/>
    <x v="1"/>
  </r>
  <r>
    <x v="293"/>
    <s v="MSRC Classes"/>
    <d v="1899-12-30T08:00:00"/>
    <d v="1899-12-30T14:00:00"/>
    <n v="5.5000000000000018"/>
    <n v="0.5"/>
    <m/>
    <n v="7.5000000000000018"/>
    <x v="1"/>
  </r>
  <r>
    <x v="294"/>
    <s v="MSRC Classes"/>
    <d v="1899-12-30T18:30:00"/>
    <d v="1899-12-30T22:30:00"/>
    <n v="3.9999999999999991"/>
    <m/>
    <m/>
    <n v="5.9999999999999991"/>
    <x v="1"/>
  </r>
  <r>
    <x v="294"/>
    <s v="MCC Rental"/>
    <d v="1899-12-30T08:00:00"/>
    <d v="1899-12-30T17:00:00"/>
    <n v="8.0000000000000018"/>
    <n v="1"/>
    <m/>
    <n v="10.000000000000002"/>
    <x v="1"/>
  </r>
  <r>
    <x v="294"/>
    <s v="MSRC Classes"/>
    <d v="1899-12-30T08:00:00"/>
    <d v="1899-12-30T14:00:00"/>
    <n v="5.5000000000000018"/>
    <n v="0.5"/>
    <m/>
    <n v="7.5000000000000018"/>
    <x v="1"/>
  </r>
  <r>
    <x v="295"/>
    <s v="MSRC Classes"/>
    <d v="1899-12-30T08:00:00"/>
    <d v="1899-12-30T14:00:00"/>
    <n v="5.5000000000000018"/>
    <n v="0.5"/>
    <m/>
    <n v="7.5000000000000018"/>
    <x v="1"/>
  </r>
  <r>
    <x v="295"/>
    <s v="MSRC Classes"/>
    <d v="1899-12-30T16:30:00"/>
    <d v="1899-12-30T21:30:00"/>
    <n v="5.0000000000000009"/>
    <m/>
    <m/>
    <n v="7.0000000000000009"/>
    <x v="1"/>
  </r>
  <r>
    <x v="296"/>
    <s v="MSRC Classes"/>
    <d v="1899-12-30T08:00:00"/>
    <d v="1899-12-30T13:00:00"/>
    <n v="5"/>
    <m/>
    <m/>
    <n v="5"/>
    <x v="1"/>
  </r>
  <r>
    <x v="296"/>
    <s v="MSRC Rental"/>
    <d v="1899-12-30T06:30:00"/>
    <d v="1899-12-30T10:00:00"/>
    <n v="3.5000000000000009"/>
    <m/>
    <m/>
    <n v="3.5000000000000009"/>
    <x v="1"/>
  </r>
  <r>
    <x v="296"/>
    <s v="MCC Rental"/>
    <d v="1899-12-30T07:00:00"/>
    <d v="1899-12-30T13:30:00"/>
    <n v="6"/>
    <n v="0.5"/>
    <m/>
    <n v="6"/>
    <x v="1"/>
  </r>
  <r>
    <x v="296"/>
    <s v="CRAC Rental"/>
    <d v="1899-12-30T17:00:00"/>
    <d v="1899-12-30T01:30:00"/>
    <n v="7.5"/>
    <n v="1"/>
    <m/>
    <n v="7.5"/>
    <x v="1"/>
  </r>
  <r>
    <x v="296"/>
    <s v="MSRC Rental"/>
    <d v="1899-12-30T14:00:00"/>
    <d v="1899-12-30T18:00:00"/>
    <n v="3.9999999999999991"/>
    <m/>
    <m/>
    <n v="3.9999999999999991"/>
    <x v="1"/>
  </r>
  <r>
    <x v="296"/>
    <s v="MCC Rental"/>
    <d v="1899-12-30T13:00:00"/>
    <d v="1899-12-30T19:00:00"/>
    <n v="5.5"/>
    <n v="0.5"/>
    <m/>
    <n v="5.5"/>
    <x v="1"/>
  </r>
  <r>
    <x v="296"/>
    <s v="MCC Classes"/>
    <d v="1899-12-30T09:00:00"/>
    <d v="1899-12-30T12:00:00"/>
    <n v="3"/>
    <m/>
    <m/>
    <n v="3"/>
    <x v="1"/>
  </r>
  <r>
    <x v="296"/>
    <s v="AD Rental"/>
    <d v="1899-12-30T09:00:00"/>
    <d v="1899-12-30T15:30:00"/>
    <n v="6.0000000000000009"/>
    <n v="0.5"/>
    <m/>
    <n v="6.0000000000000009"/>
    <x v="1"/>
  </r>
  <r>
    <x v="296"/>
    <s v="MSRC Rental"/>
    <d v="1899-12-30T18:30:00"/>
    <d v="1899-12-30T23:00:00"/>
    <n v="4.5"/>
    <m/>
    <m/>
    <n v="4.5"/>
    <x v="1"/>
  </r>
  <r>
    <x v="297"/>
    <s v="MCC Rental"/>
    <d v="1899-12-30T10:00:00"/>
    <d v="1899-12-30T18:00:00"/>
    <n v="7"/>
    <n v="1"/>
    <m/>
    <n v="7"/>
    <x v="1"/>
  </r>
  <r>
    <x v="297"/>
    <s v="CRAC Rental"/>
    <d v="1899-12-30T13:30:00"/>
    <d v="1899-12-30T18:30:00"/>
    <n v="5.0000000000000009"/>
    <m/>
    <m/>
    <n v="5.0000000000000009"/>
    <x v="1"/>
  </r>
  <r>
    <x v="297"/>
    <s v="MSRC Rental"/>
    <d v="1899-12-30T12:00:00"/>
    <d v="1899-12-30T18:00:00"/>
    <n v="5.5"/>
    <n v="0.5"/>
    <m/>
    <n v="5.5"/>
    <x v="1"/>
  </r>
  <r>
    <x v="298"/>
    <s v="MSRC Classes"/>
    <d v="1899-12-30T08:00:00"/>
    <d v="1899-12-30T14:00:00"/>
    <n v="5.5000000000000018"/>
    <n v="0.5"/>
    <m/>
    <n v="7.5000000000000018"/>
    <x v="1"/>
  </r>
  <r>
    <x v="298"/>
    <s v="MCC Rental"/>
    <d v="1899-12-30T17:30:00"/>
    <d v="1899-12-30T20:30:00"/>
    <n v="3"/>
    <m/>
    <m/>
    <n v="5"/>
    <x v="1"/>
  </r>
  <r>
    <x v="299"/>
    <s v="MCC Classes"/>
    <d v="1899-12-30T15:00:00"/>
    <d v="1899-12-30T21:30:00"/>
    <n v="6.0000000000000009"/>
    <n v="0.5"/>
    <m/>
    <n v="8"/>
    <x v="1"/>
  </r>
  <r>
    <x v="299"/>
    <s v="MSRC Classes"/>
    <d v="1899-12-30T08:00:00"/>
    <d v="1899-12-30T14:00:00"/>
    <n v="5.5000000000000018"/>
    <n v="0.5"/>
    <m/>
    <n v="7.5000000000000018"/>
    <x v="1"/>
  </r>
  <r>
    <x v="300"/>
    <s v="MCC Internal"/>
    <d v="1899-12-30T16:30:00"/>
    <d v="1899-12-30T22:00:00"/>
    <n v="4.9999999999999991"/>
    <n v="0.5"/>
    <m/>
    <n v="6.9999999999999991"/>
    <x v="1"/>
  </r>
  <r>
    <x v="300"/>
    <s v="MSRC Classes"/>
    <d v="1899-12-30T17:00:00"/>
    <d v="1899-12-30T22:30:00"/>
    <n v="4.9999999999999991"/>
    <n v="0.5"/>
    <m/>
    <n v="6.9999999999999991"/>
    <x v="1"/>
  </r>
  <r>
    <x v="301"/>
    <s v="MCC Rental"/>
    <d v="1899-12-30T17:30:00"/>
    <d v="1899-12-30T21:30:00"/>
    <n v="4.0000000000000018"/>
    <m/>
    <m/>
    <n v="6.0000000000000018"/>
    <x v="1"/>
  </r>
  <r>
    <x v="301"/>
    <s v="MSRC Classes"/>
    <d v="1899-12-30T08:00:00"/>
    <d v="1899-12-30T14:00:00"/>
    <n v="5.5000000000000018"/>
    <n v="0.5"/>
    <m/>
    <n v="7.5000000000000018"/>
    <x v="1"/>
  </r>
  <r>
    <x v="302"/>
    <s v="MSRC Classes"/>
    <d v="1899-12-30T08:00:00"/>
    <d v="1899-12-30T13:00:00"/>
    <n v="5"/>
    <m/>
    <m/>
    <n v="5"/>
    <x v="1"/>
  </r>
  <r>
    <x v="302"/>
    <s v="MSRC Rental"/>
    <d v="1899-12-30T06:30:00"/>
    <d v="1899-12-30T10:00:00"/>
    <n v="3.5000000000000009"/>
    <m/>
    <m/>
    <n v="3.5000000000000009"/>
    <x v="1"/>
  </r>
  <r>
    <x v="302"/>
    <s v="CRAC Classes"/>
    <d v="1899-12-30T13:00:00"/>
    <d v="1899-12-30T18:30:00"/>
    <n v="5.0000000000000018"/>
    <n v="0.5"/>
    <m/>
    <n v="5.0000000000000018"/>
    <x v="1"/>
  </r>
  <r>
    <x v="302"/>
    <s v="MCC Classes"/>
    <d v="1899-12-30T09:00:00"/>
    <d v="1899-12-30T15:30:00"/>
    <n v="6.0000000000000009"/>
    <n v="0.5"/>
    <m/>
    <n v="6.0000000000000009"/>
    <x v="1"/>
  </r>
  <r>
    <x v="302"/>
    <s v="MSRC Rental"/>
    <d v="1899-12-30T13:00:00"/>
    <d v="1899-12-30T20:00:00"/>
    <n v="6.5000000000000018"/>
    <n v="0.5"/>
    <m/>
    <n v="6.5000000000000018"/>
    <x v="1"/>
  </r>
  <r>
    <x v="303"/>
    <s v="AD Rental"/>
    <d v="1899-12-30T10:00:00"/>
    <d v="1899-12-30T16:30:00"/>
    <n v="6"/>
    <n v="0.5"/>
    <m/>
    <n v="6"/>
    <x v="1"/>
  </r>
  <r>
    <x v="303"/>
    <s v="MSRC Rental"/>
    <d v="1899-12-30T15:00:00"/>
    <d v="1899-12-30T23:30:00"/>
    <n v="7.5"/>
    <n v="1"/>
    <m/>
    <n v="7.5"/>
    <x v="1"/>
  </r>
  <r>
    <x v="303"/>
    <s v="MCC Rental"/>
    <d v="1899-12-30T17:00:00"/>
    <d v="1899-12-30T23:00:00"/>
    <n v="5.5"/>
    <n v="0.5"/>
    <m/>
    <n v="5.5"/>
    <x v="1"/>
  </r>
  <r>
    <x v="303"/>
    <s v="MCC Rental"/>
    <d v="1899-12-30T13:00:00"/>
    <d v="1899-12-30T17:00:00"/>
    <n v="4.0000000000000018"/>
    <m/>
    <m/>
    <n v="4.0000000000000018"/>
    <x v="1"/>
  </r>
  <r>
    <x v="304"/>
    <s v="MSRC Classes"/>
    <d v="1899-12-30T08:00:00"/>
    <d v="1899-12-30T14:00:00"/>
    <n v="5.5000000000000018"/>
    <n v="0.5"/>
    <m/>
    <n v="7.5000000000000018"/>
    <x v="1"/>
  </r>
  <r>
    <x v="304"/>
    <s v="MCC Classes"/>
    <d v="1899-12-30T17:00:00"/>
    <d v="1899-12-30T22:00:00"/>
    <n v="4.9999999999999982"/>
    <m/>
    <m/>
    <n v="6.9999999999999982"/>
    <x v="1"/>
  </r>
  <r>
    <x v="305"/>
    <s v="MCC Rental"/>
    <d v="1899-12-30T17:30:00"/>
    <d v="1899-12-30T20:30:00"/>
    <n v="3"/>
    <m/>
    <m/>
    <n v="5"/>
    <x v="1"/>
  </r>
  <r>
    <x v="305"/>
    <s v="MSRC Classes"/>
    <d v="1899-12-30T08:00:00"/>
    <d v="1899-12-30T14:00:00"/>
    <n v="5.5000000000000018"/>
    <n v="0.5"/>
    <m/>
    <n v="7.5000000000000018"/>
    <x v="1"/>
  </r>
  <r>
    <x v="306"/>
    <s v="MSRC Classes"/>
    <d v="1899-12-30T08:00:00"/>
    <d v="1899-12-30T14:00:00"/>
    <n v="5.5000000000000018"/>
    <n v="0.5"/>
    <m/>
    <n v="7.5000000000000018"/>
    <x v="1"/>
  </r>
  <r>
    <x v="306"/>
    <s v="MCC Classes"/>
    <d v="1899-12-30T15:00:00"/>
    <d v="1899-12-30T21:30:00"/>
    <n v="6.0000000000000009"/>
    <n v="0.5"/>
    <m/>
    <n v="8"/>
    <x v="1"/>
  </r>
  <r>
    <x v="307"/>
    <s v="MSRC Classes"/>
    <d v="1899-12-30T08:00:00"/>
    <d v="1899-12-30T14:00:00"/>
    <n v="5.5000000000000018"/>
    <n v="0.5"/>
    <m/>
    <n v="7.5000000000000018"/>
    <x v="1"/>
  </r>
  <r>
    <x v="307"/>
    <s v="MSRC Classes"/>
    <d v="1899-12-30T18:30:00"/>
    <d v="1899-12-30T22:00:00"/>
    <n v="3.4999999999999982"/>
    <m/>
    <m/>
    <n v="5.4999999999999982"/>
    <x v="1"/>
  </r>
  <r>
    <x v="308"/>
    <s v="MSRC Classes"/>
    <d v="1899-12-30T08:00:00"/>
    <d v="1899-12-30T14:00:00"/>
    <n v="5.5000000000000018"/>
    <n v="0.5"/>
    <m/>
    <n v="7.5000000000000018"/>
    <x v="1"/>
  </r>
  <r>
    <x v="308"/>
    <s v="MSRC Classes"/>
    <d v="1899-12-30T16:30:00"/>
    <d v="1899-12-30T18:30:00"/>
    <n v="2.0000000000000009"/>
    <m/>
    <m/>
    <n v="4.0000000000000009"/>
    <x v="1"/>
  </r>
  <r>
    <x v="309"/>
    <s v="MSRC Classes"/>
    <d v="1899-12-30T08:00:00"/>
    <d v="1899-12-30T13:00:00"/>
    <n v="5"/>
    <m/>
    <m/>
    <n v="5"/>
    <x v="1"/>
  </r>
  <r>
    <x v="309"/>
    <s v="MSRC Rental"/>
    <d v="1899-12-30T06:30:00"/>
    <d v="1899-12-30T10:00:00"/>
    <n v="3.5000000000000009"/>
    <m/>
    <m/>
    <n v="3.5000000000000009"/>
    <x v="1"/>
  </r>
  <r>
    <x v="309"/>
    <s v="MCC Rental"/>
    <d v="1899-12-30T19:00:00"/>
    <d v="1899-12-30T01:00:00"/>
    <n v="5.5"/>
    <n v="0.5"/>
    <m/>
    <n v="5.5"/>
    <x v="1"/>
  </r>
  <r>
    <x v="309"/>
    <s v="CRAC Rental"/>
    <d v="1899-12-30T17:30:00"/>
    <d v="1899-12-30T22:00:00"/>
    <n v="4.5"/>
    <m/>
    <m/>
    <n v="4.5"/>
    <x v="1"/>
  </r>
  <r>
    <x v="309"/>
    <s v="MCC Classes"/>
    <d v="1899-12-30T08:00:00"/>
    <d v="1899-12-30T12:00:00"/>
    <n v="4"/>
    <m/>
    <m/>
    <n v="4"/>
    <x v="1"/>
  </r>
  <r>
    <x v="309"/>
    <s v="CRAC Classes"/>
    <d v="1899-12-30T08:00:00"/>
    <d v="1899-12-30T13:00:00"/>
    <n v="5"/>
    <m/>
    <m/>
    <n v="5"/>
    <x v="1"/>
  </r>
  <r>
    <x v="309"/>
    <s v="MCC Rental"/>
    <d v="1899-12-30T13:30:00"/>
    <d v="1899-12-30T19:00:00"/>
    <n v="4.9999999999999991"/>
    <n v="0.5"/>
    <m/>
    <n v="4.9999999999999991"/>
    <x v="1"/>
  </r>
  <r>
    <x v="309"/>
    <s v="CRAC Classes"/>
    <d v="1899-12-30T13:00:00"/>
    <d v="1899-12-30T17:30:00"/>
    <n v="4.5"/>
    <m/>
    <m/>
    <n v="4.5"/>
    <x v="1"/>
  </r>
  <r>
    <x v="310"/>
    <s v="AD Rental"/>
    <d v="1899-12-30T10:00:00"/>
    <d v="1899-12-30T17:00:00"/>
    <n v="6.5"/>
    <n v="0.5"/>
    <m/>
    <n v="6.5"/>
    <x v="1"/>
  </r>
  <r>
    <x v="310"/>
    <s v="MCC Rental"/>
    <d v="1899-12-30T16:30:00"/>
    <d v="1899-12-30T23:30:00"/>
    <n v="6.4999999999999991"/>
    <n v="0.5"/>
    <m/>
    <n v="6.4999999999999991"/>
    <x v="1"/>
  </r>
  <r>
    <x v="310"/>
    <s v="MSRC Rental"/>
    <d v="1899-12-30T10:00:00"/>
    <d v="1899-12-30T17:30:00"/>
    <n v="7.4999999999999982"/>
    <m/>
    <m/>
    <n v="7.4999999999999982"/>
    <x v="1"/>
  </r>
  <r>
    <x v="311"/>
    <s v="MSRC Classes"/>
    <d v="1899-12-30T08:00:00"/>
    <d v="1899-12-30T14:00:00"/>
    <n v="6.0000000000000018"/>
    <m/>
    <m/>
    <n v="8.0000000000000018"/>
    <x v="1"/>
  </r>
  <r>
    <x v="312"/>
    <s v="MSRC Classes"/>
    <d v="1899-12-30T08:00:00"/>
    <d v="1899-12-30T14:00:00"/>
    <n v="6.0000000000000018"/>
    <m/>
    <m/>
    <n v="8.0000000000000018"/>
    <x v="1"/>
  </r>
  <r>
    <x v="313"/>
    <s v="MSRC Classes"/>
    <d v="1899-12-30T08:00:00"/>
    <d v="1899-12-30T14:00:00"/>
    <n v="6.0000000000000018"/>
    <m/>
    <m/>
    <n v="8.0000000000000018"/>
    <x v="1"/>
  </r>
  <r>
    <x v="313"/>
    <s v="MCC Classes"/>
    <d v="1899-12-30T14:30:00"/>
    <d v="1899-12-30T21:30:00"/>
    <n v="7.0000000000000018"/>
    <m/>
    <m/>
    <n v="9.0000000000000018"/>
    <x v="1"/>
  </r>
  <r>
    <x v="314"/>
    <s v="MSRC Classes"/>
    <d v="1899-12-30T08:00:00"/>
    <d v="1899-12-30T13:00:00"/>
    <n v="5"/>
    <m/>
    <m/>
    <n v="5"/>
    <x v="1"/>
  </r>
  <r>
    <x v="314"/>
    <s v="MSRC Rental"/>
    <d v="1899-12-30T14:00:00"/>
    <d v="1899-12-30T22:00:00"/>
    <n v="7.9999999999999982"/>
    <m/>
    <m/>
    <n v="7.9999999999999982"/>
    <x v="1"/>
  </r>
  <r>
    <x v="314"/>
    <s v="MCC Rental"/>
    <d v="1899-12-30T13:00:00"/>
    <d v="1899-12-30T21:00:00"/>
    <n v="8"/>
    <m/>
    <m/>
    <n v="8"/>
    <x v="1"/>
  </r>
  <r>
    <x v="315"/>
    <s v="MSRC Classes"/>
    <d v="1899-12-30T08:00:00"/>
    <d v="1899-12-30T14:00:00"/>
    <n v="5.5000000000000018"/>
    <n v="0.5"/>
    <m/>
    <n v="7.5000000000000018"/>
    <x v="1"/>
  </r>
  <r>
    <x v="315"/>
    <s v="MCC Classes"/>
    <d v="1899-12-30T17:00:00"/>
    <d v="1899-12-30T19:00:00"/>
    <n v="1.9999999999999982"/>
    <m/>
    <m/>
    <n v="3.9999999999999982"/>
    <x v="1"/>
  </r>
  <r>
    <x v="316"/>
    <s v="MCC Rental"/>
    <d v="1899-12-30T17:30:00"/>
    <d v="1899-12-30T20:30:00"/>
    <n v="3"/>
    <m/>
    <m/>
    <n v="5"/>
    <x v="1"/>
  </r>
  <r>
    <x v="316"/>
    <s v="MSRC Classes"/>
    <d v="1899-12-30T08:00:00"/>
    <d v="1899-12-30T14:00:00"/>
    <n v="5.5000000000000018"/>
    <n v="0.5"/>
    <m/>
    <n v="7.5000000000000018"/>
    <x v="1"/>
  </r>
  <r>
    <x v="317"/>
    <s v="MSRC Classes"/>
    <d v="1899-12-30T17:00:00"/>
    <d v="1899-12-30T22:00:00"/>
    <n v="4.9999999999999982"/>
    <m/>
    <m/>
    <n v="6.9999999999999982"/>
    <x v="1"/>
  </r>
  <r>
    <x v="317"/>
    <s v="MSRC Classes"/>
    <d v="1899-12-30T08:00:00"/>
    <d v="1899-12-30T14:00:00"/>
    <n v="5.5000000000000018"/>
    <n v="0.5"/>
    <m/>
    <n v="7.5000000000000018"/>
    <x v="1"/>
  </r>
  <r>
    <x v="318"/>
    <s v="MSRC Classes"/>
    <d v="1899-12-30T08:00:00"/>
    <d v="1899-12-30T14:00:00"/>
    <n v="5.5000000000000018"/>
    <n v="0.5"/>
    <m/>
    <n v="7.5000000000000018"/>
    <x v="1"/>
  </r>
  <r>
    <x v="318"/>
    <s v="CRAC Classes"/>
    <d v="1899-12-30T18:30:00"/>
    <d v="1899-12-30T22:30:00"/>
    <n v="3.9999999999999991"/>
    <m/>
    <m/>
    <n v="5.9999999999999991"/>
    <x v="1"/>
  </r>
  <r>
    <x v="319"/>
    <s v="MCC Rental"/>
    <d v="1899-12-30T12:00:00"/>
    <d v="1899-12-30T16:00:00"/>
    <n v="3.9999999999999991"/>
    <m/>
    <m/>
    <n v="5.9999999999999991"/>
    <x v="1"/>
  </r>
  <r>
    <x v="319"/>
    <s v="MSRC Classes"/>
    <d v="1899-12-30T08:00:00"/>
    <d v="1899-12-30T14:00:00"/>
    <n v="5.5000000000000018"/>
    <n v="0.5"/>
    <m/>
    <n v="7.5000000000000018"/>
    <x v="1"/>
  </r>
  <r>
    <x v="319"/>
    <s v="MCC Rental"/>
    <d v="1899-12-30T17:00:00"/>
    <d v="1899-12-30T22:30:00"/>
    <n v="5.4999999999999991"/>
    <m/>
    <m/>
    <n v="7.4999999999999991"/>
    <x v="1"/>
  </r>
  <r>
    <x v="320"/>
    <s v="MSRC Classes"/>
    <d v="1899-12-30T08:00:00"/>
    <d v="1899-12-30T13:00:00"/>
    <n v="5"/>
    <m/>
    <m/>
    <n v="5"/>
    <x v="1"/>
  </r>
  <r>
    <x v="320"/>
    <s v="CRAC Rental"/>
    <d v="1899-12-30T18:30:00"/>
    <d v="1899-12-30T23:00:00"/>
    <n v="4.5"/>
    <m/>
    <m/>
    <n v="4.5"/>
    <x v="1"/>
  </r>
  <r>
    <x v="320"/>
    <s v="CRAC Rental"/>
    <d v="1899-12-30T15:00:00"/>
    <d v="1899-12-30T18:30:00"/>
    <n v="3.5000000000000009"/>
    <m/>
    <m/>
    <n v="3.5000000000000009"/>
    <x v="1"/>
  </r>
  <r>
    <x v="320"/>
    <s v="MSRC Classes"/>
    <d v="1899-12-30T13:00:00"/>
    <d v="1899-12-30T18:00:00"/>
    <n v="5.0000000000000009"/>
    <m/>
    <m/>
    <n v="5.0000000000000009"/>
    <x v="1"/>
  </r>
  <r>
    <x v="320"/>
    <s v="MCC Classes"/>
    <d v="1899-12-30T09:00:00"/>
    <d v="1899-12-30T12:00:00"/>
    <n v="3"/>
    <m/>
    <m/>
    <n v="3"/>
    <x v="1"/>
  </r>
  <r>
    <x v="320"/>
    <s v="CRAC Classes"/>
    <d v="1899-12-30T09:00:00"/>
    <d v="1899-12-30T14:00:00"/>
    <n v="5.0000000000000009"/>
    <m/>
    <m/>
    <n v="5.0000000000000009"/>
    <x v="1"/>
  </r>
  <r>
    <x v="321"/>
    <s v="MCC Rental"/>
    <d v="1899-12-30T08:00:00"/>
    <d v="1899-12-30T13:00:00"/>
    <n v="5"/>
    <m/>
    <m/>
    <n v="5"/>
    <x v="1"/>
  </r>
  <r>
    <x v="321"/>
    <s v="MSRC Rental"/>
    <d v="1899-12-30T13:00:00"/>
    <d v="1899-12-30T18:30:00"/>
    <n v="5.0000000000000018"/>
    <n v="0.5"/>
    <m/>
    <n v="5.0000000000000018"/>
    <x v="1"/>
  </r>
  <r>
    <x v="321"/>
    <s v="MCC Rental"/>
    <d v="1899-12-30T13:00:00"/>
    <d v="1899-12-30T22:00:00"/>
    <n v="8"/>
    <n v="1"/>
    <m/>
    <n v="8"/>
    <x v="1"/>
  </r>
  <r>
    <x v="322"/>
    <s v="MSRC Classes"/>
    <d v="1899-12-30T08:00:00"/>
    <d v="1899-12-30T14:00:00"/>
    <n v="5.5000000000000018"/>
    <n v="0.5"/>
    <m/>
    <n v="7.5000000000000018"/>
    <x v="1"/>
  </r>
  <r>
    <x v="322"/>
    <s v="MCC Classes"/>
    <d v="1899-12-30T17:00:00"/>
    <d v="1899-12-30T19:00:00"/>
    <n v="1.9999999999999982"/>
    <m/>
    <m/>
    <n v="3.9999999999999982"/>
    <x v="1"/>
  </r>
  <r>
    <x v="323"/>
    <s v="MSRC Classes"/>
    <d v="1899-12-30T08:00:00"/>
    <d v="1899-12-30T14:30:00"/>
    <n v="6"/>
    <n v="0.5"/>
    <m/>
    <n v="8"/>
    <x v="1"/>
  </r>
  <r>
    <x v="323"/>
    <s v="MCC Rental"/>
    <d v="1899-12-30T17:30:00"/>
    <d v="1899-12-30T20:30:00"/>
    <n v="3"/>
    <m/>
    <m/>
    <n v="5"/>
    <x v="1"/>
  </r>
  <r>
    <x v="324"/>
    <s v="MCC Classes"/>
    <d v="1899-12-30T17:00:00"/>
    <d v="1899-12-30T21:30:00"/>
    <n v="4.5"/>
    <m/>
    <m/>
    <n v="6.5"/>
    <x v="1"/>
  </r>
  <r>
    <x v="324"/>
    <s v="MSRC Classes"/>
    <d v="1899-12-30T08:00:00"/>
    <d v="1899-12-30T14:00:00"/>
    <n v="5.5000000000000018"/>
    <n v="0.5"/>
    <m/>
    <n v="7.5000000000000018"/>
    <x v="1"/>
  </r>
  <r>
    <x v="325"/>
    <s v="MSRC Classes"/>
    <d v="1899-12-30T18:00:00"/>
    <d v="1899-12-30T23:00:00"/>
    <n v="5.0000000000000009"/>
    <m/>
    <m/>
    <n v="7.0000000000000009"/>
    <x v="1"/>
  </r>
  <r>
    <x v="325"/>
    <s v="MCC Classes"/>
    <d v="1899-12-30T12:00:00"/>
    <d v="1899-12-30T16:00:00"/>
    <n v="3.9999999999999991"/>
    <m/>
    <m/>
    <n v="5.9999999999999991"/>
    <x v="1"/>
  </r>
  <r>
    <x v="325"/>
    <s v="MSRC Classes"/>
    <d v="1899-12-30T08:00:00"/>
    <d v="1899-12-30T14:00:00"/>
    <n v="5.5000000000000018"/>
    <n v="0.5"/>
    <m/>
    <n v="7.5000000000000018"/>
    <x v="1"/>
  </r>
  <r>
    <x v="326"/>
    <s v="MSRC Classes"/>
    <d v="1899-12-30T15:30:00"/>
    <d v="1899-12-30T21:30:00"/>
    <n v="5.5"/>
    <n v="0.5"/>
    <m/>
    <n v="7.5"/>
    <x v="1"/>
  </r>
  <r>
    <x v="326"/>
    <s v="MCC Rental"/>
    <d v="1899-12-30T15:30:00"/>
    <d v="1899-12-30T22:00:00"/>
    <n v="5.9999999999999982"/>
    <n v="0.5"/>
    <m/>
    <n v="7.9999999999999982"/>
    <x v="1"/>
  </r>
  <r>
    <x v="326"/>
    <s v="MSRC Classes"/>
    <d v="1899-12-30T08:00:00"/>
    <d v="1899-12-30T14:00:00"/>
    <n v="5.5000000000000018"/>
    <n v="0.5"/>
    <m/>
    <n v="7.5000000000000018"/>
    <x v="1"/>
  </r>
  <r>
    <x v="327"/>
    <s v="CRAC Classes"/>
    <d v="1899-12-30T09:00:00"/>
    <d v="1899-12-30T14:00:00"/>
    <n v="5.0000000000000009"/>
    <m/>
    <m/>
    <n v="5.0000000000000009"/>
    <x v="1"/>
  </r>
  <r>
    <x v="327"/>
    <s v="MCC Classes"/>
    <d v="1899-12-30T09:00:00"/>
    <d v="1899-12-30T12:00:00"/>
    <n v="3"/>
    <m/>
    <m/>
    <n v="3"/>
    <x v="1"/>
  </r>
  <r>
    <x v="327"/>
    <s v="MCC Rental"/>
    <d v="1899-12-30T10:00:00"/>
    <d v="1899-12-30T16:00:00"/>
    <n v="5.4999999999999982"/>
    <n v="0.5"/>
    <m/>
    <n v="5.4999999999999982"/>
    <x v="1"/>
  </r>
  <r>
    <x v="327"/>
    <s v="MSRC Rental"/>
    <d v="1899-12-30T14:00:00"/>
    <d v="1899-12-30T19:30:00"/>
    <n v="4.9999999999999991"/>
    <n v="0.5"/>
    <m/>
    <n v="4.9999999999999991"/>
    <x v="1"/>
  </r>
  <r>
    <x v="327"/>
    <s v="MSRC Rental"/>
    <d v="1899-12-30T19:30:00"/>
    <d v="1899-12-30T01:00:00"/>
    <n v="4.9999999999999991"/>
    <n v="0.5"/>
    <m/>
    <n v="4.9999999999999991"/>
    <x v="1"/>
  </r>
  <r>
    <x v="327"/>
    <s v="MSRC Classes"/>
    <d v="1899-12-30T08:00:00"/>
    <d v="1899-12-30T13:00:00"/>
    <n v="5"/>
    <m/>
    <m/>
    <n v="5"/>
    <x v="1"/>
  </r>
  <r>
    <x v="328"/>
    <s v="CRAC Rental"/>
    <d v="1899-12-30T09:30:00"/>
    <d v="1899-12-30T14:30:00"/>
    <n v="5"/>
    <m/>
    <m/>
    <n v="5"/>
    <x v="1"/>
  </r>
  <r>
    <x v="328"/>
    <s v="MCC Rental"/>
    <d v="1899-12-30T09:00:00"/>
    <d v="1899-12-30T15:00:00"/>
    <n v="5"/>
    <n v="1"/>
    <m/>
    <n v="5"/>
    <x v="1"/>
  </r>
  <r>
    <x v="328"/>
    <s v="MCC Rental"/>
    <d v="1899-12-30T15:00:00"/>
    <d v="1899-12-30T22:00:00"/>
    <n v="6.4999999999999991"/>
    <n v="0.5"/>
    <m/>
    <n v="6.4999999999999991"/>
    <x v="1"/>
  </r>
  <r>
    <x v="328"/>
    <s v="MSRC Rental"/>
    <d v="1899-12-30T11:00:00"/>
    <d v="1899-12-30T19:00:00"/>
    <n v="7.5"/>
    <n v="0.5"/>
    <m/>
    <n v="7.5"/>
    <x v="1"/>
  </r>
  <r>
    <x v="329"/>
    <s v="MCC Classes"/>
    <d v="1899-12-30T10:00:00"/>
    <d v="1899-12-30T16:00:00"/>
    <n v="5.9999999999999982"/>
    <m/>
    <m/>
    <n v="7.9999999999999982"/>
    <x v="1"/>
  </r>
  <r>
    <x v="329"/>
    <s v="MCC Classes"/>
    <d v="1899-12-30T17:00:00"/>
    <d v="1899-12-30T19:00:00"/>
    <n v="1.9999999999999982"/>
    <m/>
    <m/>
    <n v="3.9999999999999982"/>
    <x v="1"/>
  </r>
  <r>
    <x v="329"/>
    <s v="MSRC Classes"/>
    <d v="1899-12-30T08:00:00"/>
    <d v="1899-12-30T14:00:00"/>
    <n v="5.5000000000000018"/>
    <n v="0.5"/>
    <m/>
    <n v="7.5000000000000018"/>
    <x v="1"/>
  </r>
  <r>
    <x v="330"/>
    <s v="MCC Rental"/>
    <d v="1899-12-30T17:30:00"/>
    <d v="1899-12-30T20:30:00"/>
    <n v="3"/>
    <m/>
    <m/>
    <n v="5"/>
    <x v="1"/>
  </r>
  <r>
    <x v="330"/>
    <s v="MSRC Classes"/>
    <d v="1899-12-30T08:00:00"/>
    <d v="1899-12-30T14:00:00"/>
    <n v="5.5000000000000018"/>
    <n v="0.5"/>
    <m/>
    <n v="7.5000000000000018"/>
    <x v="1"/>
  </r>
  <r>
    <x v="331"/>
    <s v="MCC Classes"/>
    <d v="1899-12-30T17:00:00"/>
    <d v="1899-12-30T21:30:00"/>
    <n v="4.5"/>
    <m/>
    <m/>
    <n v="6.5"/>
    <x v="1"/>
  </r>
  <r>
    <x v="331"/>
    <s v="MSRC Classes"/>
    <d v="1899-12-30T08:00:00"/>
    <d v="1899-12-30T14:00:00"/>
    <n v="5.5000000000000018"/>
    <n v="0.5"/>
    <m/>
    <n v="7.5000000000000018"/>
    <x v="1"/>
  </r>
  <r>
    <x v="332"/>
    <s v="MSRC Classes"/>
    <d v="1899-12-30T19:00:00"/>
    <d v="1899-12-30T22:00:00"/>
    <n v="3"/>
    <m/>
    <m/>
    <n v="5"/>
    <x v="1"/>
  </r>
  <r>
    <x v="332"/>
    <s v="MSRC Classes"/>
    <d v="1899-12-30T08:00:00"/>
    <d v="1899-12-30T14:00:00"/>
    <n v="5.5000000000000018"/>
    <n v="0.5"/>
    <m/>
    <n v="7.5000000000000018"/>
    <x v="1"/>
  </r>
  <r>
    <x v="333"/>
    <s v="MSRC Classes"/>
    <d v="1899-12-30T08:00:00"/>
    <d v="1899-12-30T14:00:00"/>
    <n v="5.5000000000000018"/>
    <n v="0.5"/>
    <m/>
    <n v="7.5000000000000018"/>
    <x v="1"/>
  </r>
  <r>
    <x v="334"/>
    <s v="MSRC Rental"/>
    <d v="1899-12-30T13:00:00"/>
    <d v="1899-12-30T20:00:00"/>
    <n v="6.5000000000000018"/>
    <n v="0.5"/>
    <m/>
    <n v="6.5000000000000018"/>
    <x v="1"/>
  </r>
  <r>
    <x v="334"/>
    <s v="MSRC Classes"/>
    <d v="1899-12-30T08:00:00"/>
    <d v="1899-12-30T13:00:00"/>
    <n v="5"/>
    <m/>
    <m/>
    <n v="5"/>
    <x v="1"/>
  </r>
  <r>
    <x v="27"/>
    <s v="Special Events"/>
    <d v="1899-12-30T09:00:00"/>
    <d v="1899-12-30T14:00:00"/>
    <n v="5.0000000000000009"/>
    <m/>
    <n v="1235.5"/>
    <n v="7.0000000000000009"/>
    <x v="1"/>
  </r>
  <r>
    <x v="27"/>
    <s v="Special Events"/>
    <d v="1899-12-30T09:00:00"/>
    <d v="1899-12-30T14:00:00"/>
    <n v="5.0000000000000009"/>
    <m/>
    <m/>
    <n v="7.0000000000000009"/>
    <x v="1"/>
  </r>
  <r>
    <x v="28"/>
    <s v="Special Events"/>
    <d v="1899-12-30T09:00:00"/>
    <d v="1899-12-30T16:00:00"/>
    <n v="6.4999999999999991"/>
    <n v="0.5"/>
    <m/>
    <n v="8.5"/>
    <x v="1"/>
  </r>
  <r>
    <x v="28"/>
    <s v="Special Events"/>
    <d v="1899-12-30T09:00:00"/>
    <d v="1899-12-30T16:00:00"/>
    <n v="6.4999999999999991"/>
    <n v="0.5"/>
    <m/>
    <n v="8.5"/>
    <x v="1"/>
  </r>
  <r>
    <x v="29"/>
    <s v="Special Events"/>
    <d v="1899-12-30T11:00:00"/>
    <d v="1899-12-30T15:00:00"/>
    <n v="4"/>
    <m/>
    <m/>
    <n v="6"/>
    <x v="1"/>
  </r>
  <r>
    <x v="29"/>
    <s v="Special Events"/>
    <d v="1899-12-30T11:00:00"/>
    <d v="1899-12-30T15:00:00"/>
    <n v="4"/>
    <m/>
    <m/>
    <n v="6"/>
    <x v="1"/>
  </r>
  <r>
    <x v="29"/>
    <s v="Special Events"/>
    <d v="1899-12-30T16:00:00"/>
    <d v="1899-12-30T21:30:00"/>
    <n v="5.5000000000000018"/>
    <m/>
    <m/>
    <n v="7.5000000000000018"/>
    <x v="3"/>
  </r>
  <r>
    <x v="29"/>
    <s v="Special Events"/>
    <d v="1899-12-30T16:00:00"/>
    <d v="1899-12-30T21:30:00"/>
    <n v="5.5000000000000018"/>
    <m/>
    <m/>
    <n v="7.5000000000000018"/>
    <x v="3"/>
  </r>
  <r>
    <x v="30"/>
    <s v="Special Events"/>
    <d v="1899-12-30T09:00:00"/>
    <d v="1899-12-30T15:00:00"/>
    <n v="5.5"/>
    <n v="0.5"/>
    <m/>
    <n v="7.5"/>
    <x v="1"/>
  </r>
  <r>
    <x v="335"/>
    <s v="Special Events"/>
    <d v="1899-12-30T14:00:00"/>
    <d v="1899-12-30T22:00:00"/>
    <n v="7.4999999999999982"/>
    <n v="0.5"/>
    <m/>
    <n v="7.4999999999999982"/>
    <x v="1"/>
  </r>
  <r>
    <x v="335"/>
    <s v="Special Events"/>
    <d v="1899-12-30T14:00:00"/>
    <d v="1899-12-30T22:00:00"/>
    <n v="7.4999999999999982"/>
    <n v="0.5"/>
    <m/>
    <n v="7.4999999999999982"/>
    <x v="1"/>
  </r>
  <r>
    <x v="335"/>
    <s v="Special Events"/>
    <d v="1899-12-30T14:00:00"/>
    <d v="1899-12-30T22:00:00"/>
    <n v="7.4999999999999982"/>
    <n v="0.5"/>
    <m/>
    <n v="7.4999999999999982"/>
    <x v="1"/>
  </r>
  <r>
    <x v="335"/>
    <s v="Special Events"/>
    <d v="1899-12-30T14:00:00"/>
    <d v="1899-12-30T22:00:00"/>
    <n v="7.4999999999999982"/>
    <n v="0.5"/>
    <m/>
    <n v="7.4999999999999982"/>
    <x v="1"/>
  </r>
  <r>
    <x v="335"/>
    <s v="Special Events"/>
    <d v="1899-12-30T14:00:00"/>
    <d v="1899-12-30T22:00:00"/>
    <n v="7.4999999999999982"/>
    <n v="0.5"/>
    <m/>
    <n v="7.4999999999999982"/>
    <x v="1"/>
  </r>
  <r>
    <x v="335"/>
    <s v="Special Events"/>
    <d v="1899-12-30T14:00:00"/>
    <d v="1899-12-30T22:00:00"/>
    <n v="7.4999999999999982"/>
    <n v="0.5"/>
    <m/>
    <n v="7.4999999999999982"/>
    <x v="1"/>
  </r>
  <r>
    <x v="336"/>
    <s v="Special Events"/>
    <d v="1899-12-30T10:00:00"/>
    <d v="1899-12-30T16:00:00"/>
    <n v="5.4999999999999982"/>
    <n v="0.5"/>
    <m/>
    <n v="5.4999999999999982"/>
    <x v="1"/>
  </r>
  <r>
    <x v="336"/>
    <s v="Special Events"/>
    <d v="1899-12-30T10:00:00"/>
    <d v="1899-12-30T16:00:00"/>
    <n v="5.4999999999999982"/>
    <n v="0.5"/>
    <m/>
    <n v="5.4999999999999982"/>
    <x v="1"/>
  </r>
  <r>
    <x v="337"/>
    <s v="Special Events"/>
    <d v="1899-12-30T08:00:00"/>
    <d v="1899-12-30T17:00:00"/>
    <n v="8.0000000000000018"/>
    <n v="1"/>
    <m/>
    <n v="10.000000000000002"/>
    <x v="1"/>
  </r>
  <r>
    <x v="338"/>
    <s v="Special Events"/>
    <d v="1899-12-30T10:00:00"/>
    <d v="1899-12-30T16:00:00"/>
    <n v="5.4999999999999982"/>
    <n v="0.5"/>
    <m/>
    <n v="5.4999999999999982"/>
    <x v="1"/>
  </r>
  <r>
    <x v="338"/>
    <s v="Special Events"/>
    <d v="1899-12-30T10:00:00"/>
    <d v="1899-12-30T16:00:00"/>
    <n v="5.4999999999999982"/>
    <n v="0.5"/>
    <m/>
    <n v="5.4999999999999982"/>
    <x v="1"/>
  </r>
  <r>
    <x v="338"/>
    <s v="Special Events"/>
    <d v="1899-12-30T10:00:00"/>
    <d v="1899-12-30T13:00:00"/>
    <n v="2.9999999999999987"/>
    <m/>
    <m/>
    <n v="2.9999999999999987"/>
    <x v="1"/>
  </r>
  <r>
    <x v="64"/>
    <s v="Special Events"/>
    <d v="1899-12-30T10:00:00"/>
    <d v="1899-12-30T15:00:00"/>
    <n v="5"/>
    <m/>
    <m/>
    <n v="7"/>
    <x v="1"/>
  </r>
  <r>
    <x v="64"/>
    <s v="Special Events"/>
    <d v="1899-12-30T10:00:00"/>
    <d v="1899-12-30T15:00:00"/>
    <n v="5"/>
    <m/>
    <m/>
    <n v="7"/>
    <x v="1"/>
  </r>
  <r>
    <x v="65"/>
    <s v="Special Events"/>
    <d v="1899-12-30T10:00:00"/>
    <d v="1899-12-30T15:00:00"/>
    <n v="5"/>
    <m/>
    <m/>
    <n v="7"/>
    <x v="1"/>
  </r>
  <r>
    <x v="65"/>
    <s v="Special Events"/>
    <d v="1899-12-30T10:00:00"/>
    <d v="1899-12-30T15:00:00"/>
    <n v="5"/>
    <m/>
    <m/>
    <n v="7"/>
    <x v="1"/>
  </r>
  <r>
    <x v="69"/>
    <s v="Special Events"/>
    <d v="1899-12-30T07:00:00"/>
    <d v="1899-12-30T16:00:00"/>
    <n v="7.9999999999999982"/>
    <n v="1"/>
    <m/>
    <n v="7.9999999999999982"/>
    <x v="1"/>
  </r>
  <r>
    <x v="69"/>
    <s v="Special Events"/>
    <d v="1899-12-30T07:00:00"/>
    <d v="1899-12-30T12:00:00"/>
    <n v="5"/>
    <m/>
    <m/>
    <n v="5"/>
    <x v="1"/>
  </r>
  <r>
    <x v="69"/>
    <s v="Special Events"/>
    <d v="1899-12-30T07:00:00"/>
    <d v="1899-12-30T12:00:00"/>
    <n v="5"/>
    <m/>
    <m/>
    <n v="5"/>
    <x v="1"/>
  </r>
  <r>
    <x v="69"/>
    <s v="Special Events"/>
    <d v="1899-12-30T07:00:00"/>
    <d v="1899-12-30T10:00:00"/>
    <n v="3"/>
    <m/>
    <m/>
    <n v="3"/>
    <x v="1"/>
  </r>
  <r>
    <x v="69"/>
    <s v="Special Events"/>
    <d v="1899-12-30T12:00:00"/>
    <d v="1899-12-30T16:00:00"/>
    <n v="3.9999999999999991"/>
    <m/>
    <m/>
    <n v="3.9999999999999991"/>
    <x v="1"/>
  </r>
  <r>
    <x v="69"/>
    <s v="Special Events"/>
    <d v="1899-12-30T12:00:00"/>
    <d v="1899-12-30T16:00:00"/>
    <n v="3.9999999999999991"/>
    <m/>
    <m/>
    <n v="3.9999999999999991"/>
    <x v="1"/>
  </r>
  <r>
    <x v="76"/>
    <s v="Special Events"/>
    <d v="1899-12-30T08:00:00"/>
    <d v="1899-12-30T15:00:00"/>
    <n v="6.5"/>
    <n v="0.5"/>
    <m/>
    <n v="6.5"/>
    <x v="1"/>
  </r>
  <r>
    <x v="76"/>
    <s v="Special Events"/>
    <d v="1899-12-30T08:00:00"/>
    <d v="1899-12-30T15:00:00"/>
    <n v="6.5"/>
    <n v="0.5"/>
    <m/>
    <n v="6.5"/>
    <x v="1"/>
  </r>
  <r>
    <x v="76"/>
    <s v="Special Events"/>
    <d v="1899-12-30T08:00:00"/>
    <d v="1899-12-30T15:00:00"/>
    <n v="6.5"/>
    <n v="0.5"/>
    <m/>
    <n v="6.5"/>
    <x v="1"/>
  </r>
  <r>
    <x v="76"/>
    <s v="Special Events"/>
    <d v="1899-12-30T08:00:00"/>
    <d v="1899-12-30T15:00:00"/>
    <n v="6.5"/>
    <n v="0.5"/>
    <m/>
    <n v="6.5"/>
    <x v="1"/>
  </r>
  <r>
    <x v="96"/>
    <s v="Special Events"/>
    <d v="1899-12-30T11:00:00"/>
    <d v="1899-12-30T17:30:00"/>
    <n v="6"/>
    <n v="0.5"/>
    <m/>
    <n v="6"/>
    <x v="1"/>
  </r>
  <r>
    <x v="101"/>
    <s v="Special Events"/>
    <d v="1899-12-30T06:30:00"/>
    <d v="1899-12-30T14:00:00"/>
    <n v="7.0000000000000018"/>
    <n v="0.5"/>
    <m/>
    <n v="7.0000000000000018"/>
    <x v="1"/>
  </r>
  <r>
    <x v="101"/>
    <s v="Special Events"/>
    <d v="1899-12-30T07:00:00"/>
    <d v="1899-12-30T14:00:00"/>
    <n v="6.5"/>
    <n v="0.5"/>
    <m/>
    <n v="6.5"/>
    <x v="1"/>
  </r>
  <r>
    <x v="106"/>
    <s v="Special Events"/>
    <d v="1899-12-30T16:00:00"/>
    <d v="1899-12-30T21:30:00"/>
    <n v="5.5000000000000018"/>
    <m/>
    <m/>
    <n v="7.5000000000000018"/>
    <x v="1"/>
  </r>
  <r>
    <x v="126"/>
    <s v="Special Events"/>
    <d v="1899-12-30T09:00:00"/>
    <d v="1899-12-30T13:00:00"/>
    <n v="3.9999999999999991"/>
    <m/>
    <m/>
    <n v="5.9999999999999991"/>
    <x v="1"/>
  </r>
  <r>
    <x v="126"/>
    <s v="Special Events"/>
    <d v="1899-12-30T09:00:00"/>
    <d v="1899-12-30T13:00:00"/>
    <n v="3.9999999999999991"/>
    <m/>
    <m/>
    <n v="5.9999999999999991"/>
    <x v="1"/>
  </r>
  <r>
    <x v="126"/>
    <s v="Special Events"/>
    <d v="1899-12-30T06:00:00"/>
    <d v="1899-12-30T10:00:00"/>
    <n v="4"/>
    <m/>
    <m/>
    <n v="6"/>
    <x v="1"/>
  </r>
  <r>
    <x v="132"/>
    <s v="Special Events"/>
    <d v="1899-12-30T10:00:00"/>
    <d v="1899-12-30T14:00:00"/>
    <n v="4"/>
    <m/>
    <m/>
    <n v="6"/>
    <x v="1"/>
  </r>
  <r>
    <x v="132"/>
    <s v="Special Events"/>
    <d v="1899-12-30T10:00:00"/>
    <d v="1899-12-30T14:00:00"/>
    <n v="4"/>
    <m/>
    <m/>
    <n v="6"/>
    <x v="1"/>
  </r>
  <r>
    <x v="132"/>
    <s v="Special Events"/>
    <d v="1899-12-30T10:00:00"/>
    <d v="1899-12-30T14:00:00"/>
    <n v="4"/>
    <m/>
    <m/>
    <n v="6"/>
    <x v="1"/>
  </r>
  <r>
    <x v="133"/>
    <s v="Special Events"/>
    <d v="1899-12-30T12:00:00"/>
    <d v="1899-12-30T17:00:00"/>
    <n v="5.0000000000000009"/>
    <m/>
    <m/>
    <n v="7.0000000000000009"/>
    <x v="1"/>
  </r>
  <r>
    <x v="133"/>
    <s v="Special Events"/>
    <d v="1899-12-30T17:00:00"/>
    <d v="1899-12-30T22:00:00"/>
    <n v="4.9999999999999982"/>
    <m/>
    <m/>
    <n v="6.9999999999999982"/>
    <x v="1"/>
  </r>
  <r>
    <x v="133"/>
    <s v="Special Events"/>
    <d v="1899-12-30T19:00:00"/>
    <d v="1899-12-30T22:00:00"/>
    <n v="3"/>
    <m/>
    <m/>
    <n v="5"/>
    <x v="1"/>
  </r>
  <r>
    <x v="133"/>
    <s v="Special Events"/>
    <d v="1899-12-30T12:00:00"/>
    <d v="1899-12-30T15:00:00"/>
    <n v="3"/>
    <m/>
    <m/>
    <n v="5"/>
    <x v="1"/>
  </r>
  <r>
    <x v="134"/>
    <s v="Special Events"/>
    <d v="1899-12-30T09:00:00"/>
    <d v="1899-12-30T13:30:00"/>
    <n v="4.5"/>
    <m/>
    <m/>
    <n v="6.5"/>
    <x v="1"/>
  </r>
  <r>
    <x v="134"/>
    <s v="Special Events"/>
    <d v="1899-12-30T09:00:00"/>
    <d v="1899-12-30T13:00:00"/>
    <n v="3.9999999999999991"/>
    <m/>
    <m/>
    <n v="5.9999999999999991"/>
    <x v="1"/>
  </r>
  <r>
    <x v="134"/>
    <s v="Special Events"/>
    <d v="1899-12-30T12:00:00"/>
    <d v="1899-12-30T15:00:00"/>
    <n v="3"/>
    <m/>
    <m/>
    <n v="5"/>
    <x v="1"/>
  </r>
  <r>
    <x v="135"/>
    <s v="Special Events"/>
    <d v="1899-12-30T09:00:00"/>
    <d v="1899-12-30T14:00:00"/>
    <n v="5.0000000000000009"/>
    <m/>
    <m/>
    <n v="5.0000000000000009"/>
    <x v="1"/>
  </r>
  <r>
    <x v="135"/>
    <s v="Special Events"/>
    <d v="1899-12-30T09:00:00"/>
    <d v="1899-12-30T14:00:00"/>
    <n v="5.0000000000000009"/>
    <m/>
    <m/>
    <n v="5.0000000000000009"/>
    <x v="1"/>
  </r>
  <r>
    <x v="135"/>
    <s v="Special Events"/>
    <d v="1899-12-30T09:00:00"/>
    <d v="1899-12-30T14:00:00"/>
    <n v="5.0000000000000009"/>
    <m/>
    <m/>
    <n v="5.0000000000000009"/>
    <x v="1"/>
  </r>
  <r>
    <x v="339"/>
    <s v="Special Events"/>
    <d v="1899-12-30T06:30:00"/>
    <d v="1899-12-30T11:00:00"/>
    <n v="4.5"/>
    <m/>
    <m/>
    <n v="6.5"/>
    <x v="1"/>
  </r>
  <r>
    <x v="339"/>
    <s v="Special Events"/>
    <d v="1899-12-30T06:30:00"/>
    <d v="1899-12-30T11:00:00"/>
    <n v="4.5"/>
    <m/>
    <m/>
    <n v="6.5"/>
    <x v="1"/>
  </r>
  <r>
    <x v="339"/>
    <s v="Special Events"/>
    <d v="1899-12-30T10:00:00"/>
    <d v="1899-12-30T15:00:00"/>
    <n v="5"/>
    <m/>
    <m/>
    <n v="7"/>
    <x v="1"/>
  </r>
  <r>
    <x v="339"/>
    <s v="Special Events"/>
    <d v="1899-12-30T10:00:00"/>
    <d v="1899-12-30T15:00:00"/>
    <n v="5"/>
    <m/>
    <m/>
    <n v="7"/>
    <x v="1"/>
  </r>
  <r>
    <x v="147"/>
    <s v="Special Events"/>
    <d v="1899-12-30T15:00:00"/>
    <d v="1899-12-30T20:00:00"/>
    <n v="5.0000000000000009"/>
    <m/>
    <m/>
    <n v="7.0000000000000009"/>
    <x v="1"/>
  </r>
  <r>
    <x v="147"/>
    <s v="Special Events"/>
    <d v="1899-12-30T15:00:00"/>
    <d v="1899-12-30T20:00:00"/>
    <n v="5.0000000000000009"/>
    <m/>
    <m/>
    <n v="7.0000000000000009"/>
    <x v="1"/>
  </r>
  <r>
    <x v="147"/>
    <s v="Special Events"/>
    <d v="1899-12-30T15:00:00"/>
    <d v="1899-12-30T20:00:00"/>
    <n v="5.0000000000000009"/>
    <m/>
    <m/>
    <n v="7.0000000000000009"/>
    <x v="1"/>
  </r>
  <r>
    <x v="148"/>
    <s v="Special Events"/>
    <d v="1899-12-30T12:00:00"/>
    <d v="1899-12-30T16:00:00"/>
    <n v="3.9999999999999991"/>
    <m/>
    <m/>
    <n v="3.9999999999999991"/>
    <x v="1"/>
  </r>
  <r>
    <x v="148"/>
    <s v="Special Events"/>
    <d v="1899-12-30T12:00:00"/>
    <d v="1899-12-30T16:00:00"/>
    <n v="3.9999999999999991"/>
    <m/>
    <m/>
    <n v="3.9999999999999991"/>
    <x v="1"/>
  </r>
  <r>
    <x v="148"/>
    <s v="Special Events"/>
    <d v="1899-12-30T16:00:00"/>
    <d v="1899-12-30T23:00:00"/>
    <n v="6.5000000000000018"/>
    <n v="0.5"/>
    <m/>
    <n v="6.5000000000000018"/>
    <x v="1"/>
  </r>
  <r>
    <x v="148"/>
    <s v="Special Events"/>
    <d v="1899-12-30T16:00:00"/>
    <d v="1899-12-30T23:00:00"/>
    <n v="6.5000000000000018"/>
    <n v="0.5"/>
    <m/>
    <n v="6.5000000000000018"/>
    <x v="1"/>
  </r>
  <r>
    <x v="149"/>
    <s v="Special Events"/>
    <d v="1899-12-30T06:00:00"/>
    <d v="1899-12-30T13:00:00"/>
    <n v="6.4999999999999991"/>
    <n v="0.5"/>
    <m/>
    <n v="6.4999999999999991"/>
    <x v="1"/>
  </r>
  <r>
    <x v="149"/>
    <s v="Special Events"/>
    <d v="1899-12-30T06:00:00"/>
    <d v="1899-12-30T13:00:00"/>
    <n v="6.4999999999999991"/>
    <n v="0.5"/>
    <m/>
    <n v="6.4999999999999991"/>
    <x v="1"/>
  </r>
  <r>
    <x v="151"/>
    <s v="Special Events"/>
    <d v="1899-12-30T16:00:00"/>
    <d v="1899-12-30T19:30:00"/>
    <n v="3.5000000000000009"/>
    <m/>
    <m/>
    <n v="5.5000000000000009"/>
    <x v="1"/>
  </r>
  <r>
    <x v="154"/>
    <s v="Special Events"/>
    <d v="1899-12-30T11:00:00"/>
    <d v="1899-12-30T17:00:00"/>
    <n v="5.5000000000000018"/>
    <n v="0.5"/>
    <m/>
    <n v="7.5000000000000018"/>
    <x v="1"/>
  </r>
  <r>
    <x v="154"/>
    <s v="Special Events"/>
    <d v="1899-12-30T11:30:00"/>
    <d v="1899-12-30T15:30:00"/>
    <n v="4"/>
    <m/>
    <m/>
    <n v="6"/>
    <x v="1"/>
  </r>
  <r>
    <x v="154"/>
    <s v="Special Events"/>
    <d v="1899-12-30T17:00:00"/>
    <d v="1899-12-30T23:30:00"/>
    <n v="5.9999999999999982"/>
    <n v="0.5"/>
    <m/>
    <n v="7.9999999999999982"/>
    <x v="1"/>
  </r>
  <r>
    <x v="155"/>
    <s v="Special Events"/>
    <d v="1899-12-30T09:00:00"/>
    <d v="1899-12-30T14:00:00"/>
    <n v="5.0000000000000009"/>
    <m/>
    <m/>
    <n v="5.0000000000000009"/>
    <x v="1"/>
  </r>
  <r>
    <x v="155"/>
    <s v="Special Events"/>
    <d v="1899-12-30T09:00:00"/>
    <d v="1899-12-30T14:00:00"/>
    <n v="5.0000000000000009"/>
    <m/>
    <m/>
    <n v="5.0000000000000009"/>
    <x v="1"/>
  </r>
  <r>
    <x v="167"/>
    <s v="Special Events"/>
    <d v="1899-12-30T15:00:00"/>
    <d v="1899-12-30T20:30:00"/>
    <n v="5.4999999999999991"/>
    <m/>
    <m/>
    <n v="7.4999999999999991"/>
    <x v="1"/>
  </r>
  <r>
    <x v="167"/>
    <s v="Special Events"/>
    <d v="1899-12-30T15:00:00"/>
    <d v="1899-12-30T20:30:00"/>
    <n v="5.4999999999999991"/>
    <m/>
    <m/>
    <n v="7.4999999999999991"/>
    <x v="1"/>
  </r>
  <r>
    <x v="168"/>
    <s v="Special Events"/>
    <d v="1899-12-30T18:30:00"/>
    <d v="1899-12-30T00:00:00"/>
    <n v="5.4999999999999991"/>
    <m/>
    <m/>
    <n v="7.4999999999999991"/>
    <x v="1"/>
  </r>
  <r>
    <x v="168"/>
    <s v="Special Events"/>
    <d v="1899-12-30T19:30:00"/>
    <d v="1899-12-30T23:00:00"/>
    <n v="3.5000000000000009"/>
    <m/>
    <m/>
    <n v="5.5000000000000009"/>
    <x v="1"/>
  </r>
  <r>
    <x v="170"/>
    <s v="Special Events"/>
    <d v="1899-12-30T10:00:00"/>
    <d v="1899-12-30T16:00:00"/>
    <n v="5.4999999999999982"/>
    <n v="0.5"/>
    <m/>
    <n v="7.4999999999999982"/>
    <x v="1"/>
  </r>
  <r>
    <x v="170"/>
    <s v="Special Events"/>
    <d v="1899-12-30T10:00:00"/>
    <d v="1899-12-30T16:00:00"/>
    <n v="5.4999999999999982"/>
    <n v="0.5"/>
    <m/>
    <n v="7.4999999999999982"/>
    <x v="1"/>
  </r>
  <r>
    <x v="171"/>
    <s v="Special Events"/>
    <d v="1899-12-30T10:00:00"/>
    <d v="1899-12-30T16:00:00"/>
    <n v="5.4999999999999982"/>
    <n v="0.5"/>
    <m/>
    <n v="7.4999999999999982"/>
    <x v="1"/>
  </r>
  <r>
    <x v="171"/>
    <s v="Special Events"/>
    <d v="1899-12-30T10:00:00"/>
    <d v="1899-12-30T16:00:00"/>
    <n v="5.4999999999999982"/>
    <n v="0.5"/>
    <m/>
    <n v="7.4999999999999982"/>
    <x v="1"/>
  </r>
  <r>
    <x v="172"/>
    <s v="Special Events"/>
    <d v="1899-12-30T10:00:00"/>
    <d v="1899-12-30T16:00:00"/>
    <n v="5.4999999999999982"/>
    <n v="0.5"/>
    <m/>
    <n v="7.4999999999999982"/>
    <x v="1"/>
  </r>
  <r>
    <x v="172"/>
    <s v="Special Events"/>
    <d v="1899-12-30T10:00:00"/>
    <d v="1899-12-30T16:00:00"/>
    <n v="5.4999999999999982"/>
    <n v="0.5"/>
    <m/>
    <n v="7.4999999999999982"/>
    <x v="1"/>
  </r>
  <r>
    <x v="172"/>
    <s v="Special Events"/>
    <d v="1899-12-30T10:00:00"/>
    <d v="1899-12-30T16:00:00"/>
    <n v="5.4999999999999982"/>
    <n v="0.5"/>
    <m/>
    <n v="7.4999999999999982"/>
    <x v="1"/>
  </r>
  <r>
    <x v="172"/>
    <s v="Special Events"/>
    <d v="1899-12-30T10:00:00"/>
    <d v="1899-12-30T14:00:00"/>
    <n v="4"/>
    <m/>
    <m/>
    <n v="6"/>
    <x v="1"/>
  </r>
  <r>
    <x v="340"/>
    <s v="Special Events"/>
    <d v="1899-12-30T08:00:00"/>
    <d v="1899-12-30T20:00:00"/>
    <n v="11"/>
    <n v="1"/>
    <m/>
    <n v="13"/>
    <x v="1"/>
  </r>
  <r>
    <x v="340"/>
    <s v="Special Events"/>
    <d v="1899-12-30T08:00:00"/>
    <d v="1899-12-30T16:00:00"/>
    <n v="7.5"/>
    <n v="0.5"/>
    <m/>
    <n v="9.5"/>
    <x v="1"/>
  </r>
  <r>
    <x v="340"/>
    <s v="Special Events"/>
    <d v="1899-12-30T08:00:00"/>
    <d v="1899-12-30T00:00:00"/>
    <n v="15"/>
    <n v="1"/>
    <m/>
    <n v="17"/>
    <x v="1"/>
  </r>
  <r>
    <x v="340"/>
    <s v="Special Events"/>
    <d v="1899-12-30T08:00:00"/>
    <d v="1899-12-30T00:00:00"/>
    <n v="15"/>
    <n v="1"/>
    <m/>
    <n v="17"/>
    <x v="1"/>
  </r>
  <r>
    <x v="340"/>
    <s v="Special Events"/>
    <d v="1899-12-30T08:00:00"/>
    <d v="1899-12-30T00:00:00"/>
    <n v="15"/>
    <n v="1"/>
    <m/>
    <n v="17"/>
    <x v="1"/>
  </r>
  <r>
    <x v="340"/>
    <s v="Special Events"/>
    <d v="1899-12-30T08:00:00"/>
    <d v="1899-12-30T00:00:00"/>
    <n v="15"/>
    <n v="1"/>
    <m/>
    <n v="17"/>
    <x v="1"/>
  </r>
  <r>
    <x v="340"/>
    <s v="Special Events"/>
    <d v="1899-12-30T08:00:00"/>
    <d v="1899-12-30T00:00:00"/>
    <n v="15"/>
    <n v="1"/>
    <m/>
    <n v="17"/>
    <x v="1"/>
  </r>
  <r>
    <x v="340"/>
    <s v="Special Events"/>
    <d v="1899-12-30T08:00:00"/>
    <d v="1899-12-30T00:00:00"/>
    <n v="15"/>
    <n v="1"/>
    <m/>
    <n v="17"/>
    <x v="1"/>
  </r>
  <r>
    <x v="340"/>
    <s v="Special Events"/>
    <d v="1899-12-30T08:00:00"/>
    <d v="1899-12-30T00:00:00"/>
    <n v="15"/>
    <n v="1"/>
    <m/>
    <n v="17"/>
    <x v="1"/>
  </r>
  <r>
    <x v="340"/>
    <s v="Special Events"/>
    <d v="1899-12-30T08:00:00"/>
    <d v="1899-12-30T00:00:00"/>
    <n v="15"/>
    <n v="1"/>
    <m/>
    <n v="17"/>
    <x v="1"/>
  </r>
  <r>
    <x v="340"/>
    <s v="Special Events"/>
    <d v="1899-12-30T08:00:00"/>
    <d v="1899-12-30T00:00:00"/>
    <n v="15"/>
    <n v="1"/>
    <m/>
    <n v="17"/>
    <x v="1"/>
  </r>
  <r>
    <x v="340"/>
    <s v="Special Events"/>
    <d v="1899-12-30T08:00:00"/>
    <d v="1899-12-30T00:00:00"/>
    <n v="15"/>
    <n v="1"/>
    <m/>
    <n v="17"/>
    <x v="1"/>
  </r>
  <r>
    <x v="340"/>
    <s v="Special Events"/>
    <d v="1899-12-30T08:00:00"/>
    <d v="1899-12-30T00:00:00"/>
    <n v="15"/>
    <n v="1"/>
    <m/>
    <n v="17"/>
    <x v="1"/>
  </r>
  <r>
    <x v="173"/>
    <s v="Special Events"/>
    <d v="1899-12-30T10:00:00"/>
    <d v="1899-12-30T16:00:00"/>
    <n v="5.4999999999999982"/>
    <n v="0.5"/>
    <m/>
    <n v="7.4999999999999982"/>
    <x v="1"/>
  </r>
  <r>
    <x v="173"/>
    <s v="Special Events"/>
    <d v="1899-12-30T10:00:00"/>
    <d v="1899-12-30T14:00:00"/>
    <n v="4"/>
    <m/>
    <m/>
    <n v="6"/>
    <x v="1"/>
  </r>
  <r>
    <x v="173"/>
    <s v="Special Events"/>
    <d v="1899-12-30T10:00:00"/>
    <d v="1899-12-30T14:00:00"/>
    <n v="4"/>
    <m/>
    <m/>
    <n v="6"/>
    <x v="1"/>
  </r>
  <r>
    <x v="180"/>
    <s v="Special Events"/>
    <d v="1899-12-30T17:30:00"/>
    <d v="1899-12-30T00:00:00"/>
    <n v="6.0000000000000009"/>
    <n v="0.5"/>
    <m/>
    <n v="8"/>
    <x v="1"/>
  </r>
  <r>
    <x v="180"/>
    <s v="Special Events"/>
    <d v="1899-12-30T17:30:00"/>
    <d v="1899-12-30T00:00:00"/>
    <n v="6.0000000000000009"/>
    <n v="0.5"/>
    <m/>
    <n v="8"/>
    <x v="1"/>
  </r>
  <r>
    <x v="187"/>
    <s v="Special Events"/>
    <d v="1899-12-30T19:00:00"/>
    <d v="1899-12-30T23:00:00"/>
    <n v="4.0000000000000018"/>
    <m/>
    <m/>
    <n v="6.0000000000000018"/>
    <x v="1"/>
  </r>
  <r>
    <x v="187"/>
    <s v="Special Events"/>
    <d v="1899-12-30T17:00:00"/>
    <d v="1899-12-30T23:00:00"/>
    <n v="5.5"/>
    <n v="0.5"/>
    <m/>
    <n v="7.5"/>
    <x v="1"/>
  </r>
  <r>
    <x v="193"/>
    <s v="Special Events"/>
    <d v="1899-12-30T10:00:00"/>
    <d v="1899-12-30T16:00:00"/>
    <n v="5.4999999999999982"/>
    <n v="0.5"/>
    <m/>
    <n v="7.4999999999999982"/>
    <x v="1"/>
  </r>
  <r>
    <x v="193"/>
    <s v="Special Events"/>
    <d v="1899-12-30T10:00:00"/>
    <d v="1899-12-30T16:00:00"/>
    <n v="5.4999999999999982"/>
    <n v="0.5"/>
    <m/>
    <n v="7.4999999999999982"/>
    <x v="1"/>
  </r>
  <r>
    <x v="193"/>
    <s v="Special Events"/>
    <d v="1899-12-30T10:00:00"/>
    <d v="1899-12-30T16:00:00"/>
    <n v="5.4999999999999982"/>
    <n v="0.5"/>
    <m/>
    <n v="7.4999999999999982"/>
    <x v="1"/>
  </r>
  <r>
    <x v="193"/>
    <s v="Special Events"/>
    <d v="1899-12-30T10:00:00"/>
    <d v="1899-12-30T16:00:00"/>
    <n v="5.4999999999999982"/>
    <n v="0.5"/>
    <m/>
    <n v="7.4999999999999982"/>
    <x v="1"/>
  </r>
  <r>
    <x v="194"/>
    <s v="Special Events"/>
    <d v="1899-12-30T18:00:00"/>
    <d v="1899-12-30T00:00:00"/>
    <n v="5.5"/>
    <n v="0.5"/>
    <m/>
    <n v="7.5"/>
    <x v="1"/>
  </r>
  <r>
    <x v="194"/>
    <s v="Special Events"/>
    <d v="1899-12-30T18:00:00"/>
    <d v="1899-12-30T00:00:00"/>
    <n v="5.5"/>
    <n v="0.5"/>
    <m/>
    <n v="7.5"/>
    <x v="1"/>
  </r>
  <r>
    <x v="194"/>
    <s v="Special Events"/>
    <d v="1899-12-30T18:00:00"/>
    <d v="1899-12-30T00:00:00"/>
    <n v="5.5"/>
    <n v="0.5"/>
    <m/>
    <n v="7.5"/>
    <x v="1"/>
  </r>
  <r>
    <x v="194"/>
    <s v="Special Events"/>
    <d v="1899-12-30T18:00:00"/>
    <d v="1899-12-30T00:00:00"/>
    <n v="5.5"/>
    <n v="0.5"/>
    <m/>
    <n v="7.5"/>
    <x v="1"/>
  </r>
  <r>
    <x v="194"/>
    <s v="Special Events"/>
    <d v="1899-12-30T15:00:00"/>
    <d v="1899-12-30T17:30:00"/>
    <n v="2.4999999999999991"/>
    <m/>
    <m/>
    <n v="4.4999999999999991"/>
    <x v="1"/>
  </r>
  <r>
    <x v="195"/>
    <s v="Special Events"/>
    <d v="1899-12-30T09:00:00"/>
    <d v="1899-12-30T14:30:00"/>
    <n v="4.9999999999999991"/>
    <n v="0.5"/>
    <m/>
    <n v="4.9999999999999991"/>
    <x v="1"/>
  </r>
  <r>
    <x v="195"/>
    <s v="Special Events"/>
    <d v="1899-12-30T09:00:00"/>
    <d v="1899-12-30T14:30:00"/>
    <n v="4.9999999999999991"/>
    <n v="0.5"/>
    <m/>
    <n v="4.9999999999999991"/>
    <x v="1"/>
  </r>
  <r>
    <x v="341"/>
    <s v="Special Events"/>
    <d v="1899-12-30T18:00:00"/>
    <d v="1899-12-30T01:00:00"/>
    <n v="6.4999999999999991"/>
    <n v="0.5"/>
    <m/>
    <n v="6.4999999999999991"/>
    <x v="1"/>
  </r>
  <r>
    <x v="341"/>
    <s v="Special Events"/>
    <d v="1899-12-30T18:00:00"/>
    <d v="1899-12-30T01:00:00"/>
    <n v="6.4999999999999991"/>
    <n v="0.5"/>
    <m/>
    <n v="6.4999999999999991"/>
    <x v="1"/>
  </r>
  <r>
    <x v="341"/>
    <s v="Special Events"/>
    <d v="1899-12-30T18:00:00"/>
    <d v="1899-12-30T01:00:00"/>
    <n v="6.4999999999999991"/>
    <n v="0.5"/>
    <m/>
    <n v="6.4999999999999991"/>
    <x v="1"/>
  </r>
  <r>
    <x v="341"/>
    <s v="Special Events"/>
    <d v="1899-12-30T18:00:00"/>
    <d v="1899-12-30T01:00:00"/>
    <n v="6.4999999999999991"/>
    <n v="0.5"/>
    <m/>
    <n v="6.4999999999999991"/>
    <x v="1"/>
  </r>
  <r>
    <x v="341"/>
    <s v="Special Events"/>
    <d v="1899-12-30T18:00:00"/>
    <d v="1899-12-30T01:00:00"/>
    <n v="6.4999999999999991"/>
    <n v="0.5"/>
    <m/>
    <n v="6.4999999999999991"/>
    <x v="1"/>
  </r>
  <r>
    <x v="207"/>
    <s v="Special Events"/>
    <d v="1899-12-30T18:00:00"/>
    <d v="1899-12-30T00:00:00"/>
    <n v="5.5"/>
    <n v="0.5"/>
    <m/>
    <n v="7.5"/>
    <x v="1"/>
  </r>
  <r>
    <x v="207"/>
    <s v="Special Events"/>
    <d v="1899-12-30T18:00:00"/>
    <d v="1899-12-30T00:00:00"/>
    <n v="5.5"/>
    <n v="0.5"/>
    <m/>
    <n v="7.5"/>
    <x v="1"/>
  </r>
  <r>
    <x v="207"/>
    <s v="Special Events"/>
    <d v="1899-12-30T18:00:00"/>
    <d v="1899-12-30T00:00:00"/>
    <n v="5.5"/>
    <n v="0.5"/>
    <m/>
    <n v="7.5"/>
    <x v="1"/>
  </r>
  <r>
    <x v="212"/>
    <s v="Special Events"/>
    <d v="1899-12-30T16:00:00"/>
    <d v="1899-12-30T20:30:00"/>
    <n v="4.5"/>
    <m/>
    <m/>
    <n v="6.5"/>
    <x v="1"/>
  </r>
  <r>
    <x v="212"/>
    <s v="Special Events"/>
    <d v="1899-12-30T16:00:00"/>
    <d v="1899-12-30T20:30:00"/>
    <n v="4.5"/>
    <m/>
    <m/>
    <n v="6.5"/>
    <x v="1"/>
  </r>
  <r>
    <x v="212"/>
    <s v="Special Events"/>
    <d v="1899-12-30T16:00:00"/>
    <d v="1899-12-30T20:30:00"/>
    <n v="4.5"/>
    <m/>
    <m/>
    <n v="6.5"/>
    <x v="1"/>
  </r>
  <r>
    <x v="213"/>
    <s v="Special Events"/>
    <d v="1899-12-30T17:30:00"/>
    <d v="1899-12-30T00:00:00"/>
    <n v="6.0000000000000009"/>
    <n v="0.5"/>
    <m/>
    <n v="8"/>
    <x v="1"/>
  </r>
  <r>
    <x v="213"/>
    <s v="Special Events"/>
    <d v="1899-12-30T17:30:00"/>
    <d v="1899-12-30T00:00:00"/>
    <n v="6.0000000000000009"/>
    <n v="0.5"/>
    <m/>
    <n v="8"/>
    <x v="1"/>
  </r>
  <r>
    <x v="216"/>
    <s v="Special Events"/>
    <d v="1899-12-30T10:00:00"/>
    <d v="1899-12-30T14:00:00"/>
    <n v="4"/>
    <m/>
    <m/>
    <n v="6"/>
    <x v="1"/>
  </r>
  <r>
    <x v="216"/>
    <s v="Special Events"/>
    <d v="1899-12-30T10:00:00"/>
    <d v="1899-12-30T15:00:00"/>
    <n v="5"/>
    <m/>
    <m/>
    <n v="7"/>
    <x v="1"/>
  </r>
  <r>
    <x v="216"/>
    <s v="Special Events"/>
    <d v="1899-12-30T10:00:00"/>
    <d v="1899-12-30T15:00:00"/>
    <n v="5"/>
    <m/>
    <m/>
    <n v="7"/>
    <x v="1"/>
  </r>
  <r>
    <x v="217"/>
    <s v="Special Events"/>
    <d v="1899-12-30T15:00:00"/>
    <d v="1899-12-30T23:00:00"/>
    <n v="7.5"/>
    <n v="0.5"/>
    <m/>
    <n v="9.5"/>
    <x v="1"/>
  </r>
  <r>
    <x v="217"/>
    <s v="Special Events"/>
    <d v="1899-12-30T15:00:00"/>
    <d v="1899-12-30T23:00:00"/>
    <n v="7.5"/>
    <n v="0.5"/>
    <m/>
    <n v="9.5"/>
    <x v="1"/>
  </r>
  <r>
    <x v="217"/>
    <s v="Special Events"/>
    <d v="1899-12-30T15:00:00"/>
    <d v="1899-12-30T23:00:00"/>
    <n v="7.5"/>
    <n v="0.5"/>
    <m/>
    <n v="9.5"/>
    <x v="1"/>
  </r>
  <r>
    <x v="217"/>
    <s v="Special Events"/>
    <d v="1899-12-30T15:00:00"/>
    <d v="1899-12-30T23:00:00"/>
    <n v="7.5"/>
    <n v="0.5"/>
    <m/>
    <n v="9.5"/>
    <x v="1"/>
  </r>
  <r>
    <x v="217"/>
    <s v="Special Events"/>
    <d v="1899-12-30T15:00:00"/>
    <d v="1899-12-30T23:00:00"/>
    <n v="7.5"/>
    <n v="0.5"/>
    <m/>
    <n v="9.5"/>
    <x v="1"/>
  </r>
  <r>
    <x v="217"/>
    <s v="Special Events"/>
    <d v="1899-12-30T15:00:00"/>
    <d v="1899-12-30T17:00:00"/>
    <n v="2.0000000000000009"/>
    <m/>
    <m/>
    <n v="4.0000000000000009"/>
    <x v="1"/>
  </r>
  <r>
    <x v="223"/>
    <s v="Special Events"/>
    <d v="1899-12-30T15:30:00"/>
    <d v="1899-12-30T17:00:00"/>
    <n v="1.5"/>
    <m/>
    <m/>
    <n v="3.5"/>
    <x v="1"/>
  </r>
  <r>
    <x v="223"/>
    <s v="Special Events"/>
    <d v="1899-12-30T15:30:00"/>
    <d v="1899-12-30T20:00:00"/>
    <n v="4.5"/>
    <m/>
    <m/>
    <n v="6.5"/>
    <x v="1"/>
  </r>
  <r>
    <x v="223"/>
    <s v="Special Events"/>
    <d v="1899-12-30T15:30:00"/>
    <d v="1899-12-30T20:00:00"/>
    <n v="4.5"/>
    <m/>
    <m/>
    <n v="6.5"/>
    <x v="1"/>
  </r>
  <r>
    <x v="265"/>
    <s v="Special Events"/>
    <d v="1899-12-30T10:00:00"/>
    <d v="1899-12-30T14:00:00"/>
    <n v="4"/>
    <m/>
    <m/>
    <n v="6"/>
    <x v="1"/>
  </r>
  <r>
    <x v="268"/>
    <s v="Special Events"/>
    <d v="1899-12-30T10:00:00"/>
    <d v="1899-12-30T12:00:00"/>
    <n v="1.9999999999999996"/>
    <m/>
    <m/>
    <n v="1.9999999999999996"/>
    <x v="1"/>
  </r>
  <r>
    <x v="268"/>
    <s v="Special Events"/>
    <d v="1899-12-30T09:00:00"/>
    <d v="1899-12-30T16:00:00"/>
    <n v="6.4999999999999991"/>
    <n v="0.5"/>
    <m/>
    <n v="6.4999999999999991"/>
    <x v="1"/>
  </r>
  <r>
    <x v="268"/>
    <s v="Special Events"/>
    <d v="1899-12-30T09:00:00"/>
    <d v="1899-12-30T16:00:00"/>
    <n v="6.4999999999999991"/>
    <n v="0.5"/>
    <m/>
    <n v="6.4999999999999991"/>
    <x v="1"/>
  </r>
  <r>
    <x v="269"/>
    <s v="Special Events"/>
    <d v="1899-12-30T10:00:00"/>
    <d v="1899-12-30T16:00:00"/>
    <n v="5.4999999999999982"/>
    <n v="0.5"/>
    <m/>
    <n v="5.4999999999999982"/>
    <x v="1"/>
  </r>
  <r>
    <x v="269"/>
    <s v="Special Events"/>
    <d v="1899-12-30T10:00:00"/>
    <d v="1899-12-30T16:00:00"/>
    <n v="5.4999999999999982"/>
    <n v="0.5"/>
    <m/>
    <n v="5.4999999999999982"/>
    <x v="1"/>
  </r>
  <r>
    <x v="269"/>
    <s v="Special Events"/>
    <d v="1899-12-30T10:00:00"/>
    <d v="1899-12-30T16:00:00"/>
    <n v="5.4999999999999982"/>
    <n v="0.5"/>
    <m/>
    <n v="5.4999999999999982"/>
    <x v="1"/>
  </r>
  <r>
    <x v="270"/>
    <s v="Special Events"/>
    <d v="1899-12-30T09:00:00"/>
    <d v="1899-12-30T15:00:00"/>
    <n v="5.5"/>
    <n v="0.5"/>
    <m/>
    <n v="7.5"/>
    <x v="1"/>
  </r>
  <r>
    <x v="270"/>
    <s v="Special Events"/>
    <d v="1899-12-30T09:00:00"/>
    <d v="1899-12-30T15:00:00"/>
    <n v="5.5"/>
    <n v="0.5"/>
    <m/>
    <n v="7.5"/>
    <x v="1"/>
  </r>
  <r>
    <x v="270"/>
    <s v="Special Events"/>
    <d v="1899-12-30T09:00:00"/>
    <d v="1899-12-30T15:00:00"/>
    <n v="5.5"/>
    <n v="0.5"/>
    <m/>
    <n v="7.5"/>
    <x v="1"/>
  </r>
  <r>
    <x v="270"/>
    <s v="Special Events"/>
    <d v="1899-12-30T09:00:00"/>
    <d v="1899-12-30T15:00:00"/>
    <n v="5.5"/>
    <n v="0.5"/>
    <m/>
    <n v="7.5"/>
    <x v="1"/>
  </r>
  <r>
    <x v="270"/>
    <s v="Special Events"/>
    <d v="1899-12-30T09:00:00"/>
    <d v="1899-12-30T15:00:00"/>
    <n v="5.5"/>
    <n v="0.5"/>
    <m/>
    <n v="7.5"/>
    <x v="1"/>
  </r>
  <r>
    <x v="271"/>
    <s v="Special Events"/>
    <d v="1899-12-30T10:00:00"/>
    <d v="1899-12-30T15:00:00"/>
    <n v="5"/>
    <m/>
    <m/>
    <n v="7"/>
    <x v="1"/>
  </r>
  <r>
    <x v="271"/>
    <s v="Special Events"/>
    <d v="1899-12-30T10:00:00"/>
    <d v="1899-12-30T15:00:00"/>
    <n v="5"/>
    <m/>
    <m/>
    <n v="7"/>
    <x v="1"/>
  </r>
  <r>
    <x v="271"/>
    <s v="Special Events"/>
    <d v="1899-12-30T10:00:00"/>
    <d v="1899-12-30T15:00:00"/>
    <n v="5"/>
    <m/>
    <m/>
    <n v="7"/>
    <x v="1"/>
  </r>
  <r>
    <x v="276"/>
    <s v="Special Events"/>
    <d v="1899-12-30T18:30:00"/>
    <d v="1899-12-30T22:30:00"/>
    <n v="3.9999999999999991"/>
    <m/>
    <m/>
    <n v="3.9999999999999991"/>
    <x v="1"/>
  </r>
  <r>
    <x v="276"/>
    <s v="Special Events"/>
    <d v="1899-12-30T18:30:00"/>
    <d v="1899-12-30T22:30:00"/>
    <n v="3.9999999999999991"/>
    <m/>
    <m/>
    <n v="3.9999999999999991"/>
    <x v="1"/>
  </r>
  <r>
    <x v="277"/>
    <s v="Special Events"/>
    <d v="1899-12-30T09:00:00"/>
    <d v="1899-12-30T15:00:00"/>
    <n v="5.5"/>
    <n v="0.5"/>
    <m/>
    <n v="7.5"/>
    <x v="1"/>
  </r>
  <r>
    <x v="277"/>
    <s v="Special Events"/>
    <d v="1899-12-30T09:00:00"/>
    <d v="1899-12-30T15:00:00"/>
    <n v="5.5"/>
    <n v="0.5"/>
    <m/>
    <n v="7.5"/>
    <x v="1"/>
  </r>
  <r>
    <x v="277"/>
    <s v="Special Events"/>
    <d v="1899-12-30T09:00:00"/>
    <d v="1899-12-30T15:00:00"/>
    <n v="5.5"/>
    <n v="0.5"/>
    <m/>
    <n v="7.5"/>
    <x v="1"/>
  </r>
  <r>
    <x v="277"/>
    <s v="Special Events"/>
    <d v="1899-12-30T09:00:00"/>
    <d v="1899-12-30T15:00:00"/>
    <n v="5.5"/>
    <n v="0.5"/>
    <m/>
    <n v="7.5"/>
    <x v="1"/>
  </r>
  <r>
    <x v="278"/>
    <s v="Special Events"/>
    <d v="1899-12-30T09:00:00"/>
    <d v="1899-12-30T15:00:00"/>
    <n v="5.5"/>
    <n v="0.5"/>
    <m/>
    <n v="7.5"/>
    <x v="1"/>
  </r>
  <r>
    <x v="278"/>
    <s v="Special Events"/>
    <d v="1899-12-30T09:00:00"/>
    <d v="1899-12-30T15:00:00"/>
    <n v="5.5"/>
    <n v="0.5"/>
    <m/>
    <n v="7.5"/>
    <x v="1"/>
  </r>
  <r>
    <x v="282"/>
    <s v="Special Events"/>
    <d v="1899-12-30T07:00:00"/>
    <d v="1899-12-30T16:00:00"/>
    <n v="7.9999999999999982"/>
    <n v="1"/>
    <m/>
    <n v="7.9999999999999982"/>
    <x v="1"/>
  </r>
  <r>
    <x v="282"/>
    <s v="Special Events"/>
    <d v="1899-12-30T07:00:00"/>
    <d v="1899-12-30T16:00:00"/>
    <n v="7.9999999999999982"/>
    <n v="1"/>
    <m/>
    <n v="7.9999999999999982"/>
    <x v="1"/>
  </r>
  <r>
    <x v="282"/>
    <s v="Special Events"/>
    <d v="1899-12-30T07:00:00"/>
    <d v="1899-12-30T16:00:00"/>
    <n v="7.9999999999999982"/>
    <n v="1"/>
    <m/>
    <n v="7.9999999999999982"/>
    <x v="1"/>
  </r>
  <r>
    <x v="282"/>
    <s v="Special Events"/>
    <d v="1899-12-30T07:00:00"/>
    <d v="1899-12-30T16:00:00"/>
    <n v="7.9999999999999982"/>
    <n v="1"/>
    <m/>
    <n v="7.9999999999999982"/>
    <x v="1"/>
  </r>
  <r>
    <x v="282"/>
    <s v="Special Events"/>
    <d v="1899-12-30T07:00:00"/>
    <d v="1899-12-30T16:00:00"/>
    <n v="7.9999999999999982"/>
    <n v="1"/>
    <m/>
    <n v="7.9999999999999982"/>
    <x v="1"/>
  </r>
  <r>
    <x v="284"/>
    <s v="Special Events"/>
    <d v="1899-12-30T16:00:00"/>
    <d v="1899-12-30T20:00:00"/>
    <n v="4.0000000000000018"/>
    <m/>
    <m/>
    <n v="6.0000000000000018"/>
    <x v="1"/>
  </r>
  <r>
    <x v="285"/>
    <s v="Special Events"/>
    <d v="1899-12-30T16:00:00"/>
    <d v="1899-12-30T20:00:00"/>
    <n v="4.0000000000000018"/>
    <m/>
    <m/>
    <n v="6.0000000000000018"/>
    <x v="1"/>
  </r>
  <r>
    <x v="285"/>
    <s v="Special Events"/>
    <d v="1899-12-30T16:00:00"/>
    <d v="1899-12-30T20:00:00"/>
    <n v="4.0000000000000018"/>
    <m/>
    <m/>
    <n v="6.0000000000000018"/>
    <x v="1"/>
  </r>
  <r>
    <x v="286"/>
    <s v="Special Events"/>
    <d v="1899-12-30T16:00:00"/>
    <d v="1899-12-30T20:00:00"/>
    <n v="4.0000000000000018"/>
    <m/>
    <m/>
    <n v="6.0000000000000018"/>
    <x v="1"/>
  </r>
  <r>
    <x v="287"/>
    <s v="Special Events"/>
    <d v="1899-12-30T16:00:00"/>
    <d v="1899-12-30T21:30:00"/>
    <n v="5.0000000000000018"/>
    <n v="0.5"/>
    <m/>
    <n v="7.0000000000000018"/>
    <x v="1"/>
  </r>
  <r>
    <x v="287"/>
    <s v="Special Events"/>
    <d v="1899-12-30T16:00:00"/>
    <d v="1899-12-30T21:30:00"/>
    <n v="5.0000000000000018"/>
    <n v="0.5"/>
    <m/>
    <n v="7.0000000000000018"/>
    <x v="1"/>
  </r>
  <r>
    <x v="288"/>
    <s v="Special Events"/>
    <d v="1899-12-30T18:30:00"/>
    <d v="1899-12-30T22:30:00"/>
    <n v="3.9999999999999991"/>
    <m/>
    <m/>
    <n v="5.9999999999999991"/>
    <x v="1"/>
  </r>
  <r>
    <x v="288"/>
    <s v="Special Events"/>
    <d v="1899-12-30T16:00:00"/>
    <d v="1899-12-30T21:00:00"/>
    <n v="5.0000000000000009"/>
    <m/>
    <m/>
    <n v="7.0000000000000009"/>
    <x v="1"/>
  </r>
  <r>
    <x v="288"/>
    <s v="Special Events"/>
    <d v="1899-12-30T16:00:00"/>
    <d v="1899-12-30T22:30:00"/>
    <n v="6.0000000000000009"/>
    <n v="0.5"/>
    <m/>
    <n v="8"/>
    <x v="1"/>
  </r>
  <r>
    <x v="289"/>
    <s v="Special Events"/>
    <d v="1899-12-30T07:00:00"/>
    <d v="1899-12-30T14:00:00"/>
    <n v="6.5"/>
    <n v="0.5"/>
    <m/>
    <n v="6.5"/>
    <x v="1"/>
  </r>
  <r>
    <x v="289"/>
    <s v="Special Events"/>
    <d v="1899-12-30T07:00:00"/>
    <d v="1899-12-30T13:00:00"/>
    <n v="5.4999999999999982"/>
    <n v="0.5"/>
    <m/>
    <n v="5.4999999999999982"/>
    <x v="1"/>
  </r>
  <r>
    <x v="289"/>
    <s v="Special Events"/>
    <d v="1899-12-30T07:00:00"/>
    <d v="1899-12-30T14:00:00"/>
    <n v="6.5"/>
    <n v="0.5"/>
    <m/>
    <n v="6.5"/>
    <x v="1"/>
  </r>
  <r>
    <x v="289"/>
    <s v="Special Events"/>
    <d v="1899-12-30T08:00:00"/>
    <d v="1899-12-30T14:00:00"/>
    <n v="5.5000000000000018"/>
    <n v="0.5"/>
    <m/>
    <n v="5.5000000000000018"/>
    <x v="1"/>
  </r>
  <r>
    <x v="290"/>
    <s v="Special Events"/>
    <d v="1899-12-30T10:00:00"/>
    <d v="1899-12-30T14:00:00"/>
    <n v="4"/>
    <m/>
    <m/>
    <n v="4"/>
    <x v="1"/>
  </r>
  <r>
    <x v="290"/>
    <s v="Special Events"/>
    <d v="1899-12-30T10:00:00"/>
    <d v="1899-12-30T14:00:00"/>
    <n v="4"/>
    <m/>
    <m/>
    <n v="4"/>
    <x v="1"/>
  </r>
  <r>
    <x v="290"/>
    <s v="Special Events"/>
    <d v="1899-12-30T10:00:00"/>
    <d v="1899-12-30T14:00:00"/>
    <n v="4"/>
    <m/>
    <m/>
    <n v="4"/>
    <x v="1"/>
  </r>
  <r>
    <x v="292"/>
    <s v="Special Events"/>
    <d v="1899-12-30T15:30:00"/>
    <d v="1899-12-30T20:00:00"/>
    <n v="4.5"/>
    <m/>
    <m/>
    <n v="6.5"/>
    <x v="1"/>
  </r>
  <r>
    <x v="292"/>
    <s v="Special Events"/>
    <d v="1899-12-30T15:30:00"/>
    <d v="1899-12-30T20:00:00"/>
    <n v="4.5"/>
    <m/>
    <m/>
    <n v="6.5"/>
    <x v="1"/>
  </r>
  <r>
    <x v="342"/>
    <s v="Special Events"/>
    <d v="1899-12-30T07:00:00"/>
    <d v="1899-12-30T12:00:00"/>
    <n v="5"/>
    <m/>
    <m/>
    <n v="7"/>
    <x v="1"/>
  </r>
  <r>
    <x v="342"/>
    <s v="Special Events"/>
    <d v="1899-12-30T07:00:00"/>
    <d v="1899-12-30T12:00:00"/>
    <n v="5"/>
    <m/>
    <m/>
    <n v="7"/>
    <x v="1"/>
  </r>
  <r>
    <x v="343"/>
    <s v="Special Events"/>
    <d v="1899-12-30T10:00:00"/>
    <d v="1899-12-30T16:00:00"/>
    <n v="5.4999999999999982"/>
    <n v="0.5"/>
    <m/>
    <n v="5.4999999999999982"/>
    <x v="1"/>
  </r>
  <r>
    <x v="343"/>
    <s v="Special Events"/>
    <d v="1899-12-30T10:00:00"/>
    <d v="1899-12-30T16:00:00"/>
    <n v="5.4999999999999982"/>
    <n v="0.5"/>
    <m/>
    <n v="5.4999999999999982"/>
    <x v="1"/>
  </r>
  <r>
    <x v="343"/>
    <s v="Special Events"/>
    <d v="1899-12-30T10:00:00"/>
    <d v="1899-12-30T16:00:00"/>
    <n v="5.4999999999999982"/>
    <n v="0.5"/>
    <m/>
    <n v="5.4999999999999982"/>
    <x v="1"/>
  </r>
  <r>
    <x v="316"/>
    <s v="Special Events"/>
    <d v="1899-12-30T10:00:00"/>
    <d v="1899-12-30T15:00:00"/>
    <n v="5"/>
    <m/>
    <m/>
    <n v="7"/>
    <x v="1"/>
  </r>
  <r>
    <x v="316"/>
    <s v="Special Events"/>
    <d v="1899-12-30T10:00:00"/>
    <d v="1899-12-30T15:00:00"/>
    <n v="5"/>
    <m/>
    <m/>
    <n v="7"/>
    <x v="1"/>
  </r>
  <r>
    <x v="317"/>
    <s v="Special Events"/>
    <d v="1899-12-30T10:00:00"/>
    <d v="1899-12-30T15:00:00"/>
    <n v="5"/>
    <m/>
    <m/>
    <n v="7"/>
    <x v="1"/>
  </r>
  <r>
    <x v="317"/>
    <s v="Special Events"/>
    <d v="1899-12-30T10:00:00"/>
    <d v="1899-12-30T15:00:00"/>
    <n v="5"/>
    <m/>
    <m/>
    <n v="7"/>
    <x v="1"/>
  </r>
  <r>
    <x v="317"/>
    <s v="Special Events"/>
    <d v="1899-12-30T12:00:00"/>
    <d v="1899-12-30T17:00:00"/>
    <n v="5.0000000000000009"/>
    <m/>
    <m/>
    <n v="7.0000000000000009"/>
    <x v="1"/>
  </r>
  <r>
    <x v="318"/>
    <s v="Special Events"/>
    <d v="1899-12-30T15:00:00"/>
    <d v="1899-12-30T23:30:00"/>
    <n v="8"/>
    <n v="0.5"/>
    <m/>
    <n v="10"/>
    <x v="1"/>
  </r>
  <r>
    <x v="318"/>
    <s v="Special Events"/>
    <d v="1899-12-30T15:00:00"/>
    <d v="1899-12-30T23:30:00"/>
    <n v="8"/>
    <n v="0.5"/>
    <m/>
    <n v="10"/>
    <x v="1"/>
  </r>
  <r>
    <x v="318"/>
    <s v="Special Events"/>
    <d v="1899-12-30T15:00:00"/>
    <d v="1899-12-30T23:30:00"/>
    <n v="8"/>
    <n v="0.5"/>
    <m/>
    <n v="10"/>
    <x v="1"/>
  </r>
  <r>
    <x v="318"/>
    <s v="Special Events"/>
    <d v="1899-12-30T15:00:00"/>
    <d v="1899-12-30T23:30:00"/>
    <n v="8"/>
    <n v="0.5"/>
    <m/>
    <n v="10"/>
    <x v="1"/>
  </r>
  <r>
    <x v="318"/>
    <s v="Special Events"/>
    <d v="1899-12-30T15:00:00"/>
    <d v="1899-12-30T23:30:00"/>
    <n v="8"/>
    <n v="0.5"/>
    <m/>
    <n v="10"/>
    <x v="1"/>
  </r>
  <r>
    <x v="318"/>
    <s v="Special Events"/>
    <d v="1899-12-30T19:30:00"/>
    <d v="1899-12-30T23:30:00"/>
    <n v="3.9999999999999991"/>
    <m/>
    <m/>
    <n v="5.9999999999999991"/>
    <x v="1"/>
  </r>
  <r>
    <x v="318"/>
    <s v="Special Events"/>
    <d v="1899-12-30T19:30:00"/>
    <d v="1899-12-30T23:30:00"/>
    <n v="3.9999999999999991"/>
    <m/>
    <m/>
    <n v="5.9999999999999991"/>
    <x v="1"/>
  </r>
  <r>
    <x v="319"/>
    <s v="Special Events"/>
    <d v="1899-12-30T10:00:00"/>
    <d v="1899-12-30T15:00:00"/>
    <n v="5"/>
    <m/>
    <m/>
    <n v="7"/>
    <x v="1"/>
  </r>
  <r>
    <x v="319"/>
    <s v="Special Events"/>
    <d v="1899-12-30T10:00:00"/>
    <d v="1899-12-30T15:00:00"/>
    <n v="5"/>
    <m/>
    <m/>
    <n v="7"/>
    <x v="1"/>
  </r>
  <r>
    <x v="323"/>
    <s v="Special Events"/>
    <d v="1899-12-30T15:30:00"/>
    <d v="1899-12-30T19:30:00"/>
    <n v="3.9999999999999991"/>
    <m/>
    <m/>
    <n v="5.9999999999999991"/>
    <x v="1"/>
  </r>
  <r>
    <x v="324"/>
    <s v="Special Events"/>
    <d v="1899-12-30T10:00:00"/>
    <d v="1899-12-30T14:00:00"/>
    <n v="4"/>
    <m/>
    <m/>
    <n v="6"/>
    <x v="1"/>
  </r>
  <r>
    <x v="324"/>
    <s v="Special Events"/>
    <d v="1899-12-30T10:00:00"/>
    <d v="1899-12-30T14:00:00"/>
    <n v="4"/>
    <m/>
    <m/>
    <n v="6"/>
    <x v="1"/>
  </r>
  <r>
    <x v="324"/>
    <s v="Special Events"/>
    <d v="1899-12-30T10:00:00"/>
    <d v="1899-12-30T14:00:00"/>
    <n v="4"/>
    <m/>
    <m/>
    <n v="6"/>
    <x v="1"/>
  </r>
  <r>
    <x v="344"/>
    <m/>
    <m/>
    <m/>
    <m/>
    <m/>
    <m/>
    <m/>
    <x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6">
  <r>
    <x v="0"/>
    <x v="0"/>
    <d v="1899-12-30T07:45:00"/>
    <d v="1899-12-30T14:00:00"/>
    <n v="5.75"/>
    <n v="0.5"/>
    <n v="5521"/>
    <m/>
    <x v="0"/>
    <x v="0"/>
    <n v="1191"/>
    <n v="5373"/>
    <n v="3.75"/>
  </r>
  <r>
    <x v="1"/>
    <x v="0"/>
    <d v="1899-12-30T07:45:00"/>
    <d v="1899-12-30T14:00:00"/>
    <n v="5.75"/>
    <n v="0.5"/>
    <m/>
    <m/>
    <x v="1"/>
    <x v="0"/>
    <m/>
    <m/>
    <n v="3.75"/>
  </r>
  <r>
    <x v="1"/>
    <x v="0"/>
    <d v="1899-12-30T17:00:00"/>
    <d v="1899-12-30T21:30:00"/>
    <n v="4.5"/>
    <m/>
    <m/>
    <m/>
    <x v="1"/>
    <x v="1"/>
    <m/>
    <m/>
    <n v="2.5"/>
  </r>
  <r>
    <x v="2"/>
    <x v="0"/>
    <d v="1899-12-30T07:45:00"/>
    <d v="1899-12-30T14:00:00"/>
    <n v="5.75"/>
    <n v="0.5"/>
    <m/>
    <m/>
    <x v="1"/>
    <x v="0"/>
    <m/>
    <m/>
    <n v="3.75"/>
  </r>
  <r>
    <x v="3"/>
    <x v="0"/>
    <d v="1899-12-30T07:45:00"/>
    <d v="1899-12-30T14:00:00"/>
    <n v="5.75"/>
    <n v="0.5"/>
    <m/>
    <m/>
    <x v="1"/>
    <x v="0"/>
    <m/>
    <m/>
    <n v="3.75"/>
  </r>
  <r>
    <x v="4"/>
    <x v="1"/>
    <d v="1899-12-30T08:00:00"/>
    <d v="1899-12-30T11:00:00"/>
    <n v="3"/>
    <m/>
    <m/>
    <n v="3"/>
    <x v="1"/>
    <x v="2"/>
    <m/>
    <m/>
    <n v="3"/>
  </r>
  <r>
    <x v="4"/>
    <x v="0"/>
    <d v="1899-12-30T08:00:00"/>
    <d v="1899-12-30T12:00:00"/>
    <n v="4"/>
    <m/>
    <m/>
    <m/>
    <x v="1"/>
    <x v="3"/>
    <m/>
    <m/>
    <n v="2"/>
  </r>
  <r>
    <x v="4"/>
    <x v="2"/>
    <d v="1899-12-30T14:00:00"/>
    <d v="1899-12-30T00:30:00"/>
    <n v="9.5"/>
    <n v="1"/>
    <m/>
    <n v="9.5"/>
    <x v="1"/>
    <x v="2"/>
    <m/>
    <m/>
    <n v="9.5"/>
  </r>
  <r>
    <x v="4"/>
    <x v="3"/>
    <d v="1899-12-30T14:00:00"/>
    <d v="1899-12-30T22:00:00"/>
    <n v="7.4999999999999982"/>
    <n v="0.5"/>
    <m/>
    <n v="7.4999999999999982"/>
    <x v="1"/>
    <x v="2"/>
    <m/>
    <m/>
    <n v="7.4999999999999982"/>
  </r>
  <r>
    <x v="5"/>
    <x v="3"/>
    <d v="1899-12-30T10:00:00"/>
    <d v="1899-12-30T17:00:00"/>
    <n v="6.5"/>
    <n v="0.5"/>
    <m/>
    <n v="6.5"/>
    <x v="1"/>
    <x v="2"/>
    <m/>
    <m/>
    <n v="6.5"/>
  </r>
  <r>
    <x v="6"/>
    <x v="0"/>
    <d v="1899-12-30T07:45:00"/>
    <d v="1899-12-30T14:00:00"/>
    <n v="5.75"/>
    <n v="0.5"/>
    <m/>
    <m/>
    <x v="1"/>
    <x v="0"/>
    <m/>
    <m/>
    <n v="3.75"/>
  </r>
  <r>
    <x v="7"/>
    <x v="0"/>
    <d v="1899-12-30T07:45:00"/>
    <d v="1899-12-30T14:00:00"/>
    <n v="5.75"/>
    <n v="0.5"/>
    <m/>
    <m/>
    <x v="1"/>
    <x v="0"/>
    <m/>
    <m/>
    <n v="3.75"/>
  </r>
  <r>
    <x v="8"/>
    <x v="0"/>
    <d v="1899-12-30T07:45:00"/>
    <d v="1899-12-30T14:00:00"/>
    <n v="5.75"/>
    <n v="0.5"/>
    <m/>
    <m/>
    <x v="1"/>
    <x v="0"/>
    <m/>
    <m/>
    <n v="3.75"/>
  </r>
  <r>
    <x v="8"/>
    <x v="0"/>
    <d v="1899-12-30T17:00:00"/>
    <d v="1899-12-30T21:30:00"/>
    <n v="4.5"/>
    <m/>
    <m/>
    <m/>
    <x v="1"/>
    <x v="1"/>
    <m/>
    <m/>
    <n v="2.5"/>
  </r>
  <r>
    <x v="9"/>
    <x v="0"/>
    <d v="1899-12-30T07:45:00"/>
    <d v="1899-12-30T14:00:00"/>
    <n v="5.75"/>
    <n v="0.5"/>
    <m/>
    <m/>
    <x v="1"/>
    <x v="0"/>
    <m/>
    <m/>
    <n v="3.75"/>
  </r>
  <r>
    <x v="9"/>
    <x v="0"/>
    <d v="1899-12-30T18:00:00"/>
    <d v="1899-12-30T23:00:00"/>
    <n v="5.0000000000000009"/>
    <m/>
    <m/>
    <m/>
    <x v="1"/>
    <x v="4"/>
    <m/>
    <m/>
    <n v="3.0000000000000009"/>
  </r>
  <r>
    <x v="10"/>
    <x v="0"/>
    <d v="1899-12-30T07:45:00"/>
    <d v="1899-12-30T14:00:00"/>
    <n v="5.75"/>
    <n v="0.5"/>
    <m/>
    <m/>
    <x v="1"/>
    <x v="0"/>
    <m/>
    <m/>
    <n v="3.75"/>
  </r>
  <r>
    <x v="10"/>
    <x v="4"/>
    <d v="1899-12-30T14:00:00"/>
    <d v="1899-12-30T00:00:00"/>
    <n v="9"/>
    <n v="1"/>
    <m/>
    <n v="11"/>
    <x v="1"/>
    <x v="2"/>
    <m/>
    <m/>
    <n v="11"/>
  </r>
  <r>
    <x v="11"/>
    <x v="0"/>
    <d v="1899-12-30T08:00:00"/>
    <d v="1899-12-30T12:00:00"/>
    <n v="4"/>
    <m/>
    <m/>
    <m/>
    <x v="1"/>
    <x v="3"/>
    <m/>
    <m/>
    <n v="2"/>
  </r>
  <r>
    <x v="11"/>
    <x v="2"/>
    <d v="1899-12-30T09:30:00"/>
    <d v="1899-12-30T17:30:00"/>
    <n v="7.5"/>
    <n v="0.5"/>
    <m/>
    <n v="7.5"/>
    <x v="1"/>
    <x v="2"/>
    <m/>
    <m/>
    <n v="7.5"/>
  </r>
  <r>
    <x v="11"/>
    <x v="5"/>
    <d v="1899-12-30T11:00:00"/>
    <d v="1899-12-30T22:00:00"/>
    <n v="10"/>
    <n v="1"/>
    <m/>
    <n v="10"/>
    <x v="1"/>
    <x v="2"/>
    <m/>
    <m/>
    <n v="10"/>
  </r>
  <r>
    <x v="11"/>
    <x v="3"/>
    <d v="1899-12-30T12:30:00"/>
    <d v="1899-12-30T19:00:00"/>
    <n v="5.9999999999999982"/>
    <n v="0.5"/>
    <m/>
    <n v="5.9999999999999982"/>
    <x v="1"/>
    <x v="2"/>
    <m/>
    <m/>
    <n v="5.9999999999999982"/>
  </r>
  <r>
    <x v="12"/>
    <x v="3"/>
    <d v="1899-12-30T08:00:00"/>
    <d v="1899-12-30T16:00:00"/>
    <n v="7.5"/>
    <n v="0.5"/>
    <m/>
    <n v="7.5"/>
    <x v="1"/>
    <x v="2"/>
    <m/>
    <m/>
    <n v="7.5"/>
  </r>
  <r>
    <x v="12"/>
    <x v="2"/>
    <d v="1899-12-30T11:00:00"/>
    <d v="1899-12-30T18:00:00"/>
    <n v="6.5"/>
    <n v="0.5"/>
    <m/>
    <n v="6.5"/>
    <x v="1"/>
    <x v="2"/>
    <m/>
    <m/>
    <n v="6.5"/>
  </r>
  <r>
    <x v="13"/>
    <x v="0"/>
    <d v="1899-12-30T07:45:00"/>
    <d v="1899-12-30T14:00:00"/>
    <n v="5.75"/>
    <n v="0.5"/>
    <m/>
    <m/>
    <x v="1"/>
    <x v="0"/>
    <m/>
    <m/>
    <n v="3.75"/>
  </r>
  <r>
    <x v="14"/>
    <x v="0"/>
    <d v="1899-12-30T07:45:00"/>
    <d v="1899-12-30T14:00:00"/>
    <n v="5.75"/>
    <n v="0.5"/>
    <m/>
    <m/>
    <x v="1"/>
    <x v="0"/>
    <m/>
    <m/>
    <n v="3.75"/>
  </r>
  <r>
    <x v="14"/>
    <x v="3"/>
    <d v="1899-12-30T16:00:00"/>
    <d v="1899-12-30T21:30:00"/>
    <n v="5.5000000000000018"/>
    <m/>
    <m/>
    <n v="7.5000000000000018"/>
    <x v="1"/>
    <x v="2"/>
    <m/>
    <m/>
    <n v="7.5000000000000018"/>
  </r>
  <r>
    <x v="14"/>
    <x v="2"/>
    <d v="1899-12-30T17:00:00"/>
    <d v="1899-12-30T21:00:00"/>
    <n v="3.9999999999999991"/>
    <m/>
    <m/>
    <n v="5.9999999999999991"/>
    <x v="1"/>
    <x v="2"/>
    <m/>
    <m/>
    <n v="5.9999999999999991"/>
  </r>
  <r>
    <x v="15"/>
    <x v="0"/>
    <d v="1899-12-30T07:45:00"/>
    <d v="1899-12-30T14:00:00"/>
    <n v="5.75"/>
    <n v="0.5"/>
    <m/>
    <m/>
    <x v="1"/>
    <x v="0"/>
    <m/>
    <m/>
    <n v="3.75"/>
  </r>
  <r>
    <x v="15"/>
    <x v="0"/>
    <d v="1899-12-30T18:00:00"/>
    <d v="1899-12-30T22:30:00"/>
    <n v="4.5"/>
    <m/>
    <m/>
    <m/>
    <x v="1"/>
    <x v="1"/>
    <m/>
    <m/>
    <n v="2.5"/>
  </r>
  <r>
    <x v="16"/>
    <x v="0"/>
    <d v="1899-12-30T07:45:00"/>
    <d v="1899-12-30T14:00:00"/>
    <n v="5.75"/>
    <n v="0.5"/>
    <m/>
    <m/>
    <x v="1"/>
    <x v="0"/>
    <m/>
    <m/>
    <n v="3.75"/>
  </r>
  <r>
    <x v="17"/>
    <x v="0"/>
    <d v="1899-12-30T08:00:00"/>
    <d v="1899-12-30T12:00:00"/>
    <n v="4"/>
    <m/>
    <m/>
    <m/>
    <x v="1"/>
    <x v="3"/>
    <m/>
    <m/>
    <n v="2"/>
  </r>
  <r>
    <x v="17"/>
    <x v="2"/>
    <d v="1899-12-30T11:00:00"/>
    <d v="1899-12-30T18:00:00"/>
    <n v="6.5"/>
    <n v="0.5"/>
    <m/>
    <n v="6.5"/>
    <x v="1"/>
    <x v="2"/>
    <m/>
    <m/>
    <n v="6.5"/>
  </r>
  <r>
    <x v="17"/>
    <x v="3"/>
    <d v="1899-12-30T13:00:00"/>
    <d v="1899-12-30T22:00:00"/>
    <n v="8"/>
    <n v="1"/>
    <m/>
    <n v="8"/>
    <x v="1"/>
    <x v="2"/>
    <m/>
    <m/>
    <n v="8"/>
  </r>
  <r>
    <x v="18"/>
    <x v="3"/>
    <d v="1899-12-30T07:00:00"/>
    <d v="1899-12-30T14:00:00"/>
    <n v="6.5"/>
    <n v="0.5"/>
    <m/>
    <n v="6.5"/>
    <x v="1"/>
    <x v="2"/>
    <m/>
    <m/>
    <n v="6.5"/>
  </r>
  <r>
    <x v="19"/>
    <x v="0"/>
    <d v="1899-12-30T07:45:00"/>
    <d v="1899-12-30T14:00:00"/>
    <n v="5.75"/>
    <n v="0.5"/>
    <m/>
    <m/>
    <x v="1"/>
    <x v="0"/>
    <m/>
    <m/>
    <n v="3.75"/>
  </r>
  <r>
    <x v="20"/>
    <x v="0"/>
    <d v="1899-12-30T07:45:00"/>
    <d v="1899-12-30T14:00:00"/>
    <n v="5.75"/>
    <n v="0.5"/>
    <m/>
    <m/>
    <x v="1"/>
    <x v="0"/>
    <m/>
    <m/>
    <n v="3.75"/>
  </r>
  <r>
    <x v="21"/>
    <x v="0"/>
    <d v="1899-12-30T07:45:00"/>
    <d v="1899-12-30T14:00:00"/>
    <n v="5.75"/>
    <n v="0.5"/>
    <m/>
    <m/>
    <x v="1"/>
    <x v="0"/>
    <m/>
    <m/>
    <n v="3.75"/>
  </r>
  <r>
    <x v="21"/>
    <x v="0"/>
    <d v="1899-12-30T17:00:00"/>
    <d v="1899-12-30T21:30:00"/>
    <n v="4.5"/>
    <m/>
    <m/>
    <m/>
    <x v="1"/>
    <x v="1"/>
    <m/>
    <m/>
    <n v="2.5"/>
  </r>
  <r>
    <x v="22"/>
    <x v="0"/>
    <d v="1899-12-30T07:45:00"/>
    <d v="1899-12-30T14:00:00"/>
    <n v="5.75"/>
    <n v="0.5"/>
    <m/>
    <m/>
    <x v="1"/>
    <x v="0"/>
    <m/>
    <m/>
    <n v="3.75"/>
  </r>
  <r>
    <x v="22"/>
    <x v="0"/>
    <d v="1899-12-30T18:00:00"/>
    <d v="1899-12-30T22:30:00"/>
    <n v="4.5"/>
    <m/>
    <m/>
    <m/>
    <x v="1"/>
    <x v="1"/>
    <m/>
    <m/>
    <n v="2.5"/>
  </r>
  <r>
    <x v="23"/>
    <x v="0"/>
    <d v="1899-12-30T07:45:00"/>
    <d v="1899-12-30T14:00:00"/>
    <n v="5.75"/>
    <n v="0.5"/>
    <m/>
    <m/>
    <x v="1"/>
    <x v="0"/>
    <m/>
    <m/>
    <n v="3.75"/>
  </r>
  <r>
    <x v="23"/>
    <x v="2"/>
    <d v="1899-12-30T15:00:00"/>
    <d v="1899-12-30T22:00:00"/>
    <n v="6.4999999999999991"/>
    <n v="0.5"/>
    <m/>
    <n v="8.5"/>
    <x v="1"/>
    <x v="2"/>
    <m/>
    <m/>
    <n v="8.5"/>
  </r>
  <r>
    <x v="23"/>
    <x v="3"/>
    <d v="1899-12-30T15:45:00"/>
    <d v="1899-12-30T01:00:00"/>
    <n v="8.25"/>
    <n v="1"/>
    <m/>
    <n v="10.25"/>
    <x v="1"/>
    <x v="2"/>
    <m/>
    <m/>
    <n v="10.25"/>
  </r>
  <r>
    <x v="24"/>
    <x v="0"/>
    <d v="1899-12-30T08:00:00"/>
    <d v="1899-12-30T12:00:00"/>
    <n v="4"/>
    <m/>
    <m/>
    <m/>
    <x v="1"/>
    <x v="3"/>
    <m/>
    <m/>
    <n v="2"/>
  </r>
  <r>
    <x v="24"/>
    <x v="3"/>
    <d v="1899-12-30T13:00:00"/>
    <d v="1899-12-30T20:30:00"/>
    <n v="7"/>
    <n v="0.5"/>
    <m/>
    <n v="7"/>
    <x v="1"/>
    <x v="2"/>
    <m/>
    <m/>
    <n v="7"/>
  </r>
  <r>
    <x v="25"/>
    <x v="3"/>
    <d v="1899-12-30T10:00:00"/>
    <d v="1899-12-30T17:00:00"/>
    <n v="6.5"/>
    <n v="0.5"/>
    <m/>
    <n v="6.5"/>
    <x v="1"/>
    <x v="2"/>
    <m/>
    <m/>
    <n v="6.5"/>
  </r>
  <r>
    <x v="26"/>
    <x v="0"/>
    <d v="1899-12-30T07:45:00"/>
    <d v="1899-12-30T14:00:00"/>
    <n v="5.75"/>
    <n v="0.5"/>
    <m/>
    <m/>
    <x v="1"/>
    <x v="0"/>
    <m/>
    <m/>
    <n v="3.75"/>
  </r>
  <r>
    <x v="26"/>
    <x v="1"/>
    <d v="1899-12-30T16:30:00"/>
    <d v="1899-12-30T20:30:00"/>
    <n v="3.9999999999999991"/>
    <m/>
    <m/>
    <n v="5.9999999999999991"/>
    <x v="1"/>
    <x v="2"/>
    <m/>
    <m/>
    <n v="5.9999999999999991"/>
  </r>
  <r>
    <x v="27"/>
    <x v="0"/>
    <d v="1899-12-30T07:45:00"/>
    <d v="1899-12-30T14:00:00"/>
    <n v="5.75"/>
    <n v="0.5"/>
    <m/>
    <m/>
    <x v="1"/>
    <x v="0"/>
    <m/>
    <m/>
    <n v="3.75"/>
  </r>
  <r>
    <x v="27"/>
    <x v="0"/>
    <d v="1899-12-30T17:00:00"/>
    <d v="1899-12-30T22:30:00"/>
    <n v="5.4999999999999991"/>
    <m/>
    <m/>
    <m/>
    <x v="1"/>
    <x v="5"/>
    <m/>
    <m/>
    <n v="3.4999999999999991"/>
  </r>
  <r>
    <x v="28"/>
    <x v="0"/>
    <d v="1899-12-30T07:45:00"/>
    <d v="1899-12-30T14:00:00"/>
    <n v="5.75"/>
    <n v="0.5"/>
    <m/>
    <m/>
    <x v="1"/>
    <x v="0"/>
    <m/>
    <m/>
    <n v="3.75"/>
  </r>
  <r>
    <x v="28"/>
    <x v="0"/>
    <d v="1899-12-30T17:00:00"/>
    <d v="1899-12-30T21:30:00"/>
    <n v="4.5"/>
    <m/>
    <m/>
    <m/>
    <x v="1"/>
    <x v="1"/>
    <m/>
    <m/>
    <n v="2.5"/>
  </r>
  <r>
    <x v="29"/>
    <x v="0"/>
    <d v="1899-12-30T07:45:00"/>
    <d v="1899-12-30T14:00:00"/>
    <n v="5.75"/>
    <n v="0.5"/>
    <n v="5521"/>
    <m/>
    <x v="1"/>
    <x v="0"/>
    <m/>
    <m/>
    <n v="3.75"/>
  </r>
  <r>
    <x v="29"/>
    <x v="0"/>
    <d v="1899-12-30T18:30:00"/>
    <d v="1899-12-30T22:30:00"/>
    <n v="3.9999999999999991"/>
    <m/>
    <m/>
    <m/>
    <x v="1"/>
    <x v="6"/>
    <m/>
    <m/>
    <n v="1.9999999999999991"/>
  </r>
  <r>
    <x v="30"/>
    <x v="0"/>
    <d v="1899-12-30T07:45:00"/>
    <d v="1899-12-30T14:00:00"/>
    <n v="5.75"/>
    <n v="0.5"/>
    <m/>
    <m/>
    <x v="1"/>
    <x v="0"/>
    <m/>
    <m/>
    <n v="3.75"/>
  </r>
  <r>
    <x v="31"/>
    <x v="0"/>
    <d v="1899-12-30T07:45:00"/>
    <d v="1899-12-30T14:00:00"/>
    <n v="5.75"/>
    <n v="0.5"/>
    <m/>
    <m/>
    <x v="1"/>
    <x v="0"/>
    <m/>
    <m/>
    <n v="3.75"/>
  </r>
  <r>
    <x v="32"/>
    <x v="0"/>
    <d v="1899-12-30T07:45:00"/>
    <d v="1899-12-30T14:00:00"/>
    <n v="5.75"/>
    <n v="0.5"/>
    <m/>
    <m/>
    <x v="1"/>
    <x v="0"/>
    <m/>
    <m/>
    <n v="3.75"/>
  </r>
  <r>
    <x v="33"/>
    <x v="0"/>
    <d v="1899-12-30T07:45:00"/>
    <d v="1899-12-30T14:00:00"/>
    <n v="5.75"/>
    <n v="0.5"/>
    <m/>
    <m/>
    <x v="1"/>
    <x v="0"/>
    <m/>
    <m/>
    <n v="3.75"/>
  </r>
  <r>
    <x v="33"/>
    <x v="0"/>
    <d v="1899-12-30T16:30:00"/>
    <d v="1899-12-30T21:00:00"/>
    <n v="4.5"/>
    <m/>
    <m/>
    <m/>
    <x v="1"/>
    <x v="1"/>
    <m/>
    <m/>
    <n v="2.5"/>
  </r>
  <r>
    <x v="33"/>
    <x v="1"/>
    <d v="1899-12-30T17:00:00"/>
    <d v="1899-12-30T21:30:00"/>
    <n v="4.5"/>
    <m/>
    <m/>
    <n v="6.5"/>
    <x v="1"/>
    <x v="2"/>
    <m/>
    <m/>
    <n v="6.5"/>
  </r>
  <r>
    <x v="34"/>
    <x v="0"/>
    <d v="1899-12-30T07:45:00"/>
    <d v="1899-12-30T14:00:00"/>
    <n v="5.75"/>
    <n v="0.5"/>
    <m/>
    <m/>
    <x v="1"/>
    <x v="0"/>
    <m/>
    <m/>
    <n v="3.75"/>
  </r>
  <r>
    <x v="34"/>
    <x v="0"/>
    <d v="1899-12-30T18:30:00"/>
    <d v="1899-12-30T22:00:00"/>
    <n v="3.4999999999999982"/>
    <m/>
    <m/>
    <m/>
    <x v="1"/>
    <x v="7"/>
    <m/>
    <m/>
    <n v="1.4999999999999982"/>
  </r>
  <r>
    <x v="35"/>
    <x v="0"/>
    <d v="1899-12-30T07:45:00"/>
    <d v="1899-12-30T14:00:00"/>
    <n v="5.75"/>
    <n v="0.5"/>
    <m/>
    <m/>
    <x v="1"/>
    <x v="0"/>
    <m/>
    <m/>
    <n v="3.75"/>
  </r>
  <r>
    <x v="35"/>
    <x v="2"/>
    <d v="1899-12-30T18:00:00"/>
    <d v="1899-12-30T22:00:00"/>
    <n v="3.9999999999999991"/>
    <m/>
    <m/>
    <n v="5.9999999999999991"/>
    <x v="1"/>
    <x v="2"/>
    <m/>
    <m/>
    <n v="5.9999999999999991"/>
  </r>
  <r>
    <x v="35"/>
    <x v="3"/>
    <d v="1899-12-30T18:00:00"/>
    <d v="1899-12-30T23:00:00"/>
    <n v="5.0000000000000009"/>
    <m/>
    <m/>
    <n v="7.0000000000000009"/>
    <x v="1"/>
    <x v="2"/>
    <m/>
    <m/>
    <n v="7.0000000000000009"/>
  </r>
  <r>
    <x v="36"/>
    <x v="1"/>
    <d v="1899-12-30T08:00:00"/>
    <d v="1899-12-30T14:00:00"/>
    <n v="5.5000000000000018"/>
    <n v="0.5"/>
    <m/>
    <n v="5.5000000000000018"/>
    <x v="1"/>
    <x v="2"/>
    <m/>
    <m/>
    <n v="5.5000000000000018"/>
  </r>
  <r>
    <x v="36"/>
    <x v="0"/>
    <d v="1899-12-30T08:00:00"/>
    <d v="1899-12-30T17:00:00"/>
    <n v="8.0000000000000018"/>
    <n v="1"/>
    <m/>
    <m/>
    <x v="1"/>
    <x v="8"/>
    <m/>
    <m/>
    <n v="6.0000000000000018"/>
  </r>
  <r>
    <x v="36"/>
    <x v="6"/>
    <d v="1899-12-30T08:00:00"/>
    <d v="1899-12-30T12:00:00"/>
    <n v="4"/>
    <m/>
    <m/>
    <n v="4"/>
    <x v="1"/>
    <x v="2"/>
    <m/>
    <m/>
    <n v="4"/>
  </r>
  <r>
    <x v="36"/>
    <x v="2"/>
    <d v="1899-12-30T15:00:00"/>
    <d v="1899-12-30T01:00:00"/>
    <n v="9"/>
    <n v="1"/>
    <m/>
    <n v="9"/>
    <x v="1"/>
    <x v="2"/>
    <m/>
    <m/>
    <n v="9"/>
  </r>
  <r>
    <x v="36"/>
    <x v="3"/>
    <d v="1899-12-30T17:00:00"/>
    <d v="1899-12-30T00:00:00"/>
    <n v="6.4999999999999991"/>
    <n v="0.5"/>
    <m/>
    <n v="6.4999999999999991"/>
    <x v="1"/>
    <x v="2"/>
    <m/>
    <m/>
    <n v="6.4999999999999991"/>
  </r>
  <r>
    <x v="37"/>
    <x v="2"/>
    <d v="1899-12-30T07:30:00"/>
    <d v="1899-12-30T19:00:00"/>
    <n v="10.5"/>
    <n v="1"/>
    <m/>
    <n v="10.5"/>
    <x v="1"/>
    <x v="2"/>
    <m/>
    <m/>
    <n v="10.5"/>
  </r>
  <r>
    <x v="38"/>
    <x v="0"/>
    <d v="1899-12-30T07:45:00"/>
    <d v="1899-12-30T14:00:00"/>
    <n v="5.75"/>
    <n v="0.5"/>
    <m/>
    <m/>
    <x v="1"/>
    <x v="0"/>
    <m/>
    <m/>
    <n v="3.75"/>
  </r>
  <r>
    <x v="39"/>
    <x v="0"/>
    <d v="1899-12-30T07:45:00"/>
    <d v="1899-12-30T14:00:00"/>
    <n v="5.75"/>
    <n v="0.5"/>
    <m/>
    <m/>
    <x v="1"/>
    <x v="0"/>
    <m/>
    <m/>
    <n v="3.75"/>
  </r>
  <r>
    <x v="39"/>
    <x v="7"/>
    <d v="1899-12-30T15:00:00"/>
    <d v="1899-12-30T17:30:00"/>
    <n v="2.4999999999999991"/>
    <m/>
    <m/>
    <n v="4.4999999999999991"/>
    <x v="1"/>
    <x v="2"/>
    <m/>
    <m/>
    <n v="4.4999999999999991"/>
  </r>
  <r>
    <x v="40"/>
    <x v="0"/>
    <d v="1899-12-30T07:45:00"/>
    <d v="1899-12-30T14:00:00"/>
    <n v="5.75"/>
    <n v="0.5"/>
    <m/>
    <m/>
    <x v="1"/>
    <x v="0"/>
    <m/>
    <m/>
    <n v="3.75"/>
  </r>
  <r>
    <x v="40"/>
    <x v="1"/>
    <d v="1899-12-30T17:00:00"/>
    <d v="1899-12-30T21:30:00"/>
    <n v="4.5"/>
    <m/>
    <m/>
    <n v="6.5"/>
    <x v="1"/>
    <x v="2"/>
    <m/>
    <m/>
    <n v="6.5"/>
  </r>
  <r>
    <x v="41"/>
    <x v="0"/>
    <d v="1899-12-30T07:45:00"/>
    <d v="1899-12-30T14:00:00"/>
    <n v="5.75"/>
    <n v="0.5"/>
    <m/>
    <m/>
    <x v="1"/>
    <x v="0"/>
    <m/>
    <m/>
    <n v="3.75"/>
  </r>
  <r>
    <x v="41"/>
    <x v="0"/>
    <d v="1899-12-30T18:00:00"/>
    <d v="1899-12-30T22:00:00"/>
    <n v="3.9999999999999991"/>
    <m/>
    <m/>
    <m/>
    <x v="1"/>
    <x v="6"/>
    <m/>
    <m/>
    <n v="1.9999999999999991"/>
  </r>
  <r>
    <x v="42"/>
    <x v="0"/>
    <d v="1899-12-30T07:45:00"/>
    <d v="1899-12-30T14:00:00"/>
    <n v="5.75"/>
    <n v="0.5"/>
    <m/>
    <m/>
    <x v="1"/>
    <x v="0"/>
    <m/>
    <m/>
    <n v="3.75"/>
  </r>
  <r>
    <x v="42"/>
    <x v="3"/>
    <d v="1899-12-30T18:00:00"/>
    <d v="1899-12-30T23:00:00"/>
    <n v="5.0000000000000009"/>
    <m/>
    <m/>
    <n v="7.0000000000000009"/>
    <x v="1"/>
    <x v="2"/>
    <m/>
    <m/>
    <n v="7.0000000000000009"/>
  </r>
  <r>
    <x v="43"/>
    <x v="0"/>
    <d v="1899-12-30T08:00:00"/>
    <d v="1899-12-30T12:00:00"/>
    <n v="4"/>
    <m/>
    <m/>
    <m/>
    <x v="1"/>
    <x v="3"/>
    <m/>
    <m/>
    <n v="2"/>
  </r>
  <r>
    <x v="43"/>
    <x v="1"/>
    <d v="1899-12-30T09:00:00"/>
    <d v="1899-12-30T13:00:00"/>
    <n v="3.9999999999999991"/>
    <m/>
    <m/>
    <n v="3.9999999999999991"/>
    <x v="1"/>
    <x v="2"/>
    <m/>
    <m/>
    <n v="3.9999999999999991"/>
  </r>
  <r>
    <x v="43"/>
    <x v="3"/>
    <d v="1899-12-30T12:00:00"/>
    <d v="1899-12-30T19:30:00"/>
    <n v="7"/>
    <n v="0.5"/>
    <m/>
    <n v="7"/>
    <x v="1"/>
    <x v="2"/>
    <m/>
    <m/>
    <n v="7"/>
  </r>
  <r>
    <x v="43"/>
    <x v="8"/>
    <d v="1899-12-30T13:00:00"/>
    <d v="1899-12-30T20:00:00"/>
    <n v="6.5000000000000018"/>
    <n v="0.5"/>
    <m/>
    <n v="6.5000000000000018"/>
    <x v="1"/>
    <x v="2"/>
    <m/>
    <m/>
    <n v="6.5000000000000018"/>
  </r>
  <r>
    <x v="43"/>
    <x v="2"/>
    <d v="1899-12-30T15:00:00"/>
    <d v="1899-12-30T23:00:00"/>
    <n v="7.5"/>
    <n v="0.5"/>
    <m/>
    <n v="7.5"/>
    <x v="1"/>
    <x v="2"/>
    <m/>
    <m/>
    <n v="7.5"/>
  </r>
  <r>
    <x v="44"/>
    <x v="2"/>
    <d v="1899-12-30T11:00:00"/>
    <d v="1899-12-30T21:00:00"/>
    <n v="9"/>
    <n v="1"/>
    <m/>
    <n v="9"/>
    <x v="1"/>
    <x v="2"/>
    <m/>
    <m/>
    <n v="9"/>
  </r>
  <r>
    <x v="44"/>
    <x v="3"/>
    <d v="1899-12-30T16:00:00"/>
    <d v="1899-12-30T20:30:00"/>
    <n v="4.5"/>
    <m/>
    <m/>
    <n v="4.5"/>
    <x v="1"/>
    <x v="2"/>
    <m/>
    <m/>
    <n v="4.5"/>
  </r>
  <r>
    <x v="45"/>
    <x v="0"/>
    <d v="1899-12-30T07:45:00"/>
    <d v="1899-12-30T14:00:00"/>
    <n v="5.75"/>
    <n v="0.5"/>
    <m/>
    <m/>
    <x v="1"/>
    <x v="0"/>
    <m/>
    <m/>
    <n v="3.75"/>
  </r>
  <r>
    <x v="46"/>
    <x v="0"/>
    <d v="1899-12-30T07:45:00"/>
    <d v="1899-12-30T14:00:00"/>
    <n v="5.75"/>
    <n v="0.5"/>
    <m/>
    <m/>
    <x v="1"/>
    <x v="0"/>
    <m/>
    <m/>
    <n v="3.75"/>
  </r>
  <r>
    <x v="46"/>
    <x v="1"/>
    <d v="1899-12-30T17:00:00"/>
    <d v="1899-12-30T21:30:00"/>
    <n v="4.5"/>
    <m/>
    <m/>
    <n v="6.5"/>
    <x v="1"/>
    <x v="2"/>
    <m/>
    <m/>
    <n v="6.5"/>
  </r>
  <r>
    <x v="47"/>
    <x v="0"/>
    <d v="1899-12-30T07:45:00"/>
    <d v="1899-12-30T14:00:00"/>
    <n v="5.75"/>
    <n v="0.5"/>
    <m/>
    <m/>
    <x v="1"/>
    <x v="0"/>
    <m/>
    <m/>
    <n v="3.75"/>
  </r>
  <r>
    <x v="47"/>
    <x v="0"/>
    <d v="1899-12-30T15:00:00"/>
    <d v="1899-12-30T23:00:00"/>
    <n v="7"/>
    <n v="1"/>
    <m/>
    <m/>
    <x v="1"/>
    <x v="9"/>
    <m/>
    <m/>
    <n v="5"/>
  </r>
  <r>
    <x v="47"/>
    <x v="1"/>
    <d v="1899-12-30T18:30:00"/>
    <d v="1899-12-30T22:30:00"/>
    <n v="3.9999999999999991"/>
    <m/>
    <m/>
    <n v="5.9999999999999991"/>
    <x v="1"/>
    <x v="2"/>
    <m/>
    <m/>
    <n v="5.9999999999999991"/>
  </r>
  <r>
    <x v="48"/>
    <x v="0"/>
    <d v="1899-12-30T07:45:00"/>
    <d v="1899-12-30T14:00:00"/>
    <n v="5.75"/>
    <n v="0.5"/>
    <m/>
    <m/>
    <x v="1"/>
    <x v="0"/>
    <m/>
    <m/>
    <n v="3.75"/>
  </r>
  <r>
    <x v="48"/>
    <x v="3"/>
    <d v="1899-12-30T18:00:00"/>
    <d v="1899-12-30T23:00:00"/>
    <n v="5.0000000000000009"/>
    <m/>
    <m/>
    <n v="7.0000000000000009"/>
    <x v="1"/>
    <x v="2"/>
    <m/>
    <m/>
    <n v="7.0000000000000009"/>
  </r>
  <r>
    <x v="49"/>
    <x v="0"/>
    <d v="1899-12-30T08:00:00"/>
    <d v="1899-12-30T12:00:00"/>
    <n v="4"/>
    <m/>
    <m/>
    <m/>
    <x v="1"/>
    <x v="3"/>
    <m/>
    <m/>
    <n v="2"/>
  </r>
  <r>
    <x v="49"/>
    <x v="2"/>
    <d v="1899-12-30T09:30:00"/>
    <d v="1899-12-30T15:30:00"/>
    <n v="5.5000000000000018"/>
    <n v="0.5"/>
    <m/>
    <n v="5.5000000000000018"/>
    <x v="1"/>
    <x v="2"/>
    <m/>
    <m/>
    <n v="5.5000000000000018"/>
  </r>
  <r>
    <x v="49"/>
    <x v="3"/>
    <d v="1899-12-30T16:30:00"/>
    <d v="1899-12-30T22:30:00"/>
    <n v="5.5"/>
    <n v="0.5"/>
    <m/>
    <n v="5.5"/>
    <x v="1"/>
    <x v="2"/>
    <m/>
    <m/>
    <n v="5.5"/>
  </r>
  <r>
    <x v="50"/>
    <x v="2"/>
    <d v="1899-12-30T13:00:00"/>
    <d v="1899-12-30T00:00:00"/>
    <n v="10"/>
    <n v="1"/>
    <m/>
    <n v="10"/>
    <x v="1"/>
    <x v="2"/>
    <m/>
    <m/>
    <n v="10"/>
  </r>
  <r>
    <x v="51"/>
    <x v="0"/>
    <d v="1899-12-30T07:45:00"/>
    <d v="1899-12-30T14:00:00"/>
    <n v="5.75"/>
    <n v="0.5"/>
    <m/>
    <m/>
    <x v="1"/>
    <x v="0"/>
    <m/>
    <m/>
    <n v="3.75"/>
  </r>
  <r>
    <x v="51"/>
    <x v="0"/>
    <d v="1899-12-30T17:30:00"/>
    <d v="1899-12-30T22:00:00"/>
    <n v="4.5"/>
    <m/>
    <m/>
    <m/>
    <x v="1"/>
    <x v="1"/>
    <m/>
    <m/>
    <n v="2.5"/>
  </r>
  <r>
    <x v="52"/>
    <x v="0"/>
    <d v="1899-12-30T07:45:00"/>
    <d v="1899-12-30T14:00:00"/>
    <n v="5.75"/>
    <n v="0.5"/>
    <m/>
    <m/>
    <x v="1"/>
    <x v="0"/>
    <m/>
    <m/>
    <n v="3.75"/>
  </r>
  <r>
    <x v="52"/>
    <x v="7"/>
    <d v="1899-12-30T15:00:00"/>
    <d v="1899-12-30T17:30:00"/>
    <n v="2.4999999999999991"/>
    <m/>
    <m/>
    <n v="4.4999999999999991"/>
    <x v="1"/>
    <x v="2"/>
    <m/>
    <m/>
    <n v="4.4999999999999991"/>
  </r>
  <r>
    <x v="53"/>
    <x v="0"/>
    <d v="1899-12-30T07:45:00"/>
    <d v="1899-12-30T14:00:00"/>
    <n v="5.75"/>
    <n v="0.5"/>
    <m/>
    <m/>
    <x v="1"/>
    <x v="0"/>
    <m/>
    <m/>
    <n v="3.75"/>
  </r>
  <r>
    <x v="53"/>
    <x v="1"/>
    <d v="1899-12-30T16:30:00"/>
    <d v="1899-12-30T21:30:00"/>
    <n v="5.0000000000000009"/>
    <m/>
    <m/>
    <n v="7.0000000000000009"/>
    <x v="1"/>
    <x v="2"/>
    <m/>
    <m/>
    <n v="7.0000000000000009"/>
  </r>
  <r>
    <x v="54"/>
    <x v="1"/>
    <d v="1899-12-30T17:00:00"/>
    <d v="1899-12-30T23:00:00"/>
    <n v="5.5"/>
    <n v="0.5"/>
    <m/>
    <n v="7.5"/>
    <x v="1"/>
    <x v="2"/>
    <m/>
    <m/>
    <n v="7.5"/>
  </r>
  <r>
    <x v="54"/>
    <x v="0"/>
    <d v="1899-12-30T18:30:00"/>
    <d v="1899-12-30T22:30:00"/>
    <n v="3.9999999999999991"/>
    <m/>
    <m/>
    <m/>
    <x v="1"/>
    <x v="6"/>
    <m/>
    <m/>
    <n v="1.9999999999999991"/>
  </r>
  <r>
    <x v="55"/>
    <x v="0"/>
    <d v="1899-12-30T07:45:00"/>
    <d v="1899-12-30T14:00:00"/>
    <n v="5.75"/>
    <n v="0.5"/>
    <n v="5521"/>
    <m/>
    <x v="1"/>
    <x v="0"/>
    <m/>
    <m/>
    <n v="3.75"/>
  </r>
  <r>
    <x v="55"/>
    <x v="1"/>
    <d v="1899-12-30T16:30:00"/>
    <d v="1899-12-30T23:30:00"/>
    <n v="6.4999999999999991"/>
    <n v="0.5"/>
    <m/>
    <n v="8.5"/>
    <x v="1"/>
    <x v="2"/>
    <m/>
    <m/>
    <n v="8.5"/>
  </r>
  <r>
    <x v="55"/>
    <x v="0"/>
    <d v="1899-12-30T18:30:00"/>
    <d v="1899-12-30T23:00:00"/>
    <n v="4.5"/>
    <m/>
    <m/>
    <m/>
    <x v="1"/>
    <x v="1"/>
    <m/>
    <m/>
    <n v="2.5"/>
  </r>
  <r>
    <x v="56"/>
    <x v="0"/>
    <d v="1899-12-30T08:00:00"/>
    <d v="1899-12-30T12:00:00"/>
    <n v="4"/>
    <m/>
    <m/>
    <m/>
    <x v="1"/>
    <x v="3"/>
    <m/>
    <m/>
    <n v="2"/>
  </r>
  <r>
    <x v="56"/>
    <x v="8"/>
    <d v="1899-12-30T11:00:00"/>
    <d v="1899-12-30T17:00:00"/>
    <n v="5.5000000000000018"/>
    <n v="0.5"/>
    <m/>
    <n v="5.5000000000000018"/>
    <x v="1"/>
    <x v="2"/>
    <m/>
    <m/>
    <n v="5.5000000000000018"/>
  </r>
  <r>
    <x v="56"/>
    <x v="3"/>
    <d v="1899-12-30T12:00:00"/>
    <d v="1899-12-30T19:00:00"/>
    <n v="6.4999999999999991"/>
    <n v="0.5"/>
    <m/>
    <n v="6.4999999999999991"/>
    <x v="1"/>
    <x v="2"/>
    <m/>
    <m/>
    <n v="6.4999999999999991"/>
  </r>
  <r>
    <x v="57"/>
    <x v="0"/>
    <d v="1899-12-30T07:45:00"/>
    <d v="1899-12-30T14:00:00"/>
    <n v="5.75"/>
    <n v="0.5"/>
    <m/>
    <m/>
    <x v="1"/>
    <x v="0"/>
    <m/>
    <m/>
    <n v="3.75"/>
  </r>
  <r>
    <x v="58"/>
    <x v="0"/>
    <d v="1899-12-30T07:45:00"/>
    <d v="1899-12-30T14:00:00"/>
    <n v="5.75"/>
    <n v="0.5"/>
    <m/>
    <m/>
    <x v="1"/>
    <x v="0"/>
    <m/>
    <m/>
    <n v="3.75"/>
  </r>
  <r>
    <x v="58"/>
    <x v="0"/>
    <d v="1899-12-30T17:00:00"/>
    <d v="1899-12-30T21:00:00"/>
    <n v="3.9999999999999991"/>
    <m/>
    <m/>
    <m/>
    <x v="1"/>
    <x v="6"/>
    <m/>
    <m/>
    <n v="1.9999999999999991"/>
  </r>
  <r>
    <x v="59"/>
    <x v="0"/>
    <d v="1899-12-30T09:00:00"/>
    <d v="1899-12-30T14:00:00"/>
    <n v="5.0000000000000009"/>
    <m/>
    <m/>
    <m/>
    <x v="1"/>
    <x v="4"/>
    <m/>
    <m/>
    <n v="3.0000000000000009"/>
  </r>
  <r>
    <x v="59"/>
    <x v="0"/>
    <d v="1899-12-30T16:30:00"/>
    <d v="1899-12-30T21:30:00"/>
    <n v="5.0000000000000009"/>
    <m/>
    <m/>
    <m/>
    <x v="1"/>
    <x v="4"/>
    <m/>
    <m/>
    <n v="3.0000000000000009"/>
  </r>
  <r>
    <x v="60"/>
    <x v="0"/>
    <d v="1899-12-30T07:45:00"/>
    <d v="1899-12-30T14:00:00"/>
    <n v="5.75"/>
    <n v="0.5"/>
    <m/>
    <m/>
    <x v="1"/>
    <x v="0"/>
    <m/>
    <m/>
    <n v="3.75"/>
  </r>
  <r>
    <x v="60"/>
    <x v="0"/>
    <d v="1899-12-30T18:30:00"/>
    <d v="1899-12-30T22:30:00"/>
    <n v="3.9999999999999991"/>
    <m/>
    <m/>
    <m/>
    <x v="1"/>
    <x v="6"/>
    <m/>
    <m/>
    <n v="1.9999999999999991"/>
  </r>
  <r>
    <x v="61"/>
    <x v="0"/>
    <d v="1899-12-30T07:45:00"/>
    <d v="1899-12-30T14:00:00"/>
    <n v="5.75"/>
    <n v="0.5"/>
    <m/>
    <m/>
    <x v="1"/>
    <x v="0"/>
    <m/>
    <m/>
    <n v="3.75"/>
  </r>
  <r>
    <x v="61"/>
    <x v="3"/>
    <d v="1899-12-30T18:00:00"/>
    <d v="1899-12-30T23:00:00"/>
    <n v="5.0000000000000009"/>
    <m/>
    <m/>
    <n v="7.0000000000000009"/>
    <x v="1"/>
    <x v="2"/>
    <m/>
    <m/>
    <n v="7.0000000000000009"/>
  </r>
  <r>
    <x v="62"/>
    <x v="0"/>
    <d v="1899-12-30T08:00:00"/>
    <d v="1899-12-30T12:00:00"/>
    <n v="4"/>
    <m/>
    <m/>
    <m/>
    <x v="1"/>
    <x v="3"/>
    <m/>
    <m/>
    <n v="2"/>
  </r>
  <r>
    <x v="62"/>
    <x v="8"/>
    <d v="1899-12-30T12:00:00"/>
    <d v="1899-12-30T19:00:00"/>
    <n v="6.4999999999999991"/>
    <n v="0.5"/>
    <m/>
    <n v="6.4999999999999991"/>
    <x v="1"/>
    <x v="2"/>
    <m/>
    <m/>
    <n v="6.4999999999999991"/>
  </r>
  <r>
    <x v="62"/>
    <x v="3"/>
    <d v="1899-12-30T12:00:00"/>
    <d v="1899-12-30T01:00:00"/>
    <n v="12.000000000000002"/>
    <n v="1"/>
    <m/>
    <n v="12.000000000000002"/>
    <x v="1"/>
    <x v="2"/>
    <m/>
    <m/>
    <n v="12.000000000000002"/>
  </r>
  <r>
    <x v="62"/>
    <x v="2"/>
    <d v="1899-12-30T14:00:00"/>
    <d v="1899-12-30T20:00:00"/>
    <n v="5.5"/>
    <n v="0.5"/>
    <m/>
    <n v="5.5"/>
    <x v="1"/>
    <x v="2"/>
    <m/>
    <m/>
    <n v="5.5"/>
  </r>
  <r>
    <x v="62"/>
    <x v="5"/>
    <d v="1899-12-30T15:00:00"/>
    <d v="1899-12-30T01:00:00"/>
    <n v="9"/>
    <n v="1"/>
    <m/>
    <n v="9"/>
    <x v="1"/>
    <x v="2"/>
    <m/>
    <m/>
    <n v="9"/>
  </r>
  <r>
    <x v="63"/>
    <x v="3"/>
    <d v="1899-12-30T10:00:00"/>
    <d v="1899-12-30T20:30:00"/>
    <n v="6"/>
    <n v="0.5"/>
    <m/>
    <n v="6"/>
    <x v="2"/>
    <x v="2"/>
    <m/>
    <m/>
    <n v="6"/>
  </r>
  <r>
    <x v="64"/>
    <x v="0"/>
    <d v="1899-12-30T11:00:00"/>
    <d v="1899-12-30T14:00:00"/>
    <n v="3.0000000000000013"/>
    <m/>
    <m/>
    <m/>
    <x v="1"/>
    <x v="10"/>
    <m/>
    <m/>
    <n v="1.0000000000000013"/>
  </r>
  <r>
    <x v="64"/>
    <x v="4"/>
    <d v="1899-12-30T16:30:00"/>
    <d v="1899-12-30T22:00:00"/>
    <n v="5.4999999999999991"/>
    <m/>
    <m/>
    <n v="7.4999999999999991"/>
    <x v="1"/>
    <x v="2"/>
    <m/>
    <m/>
    <n v="7.4999999999999991"/>
  </r>
  <r>
    <x v="65"/>
    <x v="0"/>
    <d v="1899-12-30T09:00:00"/>
    <d v="1899-12-30T14:00:00"/>
    <n v="5.0000000000000009"/>
    <m/>
    <m/>
    <m/>
    <x v="1"/>
    <x v="4"/>
    <m/>
    <m/>
    <n v="3.0000000000000009"/>
  </r>
  <r>
    <x v="66"/>
    <x v="0"/>
    <d v="1899-12-30T07:45:00"/>
    <d v="1899-12-30T14:00:00"/>
    <n v="5.75"/>
    <n v="0.5"/>
    <m/>
    <m/>
    <x v="1"/>
    <x v="0"/>
    <m/>
    <m/>
    <n v="3.75"/>
  </r>
  <r>
    <x v="66"/>
    <x v="1"/>
    <d v="1899-12-30T16:30:00"/>
    <d v="1899-12-30T21:30:00"/>
    <n v="5.0000000000000009"/>
    <m/>
    <m/>
    <n v="7.0000000000000009"/>
    <x v="1"/>
    <x v="2"/>
    <m/>
    <m/>
    <n v="7.0000000000000009"/>
  </r>
  <r>
    <x v="67"/>
    <x v="2"/>
    <d v="1899-12-30T07:00:00"/>
    <d v="1899-12-30T14:00:00"/>
    <n v="7"/>
    <m/>
    <m/>
    <n v="9"/>
    <x v="1"/>
    <x v="2"/>
    <m/>
    <m/>
    <n v="9"/>
  </r>
  <r>
    <x v="67"/>
    <x v="0"/>
    <d v="1899-12-30T07:45:00"/>
    <d v="1899-12-30T14:00:00"/>
    <n v="5.75"/>
    <n v="0.5"/>
    <m/>
    <m/>
    <x v="1"/>
    <x v="0"/>
    <m/>
    <m/>
    <n v="3.75"/>
  </r>
  <r>
    <x v="67"/>
    <x v="2"/>
    <d v="1899-12-30T17:00:00"/>
    <d v="1899-12-30T19:30:00"/>
    <n v="2.4999999999999991"/>
    <m/>
    <m/>
    <n v="4.4999999999999991"/>
    <x v="1"/>
    <x v="2"/>
    <m/>
    <m/>
    <n v="4.4999999999999991"/>
  </r>
  <r>
    <x v="67"/>
    <x v="0"/>
    <d v="1899-12-30T18:30:00"/>
    <d v="1899-12-30T22:30:00"/>
    <n v="3.9999999999999991"/>
    <m/>
    <m/>
    <m/>
    <x v="1"/>
    <x v="6"/>
    <m/>
    <m/>
    <n v="1.9999999999999991"/>
  </r>
  <r>
    <x v="68"/>
    <x v="0"/>
    <d v="1899-12-30T07:45:00"/>
    <d v="1899-12-30T14:00:00"/>
    <n v="5.75"/>
    <n v="0.5"/>
    <m/>
    <m/>
    <x v="1"/>
    <x v="0"/>
    <m/>
    <m/>
    <n v="3.75"/>
  </r>
  <r>
    <x v="68"/>
    <x v="4"/>
    <d v="1899-12-30T13:00:00"/>
    <d v="1899-12-30T22:00:00"/>
    <n v="8"/>
    <n v="1"/>
    <m/>
    <n v="10"/>
    <x v="1"/>
    <x v="2"/>
    <m/>
    <m/>
    <n v="10"/>
  </r>
  <r>
    <x v="68"/>
    <x v="3"/>
    <d v="1899-12-30T18:00:00"/>
    <d v="1899-12-30T23:00:00"/>
    <n v="5.0000000000000009"/>
    <m/>
    <m/>
    <n v="7.0000000000000009"/>
    <x v="1"/>
    <x v="2"/>
    <m/>
    <m/>
    <n v="7.0000000000000009"/>
  </r>
  <r>
    <x v="69"/>
    <x v="0"/>
    <d v="1899-12-30T08:00:00"/>
    <d v="1899-12-30T12:00:00"/>
    <n v="4"/>
    <m/>
    <m/>
    <m/>
    <x v="1"/>
    <x v="3"/>
    <m/>
    <m/>
    <n v="2"/>
  </r>
  <r>
    <x v="69"/>
    <x v="2"/>
    <d v="1899-12-30T11:00:00"/>
    <d v="1899-12-30T01:00:00"/>
    <n v="13"/>
    <n v="1"/>
    <m/>
    <n v="13"/>
    <x v="1"/>
    <x v="2"/>
    <m/>
    <m/>
    <n v="13"/>
  </r>
  <r>
    <x v="69"/>
    <x v="5"/>
    <d v="1899-12-30T12:00:00"/>
    <d v="1899-12-30T19:00:00"/>
    <n v="6.4999999999999991"/>
    <n v="0.5"/>
    <m/>
    <n v="6.4999999999999991"/>
    <x v="1"/>
    <x v="2"/>
    <m/>
    <m/>
    <n v="6.4999999999999991"/>
  </r>
  <r>
    <x v="69"/>
    <x v="3"/>
    <d v="1899-12-30T14:00:00"/>
    <d v="1899-12-30T23:00:00"/>
    <n v="8"/>
    <n v="1"/>
    <m/>
    <n v="8"/>
    <x v="1"/>
    <x v="2"/>
    <m/>
    <m/>
    <n v="8"/>
  </r>
  <r>
    <x v="70"/>
    <x v="3"/>
    <d v="1899-12-30T10:00:00"/>
    <d v="1899-12-30T22:00:00"/>
    <n v="10.999999999999998"/>
    <n v="1"/>
    <m/>
    <n v="10.999999999999998"/>
    <x v="1"/>
    <x v="2"/>
    <m/>
    <m/>
    <n v="10.999999999999998"/>
  </r>
  <r>
    <x v="70"/>
    <x v="2"/>
    <d v="1899-12-30T11:00:00"/>
    <d v="1899-12-30T21:00:00"/>
    <n v="9"/>
    <n v="1"/>
    <m/>
    <n v="9"/>
    <x v="1"/>
    <x v="2"/>
    <m/>
    <m/>
    <n v="9"/>
  </r>
  <r>
    <x v="71"/>
    <x v="0"/>
    <d v="1899-12-30T07:45:00"/>
    <d v="1899-12-30T14:00:00"/>
    <n v="5.75"/>
    <n v="0.5"/>
    <m/>
    <m/>
    <x v="1"/>
    <x v="0"/>
    <m/>
    <m/>
    <n v="3.75"/>
  </r>
  <r>
    <x v="72"/>
    <x v="0"/>
    <d v="1899-12-30T07:45:00"/>
    <d v="1899-12-30T14:00:00"/>
    <n v="5.75"/>
    <n v="0.5"/>
    <m/>
    <m/>
    <x v="1"/>
    <x v="0"/>
    <m/>
    <m/>
    <n v="3.75"/>
  </r>
  <r>
    <x v="73"/>
    <x v="0"/>
    <d v="1899-12-30T07:45:00"/>
    <d v="1899-12-30T14:00:00"/>
    <n v="5.75"/>
    <n v="0.5"/>
    <m/>
    <m/>
    <x v="1"/>
    <x v="0"/>
    <m/>
    <m/>
    <n v="3.75"/>
  </r>
  <r>
    <x v="73"/>
    <x v="2"/>
    <d v="1899-12-30T17:00:00"/>
    <d v="1899-12-30T22:00:00"/>
    <n v="4.9999999999999982"/>
    <m/>
    <m/>
    <n v="6.9999999999999982"/>
    <x v="1"/>
    <x v="2"/>
    <m/>
    <m/>
    <n v="6.9999999999999982"/>
  </r>
  <r>
    <x v="74"/>
    <x v="0"/>
    <d v="1899-12-30T07:45:00"/>
    <d v="1899-12-30T14:00:00"/>
    <n v="5.75"/>
    <n v="0.5"/>
    <m/>
    <m/>
    <x v="1"/>
    <x v="0"/>
    <m/>
    <m/>
    <n v="3.75"/>
  </r>
  <r>
    <x v="74"/>
    <x v="1"/>
    <d v="1899-12-30T16:30:00"/>
    <d v="1899-12-30T18:30:00"/>
    <n v="2.0000000000000009"/>
    <m/>
    <m/>
    <n v="4.0000000000000009"/>
    <x v="1"/>
    <x v="2"/>
    <m/>
    <m/>
    <n v="4.0000000000000009"/>
  </r>
  <r>
    <x v="74"/>
    <x v="0"/>
    <d v="1899-12-30T18:30:00"/>
    <d v="1899-12-30T22:30:00"/>
    <n v="3.9999999999999991"/>
    <m/>
    <m/>
    <m/>
    <x v="1"/>
    <x v="6"/>
    <m/>
    <m/>
    <n v="1.9999999999999991"/>
  </r>
  <r>
    <x v="75"/>
    <x v="0"/>
    <d v="1899-12-30T07:45:00"/>
    <d v="1899-12-30T14:00:00"/>
    <n v="5.75"/>
    <n v="0.5"/>
    <m/>
    <m/>
    <x v="1"/>
    <x v="0"/>
    <m/>
    <m/>
    <n v="3.75"/>
  </r>
  <r>
    <x v="75"/>
    <x v="3"/>
    <d v="1899-12-30T18:00:00"/>
    <d v="1899-12-30T23:00:00"/>
    <n v="5.0000000000000009"/>
    <m/>
    <m/>
    <n v="7.0000000000000009"/>
    <x v="1"/>
    <x v="2"/>
    <m/>
    <m/>
    <n v="7.0000000000000009"/>
  </r>
  <r>
    <x v="76"/>
    <x v="0"/>
    <d v="1899-12-30T08:00:00"/>
    <d v="1899-12-30T12:00:00"/>
    <n v="4"/>
    <m/>
    <m/>
    <m/>
    <x v="1"/>
    <x v="3"/>
    <m/>
    <m/>
    <n v="2"/>
  </r>
  <r>
    <x v="76"/>
    <x v="8"/>
    <d v="1899-12-30T14:30:00"/>
    <d v="1899-12-30T20:30:00"/>
    <n v="5.5"/>
    <n v="0.5"/>
    <m/>
    <n v="5.5"/>
    <x v="1"/>
    <x v="2"/>
    <m/>
    <m/>
    <n v="5.5"/>
  </r>
  <r>
    <x v="76"/>
    <x v="3"/>
    <d v="1899-12-30T18:00:00"/>
    <d v="1899-12-30T23:00:00"/>
    <n v="5.0000000000000009"/>
    <m/>
    <m/>
    <n v="5.0000000000000009"/>
    <x v="1"/>
    <x v="2"/>
    <m/>
    <m/>
    <n v="5.0000000000000009"/>
  </r>
  <r>
    <x v="77"/>
    <x v="2"/>
    <d v="1899-12-30T08:00:00"/>
    <d v="1899-12-30T16:00:00"/>
    <n v="8"/>
    <m/>
    <m/>
    <n v="8"/>
    <x v="1"/>
    <x v="2"/>
    <m/>
    <m/>
    <n v="8"/>
  </r>
  <r>
    <x v="78"/>
    <x v="0"/>
    <d v="1899-12-30T07:45:00"/>
    <d v="1899-12-30T14:00:00"/>
    <n v="5.75"/>
    <n v="0.5"/>
    <m/>
    <m/>
    <x v="1"/>
    <x v="0"/>
    <m/>
    <m/>
    <n v="3.75"/>
  </r>
  <r>
    <x v="79"/>
    <x v="0"/>
    <d v="1899-12-30T07:45:00"/>
    <d v="1899-12-30T14:00:00"/>
    <n v="5.75"/>
    <n v="0.5"/>
    <m/>
    <m/>
    <x v="1"/>
    <x v="0"/>
    <m/>
    <m/>
    <n v="3.75"/>
  </r>
  <r>
    <x v="79"/>
    <x v="0"/>
    <d v="1899-12-30T17:00:00"/>
    <d v="1899-12-30T21:00:00"/>
    <n v="3.9999999999999991"/>
    <m/>
    <m/>
    <m/>
    <x v="1"/>
    <x v="6"/>
    <m/>
    <m/>
    <n v="1.9999999999999991"/>
  </r>
  <r>
    <x v="80"/>
    <x v="0"/>
    <d v="1899-12-30T07:45:00"/>
    <d v="1899-12-30T14:00:00"/>
    <n v="5.75"/>
    <n v="0.5"/>
    <m/>
    <m/>
    <x v="1"/>
    <x v="0"/>
    <m/>
    <m/>
    <n v="3.75"/>
  </r>
  <r>
    <x v="80"/>
    <x v="1"/>
    <d v="1899-12-30T17:00:00"/>
    <d v="1899-12-30T21:30:00"/>
    <n v="4.5"/>
    <m/>
    <m/>
    <n v="6.5"/>
    <x v="1"/>
    <x v="2"/>
    <m/>
    <m/>
    <n v="6.5"/>
  </r>
  <r>
    <x v="81"/>
    <x v="0"/>
    <d v="1899-12-30T07:45:00"/>
    <d v="1899-12-30T14:00:00"/>
    <n v="5.75"/>
    <n v="0.5"/>
    <m/>
    <m/>
    <x v="1"/>
    <x v="0"/>
    <m/>
    <m/>
    <n v="3.75"/>
  </r>
  <r>
    <x v="81"/>
    <x v="2"/>
    <d v="1899-12-30T16:30:00"/>
    <d v="1899-12-30T00:00:00"/>
    <n v="7"/>
    <n v="0.5"/>
    <m/>
    <n v="9"/>
    <x v="1"/>
    <x v="2"/>
    <m/>
    <m/>
    <n v="9"/>
  </r>
  <r>
    <x v="81"/>
    <x v="0"/>
    <d v="1899-12-30T18:30:00"/>
    <d v="1899-12-30T22:30:00"/>
    <n v="3.9999999999999991"/>
    <m/>
    <m/>
    <m/>
    <x v="1"/>
    <x v="6"/>
    <m/>
    <m/>
    <n v="1.9999999999999991"/>
  </r>
  <r>
    <x v="82"/>
    <x v="0"/>
    <d v="1899-12-30T07:45:00"/>
    <d v="1899-12-30T14:00:00"/>
    <n v="5.75"/>
    <n v="0.5"/>
    <m/>
    <m/>
    <x v="1"/>
    <x v="0"/>
    <m/>
    <m/>
    <n v="3.75"/>
  </r>
  <r>
    <x v="82"/>
    <x v="3"/>
    <d v="1899-12-30T16:30:00"/>
    <d v="1899-12-30T23:00:00"/>
    <n v="6.0000000000000009"/>
    <n v="0.5"/>
    <m/>
    <n v="8"/>
    <x v="1"/>
    <x v="2"/>
    <m/>
    <m/>
    <n v="8"/>
  </r>
  <r>
    <x v="83"/>
    <x v="0"/>
    <d v="1899-12-30T08:00:00"/>
    <d v="1899-12-30T12:00:00"/>
    <n v="4"/>
    <m/>
    <m/>
    <m/>
    <x v="1"/>
    <x v="3"/>
    <m/>
    <m/>
    <n v="2"/>
  </r>
  <r>
    <x v="83"/>
    <x v="5"/>
    <d v="1899-12-30T11:00:00"/>
    <d v="1899-12-30T17:00:00"/>
    <n v="5.5000000000000018"/>
    <n v="0.5"/>
    <m/>
    <n v="5.5000000000000018"/>
    <x v="1"/>
    <x v="2"/>
    <m/>
    <m/>
    <n v="5.5000000000000018"/>
  </r>
  <r>
    <x v="83"/>
    <x v="3"/>
    <d v="1899-12-30T12:00:00"/>
    <d v="1899-12-30T22:00:00"/>
    <n v="9"/>
    <n v="1"/>
    <m/>
    <n v="9"/>
    <x v="1"/>
    <x v="2"/>
    <m/>
    <m/>
    <n v="9"/>
  </r>
  <r>
    <x v="84"/>
    <x v="0"/>
    <d v="1899-12-30T09:00:00"/>
    <d v="1899-12-30T13:30:00"/>
    <n v="4.5"/>
    <m/>
    <m/>
    <m/>
    <x v="1"/>
    <x v="1"/>
    <m/>
    <m/>
    <n v="2.5"/>
  </r>
  <r>
    <x v="85"/>
    <x v="0"/>
    <d v="1899-12-30T08:00:00"/>
    <d v="1899-12-30T14:00:00"/>
    <n v="5.5000000000000018"/>
    <n v="0.5"/>
    <m/>
    <m/>
    <x v="1"/>
    <x v="11"/>
    <m/>
    <m/>
    <n v="3.5000000000000018"/>
  </r>
  <r>
    <x v="85"/>
    <x v="0"/>
    <d v="1899-12-30T16:00:00"/>
    <d v="1899-12-30T21:00:00"/>
    <n v="5.0000000000000009"/>
    <m/>
    <m/>
    <m/>
    <x v="1"/>
    <x v="4"/>
    <m/>
    <m/>
    <n v="3.0000000000000009"/>
  </r>
  <r>
    <x v="86"/>
    <x v="0"/>
    <d v="1899-12-30T08:00:00"/>
    <d v="1899-12-30T14:00:00"/>
    <n v="5.5000000000000018"/>
    <n v="0.5"/>
    <m/>
    <m/>
    <x v="1"/>
    <x v="11"/>
    <m/>
    <m/>
    <n v="3.5000000000000018"/>
  </r>
  <r>
    <x v="86"/>
    <x v="0"/>
    <d v="1899-12-30T18:00:00"/>
    <d v="1899-12-30T22:30:00"/>
    <n v="4.5"/>
    <m/>
    <m/>
    <m/>
    <x v="1"/>
    <x v="1"/>
    <m/>
    <m/>
    <n v="2.5"/>
  </r>
  <r>
    <x v="87"/>
    <x v="0"/>
    <d v="1899-12-30T08:00:00"/>
    <d v="1899-12-30T14:00:00"/>
    <n v="5.5000000000000018"/>
    <n v="0.5"/>
    <m/>
    <m/>
    <x v="1"/>
    <x v="11"/>
    <m/>
    <m/>
    <n v="3.5000000000000018"/>
  </r>
  <r>
    <x v="87"/>
    <x v="2"/>
    <d v="1899-12-30T15:30:00"/>
    <d v="1899-12-30T23:30:00"/>
    <n v="7.4999999999999982"/>
    <n v="0.5"/>
    <m/>
    <n v="9.4999999999999982"/>
    <x v="1"/>
    <x v="2"/>
    <m/>
    <m/>
    <n v="9.4999999999999982"/>
  </r>
  <r>
    <x v="87"/>
    <x v="3"/>
    <d v="1899-12-30T18:00:00"/>
    <d v="1899-12-30T23:00:00"/>
    <n v="5.0000000000000009"/>
    <m/>
    <m/>
    <n v="7.0000000000000009"/>
    <x v="1"/>
    <x v="2"/>
    <m/>
    <m/>
    <n v="7.0000000000000009"/>
  </r>
  <r>
    <x v="88"/>
    <x v="0"/>
    <d v="1899-12-30T08:00:00"/>
    <d v="1899-12-30T12:30:00"/>
    <n v="4.5000000000000018"/>
    <m/>
    <m/>
    <m/>
    <x v="1"/>
    <x v="12"/>
    <m/>
    <m/>
    <n v="2.5000000000000018"/>
  </r>
  <r>
    <x v="88"/>
    <x v="1"/>
    <d v="1899-12-30T08:00:00"/>
    <d v="1899-12-30T11:00:00"/>
    <n v="3"/>
    <m/>
    <m/>
    <n v="3"/>
    <x v="1"/>
    <x v="2"/>
    <m/>
    <m/>
    <n v="3"/>
  </r>
  <r>
    <x v="88"/>
    <x v="3"/>
    <d v="1899-12-30T12:30:00"/>
    <d v="1899-12-30T20:00:00"/>
    <n v="7"/>
    <n v="0.5"/>
    <m/>
    <n v="7"/>
    <x v="1"/>
    <x v="2"/>
    <m/>
    <m/>
    <n v="7"/>
  </r>
  <r>
    <x v="88"/>
    <x v="5"/>
    <d v="1899-12-30T14:00:00"/>
    <d v="1899-12-30T00:00:00"/>
    <n v="9"/>
    <n v="1"/>
    <m/>
    <n v="9"/>
    <x v="1"/>
    <x v="2"/>
    <m/>
    <m/>
    <n v="9"/>
  </r>
  <r>
    <x v="88"/>
    <x v="2"/>
    <d v="1899-12-30T15:00:00"/>
    <d v="1899-12-30T00:30:00"/>
    <n v="8.5"/>
    <n v="1"/>
    <m/>
    <n v="8.5"/>
    <x v="1"/>
    <x v="2"/>
    <m/>
    <m/>
    <n v="8.5"/>
  </r>
  <r>
    <x v="89"/>
    <x v="8"/>
    <d v="1899-12-30T16:00:00"/>
    <d v="1899-12-30T22:00:00"/>
    <n v="5.5"/>
    <n v="0.5"/>
    <m/>
    <n v="5.5"/>
    <x v="1"/>
    <x v="2"/>
    <m/>
    <m/>
    <n v="5.5"/>
  </r>
  <r>
    <x v="90"/>
    <x v="0"/>
    <d v="1899-12-30T08:00:00"/>
    <d v="1899-12-30T14:00:00"/>
    <n v="5.5000000000000018"/>
    <n v="0.5"/>
    <m/>
    <m/>
    <x v="1"/>
    <x v="11"/>
    <m/>
    <m/>
    <n v="3.5000000000000018"/>
  </r>
  <r>
    <x v="91"/>
    <x v="0"/>
    <d v="1899-12-30T08:00:00"/>
    <d v="1899-12-30T13:30:00"/>
    <n v="5.5"/>
    <m/>
    <m/>
    <m/>
    <x v="1"/>
    <x v="13"/>
    <m/>
    <m/>
    <n v="3.5"/>
  </r>
  <r>
    <x v="92"/>
    <x v="0"/>
    <d v="1899-12-30T08:00:00"/>
    <d v="1899-12-30T14:00:00"/>
    <n v="5.5000000000000018"/>
    <n v="0.5"/>
    <m/>
    <m/>
    <x v="1"/>
    <x v="11"/>
    <m/>
    <m/>
    <n v="3.5000000000000018"/>
  </r>
  <r>
    <x v="92"/>
    <x v="1"/>
    <d v="1899-12-30T16:30:00"/>
    <d v="1899-12-30T21:30:00"/>
    <n v="5.0000000000000009"/>
    <m/>
    <m/>
    <n v="7.0000000000000009"/>
    <x v="1"/>
    <x v="2"/>
    <m/>
    <m/>
    <n v="7.0000000000000009"/>
  </r>
  <r>
    <x v="93"/>
    <x v="0"/>
    <d v="1899-12-30T08:00:00"/>
    <d v="1899-12-30T14:00:00"/>
    <n v="5.5000000000000018"/>
    <n v="0.5"/>
    <m/>
    <m/>
    <x v="1"/>
    <x v="11"/>
    <m/>
    <m/>
    <n v="3.5000000000000018"/>
  </r>
  <r>
    <x v="93"/>
    <x v="0"/>
    <d v="1899-12-30T18:00:00"/>
    <d v="1899-12-30T22:30:00"/>
    <n v="4.5"/>
    <m/>
    <m/>
    <m/>
    <x v="1"/>
    <x v="1"/>
    <m/>
    <m/>
    <n v="2.5"/>
  </r>
  <r>
    <x v="94"/>
    <x v="0"/>
    <d v="1899-12-30T08:00:00"/>
    <d v="1899-12-30T14:00:00"/>
    <n v="5.5000000000000018"/>
    <n v="0.5"/>
    <m/>
    <m/>
    <x v="1"/>
    <x v="11"/>
    <m/>
    <m/>
    <n v="3.5000000000000018"/>
  </r>
  <r>
    <x v="94"/>
    <x v="2"/>
    <d v="1899-12-30T17:00:00"/>
    <d v="1899-12-30T01:00:00"/>
    <n v="7.4999999999999982"/>
    <n v="0.5"/>
    <m/>
    <n v="9.4999999999999982"/>
    <x v="1"/>
    <x v="2"/>
    <m/>
    <m/>
    <n v="9.4999999999999982"/>
  </r>
  <r>
    <x v="94"/>
    <x v="3"/>
    <d v="1899-12-30T18:00:00"/>
    <d v="1899-12-30T23:00:00"/>
    <n v="5.0000000000000009"/>
    <m/>
    <m/>
    <n v="7.0000000000000009"/>
    <x v="1"/>
    <x v="2"/>
    <m/>
    <m/>
    <n v="7.0000000000000009"/>
  </r>
  <r>
    <x v="95"/>
    <x v="3"/>
    <d v="1899-12-30T06:00:00"/>
    <d v="1899-12-30T12:30:00"/>
    <n v="6.0000000000000009"/>
    <n v="0.5"/>
    <m/>
    <n v="6.0000000000000009"/>
    <x v="1"/>
    <x v="2"/>
    <m/>
    <m/>
    <n v="6.0000000000000009"/>
  </r>
  <r>
    <x v="95"/>
    <x v="0"/>
    <d v="1899-12-30T12:30:00"/>
    <d v="1899-12-30T18:30:00"/>
    <n v="5.5"/>
    <n v="0.5"/>
    <m/>
    <m/>
    <x v="1"/>
    <x v="13"/>
    <m/>
    <m/>
    <n v="3.5"/>
  </r>
  <r>
    <x v="95"/>
    <x v="8"/>
    <d v="1899-12-30T13:00:00"/>
    <d v="1899-12-30T18:00:00"/>
    <n v="5.0000000000000009"/>
    <m/>
    <m/>
    <n v="5.0000000000000009"/>
    <x v="1"/>
    <x v="2"/>
    <m/>
    <m/>
    <n v="5.0000000000000009"/>
  </r>
  <r>
    <x v="95"/>
    <x v="2"/>
    <d v="1899-12-30T13:00:00"/>
    <d v="1899-12-30T19:00:00"/>
    <n v="5.5"/>
    <n v="0.5"/>
    <m/>
    <n v="5.5"/>
    <x v="1"/>
    <x v="2"/>
    <m/>
    <m/>
    <n v="5.5"/>
  </r>
  <r>
    <x v="96"/>
    <x v="2"/>
    <d v="1899-12-30T11:00:00"/>
    <d v="1899-12-30T17:30:00"/>
    <n v="6"/>
    <n v="0.5"/>
    <m/>
    <n v="6"/>
    <x v="1"/>
    <x v="2"/>
    <m/>
    <m/>
    <n v="6"/>
  </r>
  <r>
    <x v="97"/>
    <x v="0"/>
    <d v="1899-12-30T08:00:00"/>
    <d v="1899-12-30T14:00:00"/>
    <n v="5.5000000000000018"/>
    <n v="0.5"/>
    <m/>
    <m/>
    <x v="1"/>
    <x v="11"/>
    <m/>
    <m/>
    <n v="3.5000000000000018"/>
  </r>
  <r>
    <x v="98"/>
    <x v="0"/>
    <d v="1899-12-30T08:00:00"/>
    <d v="1899-12-30T14:00:00"/>
    <n v="5.5000000000000018"/>
    <n v="0.5"/>
    <m/>
    <m/>
    <x v="1"/>
    <x v="11"/>
    <m/>
    <m/>
    <n v="3.5000000000000018"/>
  </r>
  <r>
    <x v="98"/>
    <x v="1"/>
    <d v="1899-12-30T16:30:00"/>
    <d v="1899-12-30T21:00:00"/>
    <n v="4.5"/>
    <m/>
    <m/>
    <n v="6.5"/>
    <x v="1"/>
    <x v="2"/>
    <m/>
    <m/>
    <n v="6.5"/>
  </r>
  <r>
    <x v="98"/>
    <x v="3"/>
    <d v="1899-12-30T17:00:00"/>
    <d v="1899-12-30T21:00:00"/>
    <n v="3.9999999999999991"/>
    <m/>
    <m/>
    <n v="5.9999999999999991"/>
    <x v="1"/>
    <x v="2"/>
    <m/>
    <m/>
    <n v="5.9999999999999991"/>
  </r>
  <r>
    <x v="99"/>
    <x v="0"/>
    <d v="1899-12-30T11:00:00"/>
    <d v="1899-12-30T14:00:00"/>
    <n v="3.0000000000000013"/>
    <m/>
    <m/>
    <m/>
    <x v="1"/>
    <x v="10"/>
    <m/>
    <m/>
    <n v="1.0000000000000013"/>
  </r>
  <r>
    <x v="99"/>
    <x v="0"/>
    <d v="1899-12-30T18:30:00"/>
    <d v="1899-12-30T22:30:00"/>
    <n v="3.9999999999999991"/>
    <m/>
    <m/>
    <m/>
    <x v="1"/>
    <x v="6"/>
    <m/>
    <m/>
    <n v="1.9999999999999991"/>
  </r>
  <r>
    <x v="100"/>
    <x v="0"/>
    <d v="1899-12-30T08:00:00"/>
    <d v="1899-12-30T14:00:00"/>
    <n v="5.5000000000000018"/>
    <n v="0.5"/>
    <m/>
    <m/>
    <x v="1"/>
    <x v="11"/>
    <m/>
    <m/>
    <n v="3.5000000000000018"/>
  </r>
  <r>
    <x v="100"/>
    <x v="0"/>
    <d v="1899-12-30T18:00:00"/>
    <d v="1899-12-30T23:00:00"/>
    <n v="5.0000000000000009"/>
    <m/>
    <m/>
    <m/>
    <x v="1"/>
    <x v="4"/>
    <m/>
    <m/>
    <n v="3.0000000000000009"/>
  </r>
  <r>
    <x v="101"/>
    <x v="0"/>
    <d v="1899-12-30T08:00:00"/>
    <d v="1899-12-30T12:00:00"/>
    <n v="4"/>
    <m/>
    <m/>
    <m/>
    <x v="1"/>
    <x v="3"/>
    <m/>
    <m/>
    <n v="2"/>
  </r>
  <r>
    <x v="101"/>
    <x v="8"/>
    <d v="1899-12-30T10:00:00"/>
    <d v="1899-12-30T16:00:00"/>
    <n v="5.4999999999999982"/>
    <n v="0.5"/>
    <m/>
    <n v="5.4999999999999982"/>
    <x v="1"/>
    <x v="2"/>
    <m/>
    <m/>
    <n v="5.4999999999999982"/>
  </r>
  <r>
    <x v="101"/>
    <x v="2"/>
    <d v="1899-12-30T12:30:00"/>
    <d v="1899-12-30T18:00:00"/>
    <n v="5.4999999999999991"/>
    <m/>
    <m/>
    <n v="5.4999999999999991"/>
    <x v="1"/>
    <x v="2"/>
    <m/>
    <m/>
    <n v="5.4999999999999991"/>
  </r>
  <r>
    <x v="102"/>
    <x v="2"/>
    <d v="1899-12-30T07:00:00"/>
    <d v="1899-12-30T17:00:00"/>
    <n v="9"/>
    <n v="1"/>
    <m/>
    <n v="9"/>
    <x v="1"/>
    <x v="2"/>
    <m/>
    <m/>
    <n v="9"/>
  </r>
  <r>
    <x v="102"/>
    <x v="3"/>
    <d v="1899-12-30T10:00:00"/>
    <d v="1899-12-30T15:00:00"/>
    <n v="5"/>
    <m/>
    <m/>
    <n v="5"/>
    <x v="1"/>
    <x v="2"/>
    <m/>
    <m/>
    <n v="5"/>
  </r>
  <r>
    <x v="103"/>
    <x v="0"/>
    <d v="1899-12-30T08:00:00"/>
    <d v="1899-12-30T14:00:00"/>
    <n v="5.5000000000000018"/>
    <n v="0.5"/>
    <m/>
    <m/>
    <x v="1"/>
    <x v="11"/>
    <m/>
    <m/>
    <n v="3.5000000000000018"/>
  </r>
  <r>
    <x v="104"/>
    <x v="0"/>
    <d v="1899-12-30T08:00:00"/>
    <d v="1899-12-30T14:00:00"/>
    <n v="5.5000000000000018"/>
    <n v="0.5"/>
    <m/>
    <m/>
    <x v="1"/>
    <x v="11"/>
    <m/>
    <m/>
    <n v="3.5000000000000018"/>
  </r>
  <r>
    <x v="105"/>
    <x v="0"/>
    <d v="1899-12-30T08:00:00"/>
    <d v="1899-12-30T14:00:00"/>
    <n v="5.5000000000000018"/>
    <n v="0.5"/>
    <m/>
    <m/>
    <x v="1"/>
    <x v="11"/>
    <m/>
    <m/>
    <n v="3.5000000000000018"/>
  </r>
  <r>
    <x v="105"/>
    <x v="1"/>
    <d v="1899-12-30T16:30:00"/>
    <d v="1899-12-30T21:00:00"/>
    <n v="4.5"/>
    <m/>
    <m/>
    <n v="6.5"/>
    <x v="1"/>
    <x v="2"/>
    <m/>
    <m/>
    <n v="6.5"/>
  </r>
  <r>
    <x v="106"/>
    <x v="0"/>
    <d v="1899-12-30T08:00:00"/>
    <d v="1899-12-30T14:00:00"/>
    <n v="5.5000000000000018"/>
    <n v="0.5"/>
    <m/>
    <m/>
    <x v="1"/>
    <x v="11"/>
    <m/>
    <m/>
    <n v="3.5000000000000018"/>
  </r>
  <r>
    <x v="106"/>
    <x v="0"/>
    <d v="1899-12-30T18:30:00"/>
    <d v="1899-12-30T22:30:00"/>
    <n v="3.9999999999999991"/>
    <m/>
    <m/>
    <m/>
    <x v="1"/>
    <x v="6"/>
    <m/>
    <m/>
    <n v="1.9999999999999991"/>
  </r>
  <r>
    <x v="107"/>
    <x v="0"/>
    <d v="1899-12-30T09:00:00"/>
    <d v="1899-12-30T14:00:00"/>
    <n v="5.0000000000000009"/>
    <m/>
    <m/>
    <m/>
    <x v="1"/>
    <x v="4"/>
    <m/>
    <m/>
    <n v="3.0000000000000009"/>
  </r>
  <r>
    <x v="107"/>
    <x v="0"/>
    <d v="1899-12-30T18:00:00"/>
    <d v="1899-12-30T23:00:00"/>
    <n v="5.0000000000000009"/>
    <m/>
    <m/>
    <m/>
    <x v="1"/>
    <x v="4"/>
    <m/>
    <m/>
    <n v="3.0000000000000009"/>
  </r>
  <r>
    <x v="108"/>
    <x v="2"/>
    <d v="1899-12-30T08:30:00"/>
    <d v="1899-12-30T15:00:00"/>
    <n v="6"/>
    <n v="0.5"/>
    <m/>
    <n v="6"/>
    <x v="1"/>
    <x v="2"/>
    <m/>
    <m/>
    <n v="6"/>
  </r>
  <r>
    <x v="108"/>
    <x v="0"/>
    <d v="1899-12-30T09:00:00"/>
    <d v="1899-12-30T13:00:00"/>
    <n v="3.9999999999999991"/>
    <m/>
    <m/>
    <m/>
    <x v="1"/>
    <x v="6"/>
    <m/>
    <m/>
    <n v="1.9999999999999991"/>
  </r>
  <r>
    <x v="108"/>
    <x v="8"/>
    <d v="1899-12-30T09:00:00"/>
    <d v="1899-12-30T17:00:00"/>
    <n v="7.5"/>
    <n v="0.5"/>
    <m/>
    <n v="7.5"/>
    <x v="1"/>
    <x v="2"/>
    <m/>
    <m/>
    <n v="7.5"/>
  </r>
  <r>
    <x v="108"/>
    <x v="0"/>
    <d v="1899-12-30T12:00:00"/>
    <d v="1899-12-30T18:00:00"/>
    <n v="5.5"/>
    <n v="0.5"/>
    <m/>
    <m/>
    <x v="1"/>
    <x v="13"/>
    <m/>
    <m/>
    <n v="3.5"/>
  </r>
  <r>
    <x v="108"/>
    <x v="5"/>
    <d v="1899-12-30T15:00:00"/>
    <d v="1899-12-30T18:00:00"/>
    <n v="3"/>
    <m/>
    <m/>
    <n v="3"/>
    <x v="1"/>
    <x v="2"/>
    <m/>
    <m/>
    <n v="3"/>
  </r>
  <r>
    <x v="109"/>
    <x v="2"/>
    <d v="1899-12-30T12:00:00"/>
    <d v="1899-12-30T19:00:00"/>
    <n v="6.4999999999999991"/>
    <n v="0.5"/>
    <m/>
    <n v="6.4999999999999991"/>
    <x v="1"/>
    <x v="2"/>
    <m/>
    <m/>
    <n v="6.4999999999999991"/>
  </r>
  <r>
    <x v="109"/>
    <x v="3"/>
    <d v="1899-12-30T15:00:00"/>
    <d v="1899-12-30T20:00:00"/>
    <n v="5.0000000000000009"/>
    <m/>
    <m/>
    <n v="5.0000000000000009"/>
    <x v="1"/>
    <x v="2"/>
    <m/>
    <m/>
    <n v="5.0000000000000009"/>
  </r>
  <r>
    <x v="110"/>
    <x v="0"/>
    <d v="1899-12-30T08:00:00"/>
    <d v="1899-12-30T14:00:00"/>
    <n v="5.5000000000000018"/>
    <n v="0.5"/>
    <m/>
    <m/>
    <x v="1"/>
    <x v="11"/>
    <m/>
    <m/>
    <n v="3.5000000000000018"/>
  </r>
  <r>
    <x v="111"/>
    <x v="0"/>
    <d v="1899-12-30T08:00:00"/>
    <d v="1899-12-30T13:00:00"/>
    <n v="5"/>
    <m/>
    <m/>
    <m/>
    <x v="1"/>
    <x v="14"/>
    <m/>
    <m/>
    <n v="3"/>
  </r>
  <r>
    <x v="112"/>
    <x v="0"/>
    <d v="1899-12-30T08:00:00"/>
    <d v="1899-12-30T14:00:00"/>
    <n v="5.5000000000000018"/>
    <n v="0.5"/>
    <n v="5521"/>
    <m/>
    <x v="1"/>
    <x v="11"/>
    <m/>
    <m/>
    <n v="3.5000000000000018"/>
  </r>
  <r>
    <x v="112"/>
    <x v="1"/>
    <d v="1899-12-30T16:30:00"/>
    <d v="1899-12-30T21:00:00"/>
    <n v="4.5"/>
    <m/>
    <m/>
    <n v="6.5"/>
    <x v="1"/>
    <x v="2"/>
    <m/>
    <m/>
    <n v="6.5"/>
  </r>
  <r>
    <x v="113"/>
    <x v="0"/>
    <d v="1899-12-30T18:30:00"/>
    <d v="1899-12-30T22:30:00"/>
    <n v="3.9999999999999991"/>
    <m/>
    <m/>
    <m/>
    <x v="1"/>
    <x v="6"/>
    <m/>
    <m/>
    <n v="1.9999999999999991"/>
  </r>
  <r>
    <x v="113"/>
    <x v="0"/>
    <d v="1899-12-30T08:00:00"/>
    <d v="1899-12-30T14:00:00"/>
    <n v="5.5000000000000018"/>
    <n v="0.5"/>
    <m/>
    <m/>
    <x v="1"/>
    <x v="11"/>
    <m/>
    <m/>
    <n v="3.5000000000000018"/>
  </r>
  <r>
    <x v="114"/>
    <x v="0"/>
    <d v="1899-12-30T08:00:00"/>
    <d v="1899-12-30T14:00:00"/>
    <n v="5.5000000000000018"/>
    <n v="0.5"/>
    <m/>
    <m/>
    <x v="1"/>
    <x v="11"/>
    <m/>
    <m/>
    <n v="3.5000000000000018"/>
  </r>
  <r>
    <x v="115"/>
    <x v="0"/>
    <d v="1899-12-30T12:30:00"/>
    <d v="1899-12-30T18:00:00"/>
    <n v="5.4999999999999991"/>
    <m/>
    <m/>
    <m/>
    <x v="1"/>
    <x v="5"/>
    <m/>
    <m/>
    <n v="3.4999999999999991"/>
  </r>
  <r>
    <x v="115"/>
    <x v="3"/>
    <d v="1899-12-30T15:00:00"/>
    <d v="1899-12-30T21:00:00"/>
    <n v="5.5"/>
    <n v="0.5"/>
    <m/>
    <n v="5.5"/>
    <x v="1"/>
    <x v="2"/>
    <m/>
    <m/>
    <n v="5.5"/>
  </r>
  <r>
    <x v="115"/>
    <x v="2"/>
    <d v="1899-12-30T15:00:00"/>
    <d v="1899-12-30T20:00:00"/>
    <n v="5.0000000000000009"/>
    <m/>
    <m/>
    <n v="5.0000000000000009"/>
    <x v="1"/>
    <x v="2"/>
    <m/>
    <m/>
    <n v="5.0000000000000009"/>
  </r>
  <r>
    <x v="116"/>
    <x v="0"/>
    <d v="1899-12-30T08:00:00"/>
    <d v="1899-12-30T14:00:00"/>
    <n v="5.5000000000000018"/>
    <n v="0.5"/>
    <m/>
    <m/>
    <x v="1"/>
    <x v="11"/>
    <m/>
    <m/>
    <n v="3.5000000000000018"/>
  </r>
  <r>
    <x v="117"/>
    <x v="0"/>
    <d v="1899-12-30T09:00:00"/>
    <d v="1899-12-30T13:30:00"/>
    <n v="4.5"/>
    <m/>
    <m/>
    <m/>
    <x v="1"/>
    <x v="1"/>
    <m/>
    <m/>
    <n v="2.5"/>
  </r>
  <r>
    <x v="118"/>
    <x v="0"/>
    <d v="1899-12-30T08:00:00"/>
    <d v="1899-12-30T13:00:00"/>
    <n v="5"/>
    <m/>
    <m/>
    <m/>
    <x v="1"/>
    <x v="14"/>
    <m/>
    <m/>
    <n v="3"/>
  </r>
  <r>
    <x v="118"/>
    <x v="0"/>
    <d v="1899-12-30T16:00:00"/>
    <d v="1899-12-30T17:30:00"/>
    <n v="1.5"/>
    <m/>
    <m/>
    <m/>
    <x v="1"/>
    <x v="15"/>
    <m/>
    <m/>
    <n v="-0.5"/>
  </r>
  <r>
    <x v="118"/>
    <x v="1"/>
    <d v="1899-12-30T16:30:00"/>
    <d v="1899-12-30T21:00:00"/>
    <n v="4.5"/>
    <m/>
    <m/>
    <n v="6.5"/>
    <x v="1"/>
    <x v="2"/>
    <m/>
    <m/>
    <n v="6.5"/>
  </r>
  <r>
    <x v="119"/>
    <x v="1"/>
    <d v="1899-12-30T18:30:00"/>
    <d v="1899-12-30T23:00:00"/>
    <n v="4.5"/>
    <m/>
    <m/>
    <n v="6.5"/>
    <x v="1"/>
    <x v="2"/>
    <m/>
    <m/>
    <n v="6.5"/>
  </r>
  <r>
    <x v="119"/>
    <x v="0"/>
    <d v="1899-12-30T08:00:00"/>
    <d v="1899-12-30T14:00:00"/>
    <n v="5.5000000000000018"/>
    <n v="0.5"/>
    <m/>
    <m/>
    <x v="1"/>
    <x v="11"/>
    <m/>
    <m/>
    <n v="3.5000000000000018"/>
  </r>
  <r>
    <x v="119"/>
    <x v="0"/>
    <d v="1899-12-30T18:30:00"/>
    <d v="1899-12-30T22:30:00"/>
    <n v="3.9999999999999991"/>
    <m/>
    <m/>
    <m/>
    <x v="1"/>
    <x v="6"/>
    <m/>
    <m/>
    <n v="1.9999999999999991"/>
  </r>
  <r>
    <x v="120"/>
    <x v="1"/>
    <d v="1899-12-30T18:00:00"/>
    <d v="1899-12-30T23:30:00"/>
    <n v="4.9999999999999991"/>
    <n v="0.5"/>
    <m/>
    <n v="6.9999999999999991"/>
    <x v="1"/>
    <x v="2"/>
    <m/>
    <m/>
    <n v="6.9999999999999991"/>
  </r>
  <r>
    <x v="120"/>
    <x v="0"/>
    <d v="1899-12-30T08:00:00"/>
    <d v="1899-12-30T14:00:00"/>
    <n v="5.5000000000000018"/>
    <n v="0.5"/>
    <m/>
    <m/>
    <x v="1"/>
    <x v="11"/>
    <m/>
    <m/>
    <n v="3.5000000000000018"/>
  </r>
  <r>
    <x v="121"/>
    <x v="2"/>
    <d v="1899-12-30T12:30:00"/>
    <d v="1899-12-30T16:30:00"/>
    <n v="3.9999999999999991"/>
    <m/>
    <m/>
    <n v="3.9999999999999991"/>
    <x v="1"/>
    <x v="2"/>
    <m/>
    <m/>
    <n v="3.9999999999999991"/>
  </r>
  <r>
    <x v="121"/>
    <x v="3"/>
    <d v="1899-12-30T14:00:00"/>
    <d v="1899-12-30T20:30:00"/>
    <n v="5.9999999999999982"/>
    <n v="0.5"/>
    <m/>
    <n v="5.9999999999999982"/>
    <x v="1"/>
    <x v="2"/>
    <m/>
    <m/>
    <n v="5.9999999999999982"/>
  </r>
  <r>
    <x v="121"/>
    <x v="2"/>
    <d v="1899-12-30T07:30:00"/>
    <d v="1899-12-30T12:30:00"/>
    <n v="5.0000000000000009"/>
    <m/>
    <m/>
    <n v="5.0000000000000009"/>
    <x v="1"/>
    <x v="2"/>
    <m/>
    <m/>
    <n v="5.0000000000000009"/>
  </r>
  <r>
    <x v="121"/>
    <x v="8"/>
    <d v="1899-12-30T10:00:00"/>
    <d v="1899-12-30T17:00:00"/>
    <n v="6.5"/>
    <n v="0.5"/>
    <m/>
    <n v="6.5"/>
    <x v="1"/>
    <x v="2"/>
    <m/>
    <m/>
    <n v="6.5"/>
  </r>
  <r>
    <x v="122"/>
    <x v="1"/>
    <d v="1899-12-30T15:00:00"/>
    <d v="1899-12-30T19:00:00"/>
    <n v="3.9999999999999991"/>
    <m/>
    <m/>
    <n v="3.9999999999999991"/>
    <x v="1"/>
    <x v="2"/>
    <m/>
    <m/>
    <n v="3.9999999999999991"/>
  </r>
  <r>
    <x v="123"/>
    <x v="0"/>
    <d v="1899-12-30T08:00:00"/>
    <d v="1899-12-30T14:00:00"/>
    <n v="5.5000000000000018"/>
    <n v="0.5"/>
    <m/>
    <m/>
    <x v="1"/>
    <x v="11"/>
    <m/>
    <m/>
    <n v="3.5000000000000018"/>
  </r>
  <r>
    <x v="124"/>
    <x v="0"/>
    <d v="1899-12-30T08:00:00"/>
    <d v="1899-12-30T14:00:00"/>
    <n v="5.5000000000000018"/>
    <n v="0.5"/>
    <m/>
    <m/>
    <x v="1"/>
    <x v="11"/>
    <m/>
    <m/>
    <n v="3.5000000000000018"/>
  </r>
  <r>
    <x v="125"/>
    <x v="0"/>
    <d v="1899-12-30T08:00:00"/>
    <d v="1899-12-30T14:00:00"/>
    <n v="5.5000000000000018"/>
    <n v="0.5"/>
    <m/>
    <m/>
    <x v="1"/>
    <x v="11"/>
    <m/>
    <m/>
    <n v="3.5000000000000018"/>
  </r>
  <r>
    <x v="125"/>
    <x v="0"/>
    <d v="1899-12-30T16:00:00"/>
    <d v="1899-12-30T21:00:00"/>
    <n v="5.0000000000000009"/>
    <m/>
    <m/>
    <m/>
    <x v="1"/>
    <x v="4"/>
    <m/>
    <m/>
    <n v="3.0000000000000009"/>
  </r>
  <r>
    <x v="125"/>
    <x v="1"/>
    <d v="1899-12-30T16:30:00"/>
    <d v="1899-12-30T21:00:00"/>
    <n v="4.5"/>
    <m/>
    <m/>
    <n v="6.5"/>
    <x v="1"/>
    <x v="2"/>
    <m/>
    <m/>
    <n v="6.5"/>
  </r>
  <r>
    <x v="126"/>
    <x v="0"/>
    <d v="1899-12-30T08:00:00"/>
    <d v="1899-12-30T14:00:00"/>
    <n v="5.5000000000000018"/>
    <n v="0.5"/>
    <m/>
    <m/>
    <x v="1"/>
    <x v="11"/>
    <m/>
    <m/>
    <n v="3.5000000000000018"/>
  </r>
  <r>
    <x v="126"/>
    <x v="9"/>
    <d v="1899-12-30T07:00:00"/>
    <d v="1899-12-30T11:00:00"/>
    <n v="3.9999999999999991"/>
    <m/>
    <m/>
    <n v="5.9999999999999991"/>
    <x v="1"/>
    <x v="2"/>
    <m/>
    <m/>
    <n v="5.9999999999999991"/>
  </r>
  <r>
    <x v="126"/>
    <x v="0"/>
    <d v="1899-12-30T18:00:00"/>
    <d v="1899-12-30T23:00:00"/>
    <n v="5.0000000000000009"/>
    <m/>
    <m/>
    <m/>
    <x v="1"/>
    <x v="4"/>
    <m/>
    <m/>
    <n v="3.0000000000000009"/>
  </r>
  <r>
    <x v="126"/>
    <x v="7"/>
    <d v="1899-12-30T19:00:00"/>
    <d v="1899-12-30T22:00:00"/>
    <n v="3"/>
    <m/>
    <m/>
    <n v="5"/>
    <x v="1"/>
    <x v="2"/>
    <m/>
    <m/>
    <n v="5"/>
  </r>
  <r>
    <x v="127"/>
    <x v="0"/>
    <d v="1899-12-30T09:00:00"/>
    <d v="1899-12-30T14:00:00"/>
    <n v="5.0000000000000009"/>
    <m/>
    <m/>
    <m/>
    <x v="1"/>
    <x v="4"/>
    <m/>
    <m/>
    <n v="3.0000000000000009"/>
  </r>
  <r>
    <x v="128"/>
    <x v="3"/>
    <d v="1899-12-30T15:30:00"/>
    <d v="1899-12-30T22:30:00"/>
    <n v="6.4999999999999991"/>
    <n v="0.5"/>
    <m/>
    <n v="6.4999999999999991"/>
    <x v="1"/>
    <x v="2"/>
    <m/>
    <m/>
    <n v="6.4999999999999991"/>
  </r>
  <r>
    <x v="128"/>
    <x v="0"/>
    <d v="1899-12-30T08:00:00"/>
    <d v="1899-12-30T12:30:00"/>
    <n v="4.5000000000000018"/>
    <m/>
    <m/>
    <m/>
    <x v="1"/>
    <x v="12"/>
    <m/>
    <m/>
    <n v="2.5000000000000018"/>
  </r>
  <r>
    <x v="129"/>
    <x v="5"/>
    <d v="1899-12-30T14:00:00"/>
    <d v="1899-12-30T19:00:00"/>
    <n v="4.9999999999999982"/>
    <m/>
    <m/>
    <n v="4.9999999999999982"/>
    <x v="1"/>
    <x v="2"/>
    <m/>
    <m/>
    <n v="4.9999999999999982"/>
  </r>
  <r>
    <x v="129"/>
    <x v="3"/>
    <d v="1899-12-30T15:00:00"/>
    <d v="1899-12-30T22:30:00"/>
    <n v="7"/>
    <n v="0.5"/>
    <m/>
    <n v="7"/>
    <x v="1"/>
    <x v="2"/>
    <m/>
    <m/>
    <n v="7"/>
  </r>
  <r>
    <x v="130"/>
    <x v="0"/>
    <d v="1899-12-30T08:00:00"/>
    <d v="1899-12-30T14:00:00"/>
    <n v="5.5000000000000018"/>
    <n v="0.5"/>
    <m/>
    <m/>
    <x v="1"/>
    <x v="11"/>
    <m/>
    <m/>
    <n v="3.5000000000000018"/>
  </r>
  <r>
    <x v="130"/>
    <x v="3"/>
    <d v="1899-12-30T18:00:00"/>
    <d v="1899-12-30T21:30:00"/>
    <n v="3.5000000000000009"/>
    <m/>
    <m/>
    <n v="5.5000000000000009"/>
    <x v="1"/>
    <x v="2"/>
    <m/>
    <m/>
    <n v="5.5000000000000009"/>
  </r>
  <r>
    <x v="131"/>
    <x v="0"/>
    <d v="1899-12-30T08:00:00"/>
    <d v="1899-12-30T14:00:00"/>
    <n v="5.5000000000000018"/>
    <n v="0.5"/>
    <m/>
    <m/>
    <x v="1"/>
    <x v="11"/>
    <m/>
    <m/>
    <n v="3.5000000000000018"/>
  </r>
  <r>
    <x v="132"/>
    <x v="0"/>
    <d v="1899-12-30T16:30:00"/>
    <d v="1899-12-30T21:00:00"/>
    <n v="4.5"/>
    <m/>
    <m/>
    <m/>
    <x v="1"/>
    <x v="1"/>
    <m/>
    <m/>
    <n v="2.5"/>
  </r>
  <r>
    <x v="132"/>
    <x v="0"/>
    <d v="1899-12-30T08:00:00"/>
    <d v="1899-12-30T13:00:00"/>
    <n v="5"/>
    <m/>
    <m/>
    <m/>
    <x v="1"/>
    <x v="14"/>
    <m/>
    <m/>
    <n v="3"/>
  </r>
  <r>
    <x v="133"/>
    <x v="0"/>
    <d v="1899-12-30T08:00:00"/>
    <d v="1899-12-30T14:00:00"/>
    <n v="5.5000000000000018"/>
    <n v="0.5"/>
    <m/>
    <m/>
    <x v="1"/>
    <x v="11"/>
    <m/>
    <m/>
    <n v="3.5000000000000018"/>
  </r>
  <r>
    <x v="133"/>
    <x v="0"/>
    <d v="1899-12-30T18:30:00"/>
    <d v="1899-12-30T22:30:00"/>
    <n v="3.9999999999999991"/>
    <m/>
    <m/>
    <m/>
    <x v="1"/>
    <x v="6"/>
    <m/>
    <m/>
    <n v="1.9999999999999991"/>
  </r>
  <r>
    <x v="133"/>
    <x v="4"/>
    <d v="1899-12-30T17:00:00"/>
    <d v="1899-12-30T22:00:00"/>
    <n v="4.4999999999999982"/>
    <n v="0.5"/>
    <m/>
    <n v="6.4999999999999982"/>
    <x v="1"/>
    <x v="2"/>
    <m/>
    <m/>
    <n v="6.4999999999999982"/>
  </r>
  <r>
    <x v="134"/>
    <x v="0"/>
    <d v="1899-12-30T08:00:00"/>
    <d v="1899-12-30T14:00:00"/>
    <n v="5.5000000000000018"/>
    <n v="0.5"/>
    <m/>
    <m/>
    <x v="1"/>
    <x v="11"/>
    <m/>
    <m/>
    <n v="3.5000000000000018"/>
  </r>
  <r>
    <x v="134"/>
    <x v="4"/>
    <d v="1899-12-30T18:30:00"/>
    <d v="1899-12-30T23:30:00"/>
    <n v="4.9999999999999982"/>
    <m/>
    <m/>
    <n v="6.9999999999999982"/>
    <x v="1"/>
    <x v="2"/>
    <m/>
    <m/>
    <n v="6.9999999999999982"/>
  </r>
  <r>
    <x v="135"/>
    <x v="3"/>
    <d v="1899-12-30T12:00:00"/>
    <d v="1899-12-30T21:30:00"/>
    <n v="8.5"/>
    <n v="1"/>
    <m/>
    <n v="8.5"/>
    <x v="1"/>
    <x v="2"/>
    <m/>
    <m/>
    <n v="8.5"/>
  </r>
  <r>
    <x v="135"/>
    <x v="2"/>
    <d v="1899-12-30T19:00:00"/>
    <d v="1899-12-30T21:00:00"/>
    <n v="2.0000000000000009"/>
    <m/>
    <m/>
    <n v="2.0000000000000009"/>
    <x v="1"/>
    <x v="2"/>
    <m/>
    <m/>
    <n v="2.0000000000000009"/>
  </r>
  <r>
    <x v="135"/>
    <x v="8"/>
    <d v="1899-12-30T12:30:00"/>
    <d v="1899-12-30T19:00:00"/>
    <n v="5.9999999999999982"/>
    <n v="0.5"/>
    <m/>
    <n v="5.9999999999999982"/>
    <x v="1"/>
    <x v="2"/>
    <m/>
    <m/>
    <n v="5.9999999999999982"/>
  </r>
  <r>
    <x v="136"/>
    <x v="4"/>
    <d v="1899-12-30T16:00:00"/>
    <d v="1899-12-30T23:00:00"/>
    <n v="6.5000000000000018"/>
    <n v="0.5"/>
    <m/>
    <n v="6.5000000000000018"/>
    <x v="1"/>
    <x v="2"/>
    <m/>
    <m/>
    <n v="6.5000000000000018"/>
  </r>
  <r>
    <x v="137"/>
    <x v="0"/>
    <d v="1899-12-30T08:00:00"/>
    <d v="1899-12-30T14:00:00"/>
    <n v="5.5000000000000018"/>
    <n v="0.5"/>
    <m/>
    <m/>
    <x v="1"/>
    <x v="11"/>
    <m/>
    <m/>
    <n v="3.5000000000000018"/>
  </r>
  <r>
    <x v="138"/>
    <x v="1"/>
    <d v="1899-12-30T16:30:00"/>
    <d v="1899-12-30T21:00:00"/>
    <n v="4.5"/>
    <m/>
    <m/>
    <n v="6.5"/>
    <x v="1"/>
    <x v="2"/>
    <m/>
    <m/>
    <n v="6.5"/>
  </r>
  <r>
    <x v="139"/>
    <x v="0"/>
    <d v="1899-12-30T18:00:00"/>
    <d v="1899-12-30T23:00:00"/>
    <n v="5.0000000000000009"/>
    <m/>
    <m/>
    <m/>
    <x v="1"/>
    <x v="4"/>
    <m/>
    <m/>
    <n v="3.0000000000000009"/>
  </r>
  <r>
    <x v="139"/>
    <x v="7"/>
    <d v="1899-12-30T19:00:00"/>
    <d v="1899-12-30T22:00:00"/>
    <n v="3"/>
    <m/>
    <m/>
    <n v="5"/>
    <x v="1"/>
    <x v="2"/>
    <m/>
    <m/>
    <n v="5"/>
  </r>
  <r>
    <x v="139"/>
    <x v="2"/>
    <d v="1899-12-30T15:30:00"/>
    <d v="1899-12-30T22:00:00"/>
    <n v="5.9999999999999982"/>
    <n v="0.5"/>
    <m/>
    <n v="7.9999999999999982"/>
    <x v="1"/>
    <x v="2"/>
    <m/>
    <m/>
    <n v="7.9999999999999982"/>
  </r>
  <r>
    <x v="139"/>
    <x v="0"/>
    <d v="1899-12-30T09:00:00"/>
    <d v="1899-12-30T14:00:00"/>
    <n v="5.0000000000000009"/>
    <m/>
    <m/>
    <m/>
    <x v="1"/>
    <x v="4"/>
    <m/>
    <m/>
    <n v="3.0000000000000009"/>
  </r>
  <r>
    <x v="140"/>
    <x v="0"/>
    <d v="1899-12-30T08:00:00"/>
    <d v="1899-12-30T14:00:00"/>
    <n v="5.5000000000000018"/>
    <n v="0.5"/>
    <m/>
    <m/>
    <x v="1"/>
    <x v="11"/>
    <m/>
    <m/>
    <n v="3.5000000000000018"/>
  </r>
  <r>
    <x v="141"/>
    <x v="2"/>
    <d v="1899-12-30T09:00:00"/>
    <d v="1899-12-30T13:00:00"/>
    <n v="3.9999999999999991"/>
    <m/>
    <n v="5521"/>
    <n v="3.9999999999999991"/>
    <x v="1"/>
    <x v="2"/>
    <m/>
    <m/>
    <n v="3.9999999999999991"/>
  </r>
  <r>
    <x v="141"/>
    <x v="8"/>
    <d v="1899-12-30T09:00:00"/>
    <d v="1899-12-30T17:00:00"/>
    <n v="7.5"/>
    <n v="0.5"/>
    <m/>
    <n v="7.5"/>
    <x v="1"/>
    <x v="2"/>
    <m/>
    <m/>
    <n v="7.5"/>
  </r>
  <r>
    <x v="141"/>
    <x v="3"/>
    <d v="1899-12-30T13:00:00"/>
    <d v="1899-12-30T21:00:00"/>
    <n v="7.5"/>
    <n v="0.5"/>
    <m/>
    <n v="7.5"/>
    <x v="1"/>
    <x v="2"/>
    <m/>
    <m/>
    <n v="7.5"/>
  </r>
  <r>
    <x v="141"/>
    <x v="2"/>
    <d v="1899-12-30T16:00:00"/>
    <d v="1899-12-30T21:00:00"/>
    <n v="5.0000000000000009"/>
    <m/>
    <m/>
    <n v="5.0000000000000009"/>
    <x v="1"/>
    <x v="2"/>
    <m/>
    <m/>
    <n v="5.0000000000000009"/>
  </r>
  <r>
    <x v="142"/>
    <x v="2"/>
    <d v="1899-12-30T16:00:00"/>
    <d v="1899-12-30T23:00:00"/>
    <n v="6.5000000000000018"/>
    <n v="0.5"/>
    <m/>
    <n v="6.5000000000000018"/>
    <x v="1"/>
    <x v="2"/>
    <m/>
    <m/>
    <n v="6.5000000000000018"/>
  </r>
  <r>
    <x v="143"/>
    <x v="0"/>
    <d v="1899-12-30T08:00:00"/>
    <d v="1899-12-30T14:00:00"/>
    <n v="5.5000000000000018"/>
    <n v="0.5"/>
    <m/>
    <m/>
    <x v="1"/>
    <x v="11"/>
    <m/>
    <m/>
    <n v="3.5000000000000018"/>
  </r>
  <r>
    <x v="144"/>
    <x v="0"/>
    <d v="1899-12-30T08:00:00"/>
    <d v="1899-12-30T14:00:00"/>
    <n v="5.5000000000000018"/>
    <n v="0.5"/>
    <m/>
    <m/>
    <x v="1"/>
    <x v="11"/>
    <m/>
    <m/>
    <n v="3.5000000000000018"/>
  </r>
  <r>
    <x v="144"/>
    <x v="2"/>
    <d v="1899-12-30T17:00:00"/>
    <d v="1899-12-30T23:00:00"/>
    <n v="5.5"/>
    <n v="0.5"/>
    <m/>
    <n v="7.5"/>
    <x v="1"/>
    <x v="2"/>
    <m/>
    <m/>
    <n v="7.5"/>
  </r>
  <r>
    <x v="145"/>
    <x v="0"/>
    <d v="1899-12-30T08:00:00"/>
    <d v="1899-12-30T14:00:00"/>
    <n v="5.5000000000000018"/>
    <n v="0.5"/>
    <m/>
    <m/>
    <x v="1"/>
    <x v="11"/>
    <m/>
    <m/>
    <n v="3.5000000000000018"/>
  </r>
  <r>
    <x v="145"/>
    <x v="3"/>
    <d v="1899-12-30T16:00:00"/>
    <d v="1899-12-30T21:00:00"/>
    <n v="5.0000000000000009"/>
    <m/>
    <m/>
    <n v="7.0000000000000009"/>
    <x v="1"/>
    <x v="2"/>
    <m/>
    <m/>
    <n v="7.0000000000000009"/>
  </r>
  <r>
    <x v="145"/>
    <x v="1"/>
    <d v="1899-12-30T16:00:00"/>
    <d v="1899-12-30T21:30:00"/>
    <n v="5.5000000000000018"/>
    <m/>
    <m/>
    <n v="7.5000000000000018"/>
    <x v="1"/>
    <x v="2"/>
    <m/>
    <m/>
    <n v="7.5000000000000018"/>
  </r>
  <r>
    <x v="146"/>
    <x v="2"/>
    <d v="1899-12-30T07:00:00"/>
    <d v="1899-12-30T14:00:00"/>
    <n v="6.5"/>
    <n v="0.5"/>
    <m/>
    <n v="8.5"/>
    <x v="1"/>
    <x v="2"/>
    <m/>
    <m/>
    <n v="8.5"/>
  </r>
  <r>
    <x v="146"/>
    <x v="0"/>
    <d v="1899-12-30T08:00:00"/>
    <d v="1899-12-30T14:00:00"/>
    <n v="5.5000000000000018"/>
    <n v="0.5"/>
    <m/>
    <m/>
    <x v="1"/>
    <x v="11"/>
    <m/>
    <m/>
    <n v="3.5000000000000018"/>
  </r>
  <r>
    <x v="146"/>
    <x v="0"/>
    <d v="1899-12-30T18:00:00"/>
    <d v="1899-12-30T23:00:00"/>
    <n v="5.0000000000000009"/>
    <m/>
    <m/>
    <m/>
    <x v="1"/>
    <x v="4"/>
    <m/>
    <m/>
    <n v="3.0000000000000009"/>
  </r>
  <r>
    <x v="146"/>
    <x v="1"/>
    <d v="1899-12-30T19:00:00"/>
    <d v="1899-12-30T22:30:00"/>
    <n v="3.5000000000000009"/>
    <m/>
    <m/>
    <n v="5.5000000000000009"/>
    <x v="1"/>
    <x v="2"/>
    <m/>
    <m/>
    <n v="5.5000000000000009"/>
  </r>
  <r>
    <x v="147"/>
    <x v="0"/>
    <d v="1899-12-30T08:00:00"/>
    <d v="1899-12-30T14:00:00"/>
    <n v="5.5000000000000018"/>
    <n v="0.5"/>
    <m/>
    <m/>
    <x v="1"/>
    <x v="11"/>
    <m/>
    <m/>
    <n v="3.5000000000000018"/>
  </r>
  <r>
    <x v="148"/>
    <x v="0"/>
    <d v="1899-12-30T08:00:00"/>
    <d v="1899-12-30T12:30:00"/>
    <n v="4.5000000000000018"/>
    <m/>
    <m/>
    <m/>
    <x v="1"/>
    <x v="12"/>
    <m/>
    <m/>
    <n v="2.5000000000000018"/>
  </r>
  <r>
    <x v="148"/>
    <x v="2"/>
    <d v="1899-12-30T09:00:00"/>
    <d v="1899-12-30T20:00:00"/>
    <n v="10"/>
    <n v="1"/>
    <m/>
    <n v="10"/>
    <x v="1"/>
    <x v="2"/>
    <m/>
    <m/>
    <n v="10"/>
  </r>
  <r>
    <x v="148"/>
    <x v="3"/>
    <d v="1899-12-30T13:00:00"/>
    <d v="1899-12-30T22:30:00"/>
    <n v="8.5"/>
    <n v="1"/>
    <m/>
    <n v="8.5"/>
    <x v="1"/>
    <x v="2"/>
    <m/>
    <m/>
    <n v="8.5"/>
  </r>
  <r>
    <x v="149"/>
    <x v="3"/>
    <d v="1899-12-30T11:30:00"/>
    <d v="1899-12-30T18:30:00"/>
    <n v="6.5"/>
    <n v="0.5"/>
    <m/>
    <n v="6.5"/>
    <x v="1"/>
    <x v="2"/>
    <m/>
    <m/>
    <n v="6.5"/>
  </r>
  <r>
    <x v="150"/>
    <x v="0"/>
    <d v="1899-12-30T08:00:00"/>
    <d v="1899-12-30T14:00:00"/>
    <n v="5.5000000000000018"/>
    <n v="0.5"/>
    <m/>
    <m/>
    <x v="1"/>
    <x v="11"/>
    <m/>
    <m/>
    <n v="3.5000000000000018"/>
  </r>
  <r>
    <x v="150"/>
    <x v="7"/>
    <d v="1899-12-30T08:00:00"/>
    <d v="1899-12-30T13:00:00"/>
    <n v="5"/>
    <m/>
    <m/>
    <n v="7"/>
    <x v="1"/>
    <x v="2"/>
    <m/>
    <m/>
    <n v="7"/>
  </r>
  <r>
    <x v="150"/>
    <x v="6"/>
    <d v="1899-12-30T12:30:00"/>
    <d v="1899-12-30T16:30:00"/>
    <n v="3.9999999999999991"/>
    <m/>
    <m/>
    <n v="5.9999999999999991"/>
    <x v="1"/>
    <x v="2"/>
    <m/>
    <m/>
    <n v="5.9999999999999991"/>
  </r>
  <r>
    <x v="151"/>
    <x v="0"/>
    <d v="1899-12-30T08:00:00"/>
    <d v="1899-12-30T14:00:00"/>
    <n v="5.5000000000000018"/>
    <n v="0.5"/>
    <m/>
    <m/>
    <x v="1"/>
    <x v="11"/>
    <m/>
    <m/>
    <n v="3.5000000000000018"/>
  </r>
  <r>
    <x v="151"/>
    <x v="6"/>
    <d v="1899-12-30T12:30:00"/>
    <d v="1899-12-30T16:30:00"/>
    <n v="3.9999999999999991"/>
    <m/>
    <m/>
    <n v="5.9999999999999991"/>
    <x v="1"/>
    <x v="2"/>
    <m/>
    <m/>
    <n v="5.9999999999999991"/>
  </r>
  <r>
    <x v="152"/>
    <x v="0"/>
    <d v="1899-12-30T08:00:00"/>
    <d v="1899-12-30T14:00:00"/>
    <n v="5.5000000000000018"/>
    <n v="0.5"/>
    <m/>
    <m/>
    <x v="1"/>
    <x v="11"/>
    <m/>
    <m/>
    <n v="3.5000000000000018"/>
  </r>
  <r>
    <x v="152"/>
    <x v="10"/>
    <d v="1899-12-30T12:00:00"/>
    <d v="1899-12-30T16:00:00"/>
    <n v="3.9999999999999991"/>
    <m/>
    <m/>
    <n v="5.9999999999999991"/>
    <x v="1"/>
    <x v="2"/>
    <m/>
    <m/>
    <n v="5.9999999999999991"/>
  </r>
  <r>
    <x v="152"/>
    <x v="6"/>
    <d v="1899-12-30T12:30:00"/>
    <d v="1899-12-30T16:30:00"/>
    <n v="3.9999999999999991"/>
    <m/>
    <m/>
    <n v="5.9999999999999991"/>
    <x v="1"/>
    <x v="2"/>
    <m/>
    <m/>
    <n v="5.9999999999999991"/>
  </r>
  <r>
    <x v="152"/>
    <x v="1"/>
    <d v="1899-12-30T16:00:00"/>
    <d v="1899-12-30T21:30:00"/>
    <n v="5.5000000000000018"/>
    <m/>
    <m/>
    <n v="7.5000000000000018"/>
    <x v="1"/>
    <x v="2"/>
    <m/>
    <m/>
    <n v="7.5000000000000018"/>
  </r>
  <r>
    <x v="153"/>
    <x v="0"/>
    <d v="1899-12-30T08:00:00"/>
    <d v="1899-12-30T14:00:00"/>
    <n v="5.5000000000000018"/>
    <n v="0.5"/>
    <m/>
    <m/>
    <x v="1"/>
    <x v="11"/>
    <m/>
    <m/>
    <n v="3.5000000000000018"/>
  </r>
  <r>
    <x v="153"/>
    <x v="6"/>
    <d v="1899-12-30T12:30:00"/>
    <d v="1899-12-30T16:30:00"/>
    <n v="3.9999999999999991"/>
    <m/>
    <m/>
    <n v="5.9999999999999991"/>
    <x v="1"/>
    <x v="2"/>
    <m/>
    <m/>
    <n v="5.9999999999999991"/>
  </r>
  <r>
    <x v="153"/>
    <x v="1"/>
    <d v="1899-12-30T18:00:00"/>
    <d v="1899-12-30T22:30:00"/>
    <n v="4.5"/>
    <m/>
    <m/>
    <n v="6.5"/>
    <x v="1"/>
    <x v="2"/>
    <m/>
    <m/>
    <n v="6.5"/>
  </r>
  <r>
    <x v="153"/>
    <x v="0"/>
    <d v="1899-12-30T18:00:00"/>
    <d v="1899-12-30T23:00:00"/>
    <n v="5.0000000000000009"/>
    <m/>
    <m/>
    <m/>
    <x v="1"/>
    <x v="4"/>
    <m/>
    <m/>
    <n v="3.0000000000000009"/>
  </r>
  <r>
    <x v="154"/>
    <x v="0"/>
    <d v="1899-12-30T08:00:00"/>
    <d v="1899-12-30T14:00:00"/>
    <n v="5.5000000000000018"/>
    <n v="0.5"/>
    <m/>
    <m/>
    <x v="1"/>
    <x v="11"/>
    <m/>
    <m/>
    <n v="3.5000000000000018"/>
  </r>
  <r>
    <x v="154"/>
    <x v="6"/>
    <d v="1899-12-30T12:30:00"/>
    <d v="1899-12-30T16:30:00"/>
    <n v="3.9999999999999991"/>
    <m/>
    <m/>
    <n v="5.9999999999999991"/>
    <x v="1"/>
    <x v="2"/>
    <m/>
    <m/>
    <n v="5.9999999999999991"/>
  </r>
  <r>
    <x v="154"/>
    <x v="8"/>
    <d v="1899-12-30T14:00:00"/>
    <d v="1899-12-30T23:00:00"/>
    <n v="8"/>
    <n v="1"/>
    <m/>
    <n v="10"/>
    <x v="1"/>
    <x v="2"/>
    <m/>
    <m/>
    <n v="10"/>
  </r>
  <r>
    <x v="155"/>
    <x v="0"/>
    <d v="1899-12-30T08:00:00"/>
    <d v="1899-12-30T12:30:00"/>
    <n v="4.5000000000000018"/>
    <m/>
    <m/>
    <m/>
    <x v="1"/>
    <x v="12"/>
    <m/>
    <m/>
    <n v="2.5000000000000018"/>
  </r>
  <r>
    <x v="155"/>
    <x v="2"/>
    <d v="1899-12-30T08:00:00"/>
    <d v="1899-12-30T01:30:00"/>
    <n v="16"/>
    <n v="1.5"/>
    <m/>
    <n v="16"/>
    <x v="1"/>
    <x v="2"/>
    <m/>
    <m/>
    <n v="16"/>
  </r>
  <r>
    <x v="155"/>
    <x v="8"/>
    <d v="1899-12-30T14:00:00"/>
    <d v="1899-12-30T23:00:00"/>
    <n v="8"/>
    <n v="1"/>
    <m/>
    <n v="8"/>
    <x v="1"/>
    <x v="2"/>
    <m/>
    <m/>
    <n v="8"/>
  </r>
  <r>
    <x v="156"/>
    <x v="8"/>
    <d v="1899-12-30T10:00:00"/>
    <d v="1899-12-30T15:00:00"/>
    <n v="5"/>
    <m/>
    <m/>
    <n v="5"/>
    <x v="1"/>
    <x v="2"/>
    <m/>
    <m/>
    <n v="5"/>
  </r>
  <r>
    <x v="156"/>
    <x v="2"/>
    <d v="1899-12-30T14:00:00"/>
    <d v="1899-12-30T22:00:00"/>
    <n v="7.4999999999999982"/>
    <n v="0.5"/>
    <m/>
    <n v="7.4999999999999982"/>
    <x v="1"/>
    <x v="2"/>
    <m/>
    <m/>
    <n v="7.4999999999999982"/>
  </r>
  <r>
    <x v="157"/>
    <x v="0"/>
    <d v="1899-12-30T08:00:00"/>
    <d v="1899-12-30T14:00:00"/>
    <n v="5.5000000000000018"/>
    <n v="0.5"/>
    <m/>
    <m/>
    <x v="1"/>
    <x v="11"/>
    <m/>
    <m/>
    <n v="3.5000000000000018"/>
  </r>
  <r>
    <x v="157"/>
    <x v="6"/>
    <d v="1899-12-30T08:00:00"/>
    <d v="1899-12-30T16:30:00"/>
    <n v="8"/>
    <n v="0.5"/>
    <m/>
    <n v="10"/>
    <x v="1"/>
    <x v="2"/>
    <m/>
    <m/>
    <n v="10"/>
  </r>
  <r>
    <x v="158"/>
    <x v="0"/>
    <d v="1899-12-30T08:00:00"/>
    <d v="1899-12-30T14:00:00"/>
    <n v="5.5000000000000018"/>
    <n v="0.5"/>
    <m/>
    <m/>
    <x v="1"/>
    <x v="11"/>
    <m/>
    <m/>
    <n v="3.5000000000000018"/>
  </r>
  <r>
    <x v="158"/>
    <x v="6"/>
    <d v="1899-12-30T12:00:00"/>
    <d v="1899-12-30T16:30:00"/>
    <n v="4.5"/>
    <m/>
    <m/>
    <n v="6.5"/>
    <x v="1"/>
    <x v="2"/>
    <m/>
    <m/>
    <n v="6.5"/>
  </r>
  <r>
    <x v="159"/>
    <x v="0"/>
    <d v="1899-12-30T08:00:00"/>
    <d v="1899-12-30T14:00:00"/>
    <n v="5.5000000000000018"/>
    <n v="0.5"/>
    <m/>
    <m/>
    <x v="1"/>
    <x v="11"/>
    <m/>
    <m/>
    <n v="3.5000000000000018"/>
  </r>
  <r>
    <x v="159"/>
    <x v="6"/>
    <d v="1899-12-30T12:00:00"/>
    <d v="1899-12-30T16:30:00"/>
    <n v="4.5"/>
    <m/>
    <m/>
    <n v="6.5"/>
    <x v="1"/>
    <x v="2"/>
    <m/>
    <m/>
    <n v="6.5"/>
  </r>
  <r>
    <x v="159"/>
    <x v="8"/>
    <d v="1899-12-30T16:00:00"/>
    <d v="1899-12-30T22:00:00"/>
    <n v="5.5"/>
    <n v="0.5"/>
    <m/>
    <n v="7.5"/>
    <x v="1"/>
    <x v="2"/>
    <m/>
    <m/>
    <n v="7.5"/>
  </r>
  <r>
    <x v="159"/>
    <x v="3"/>
    <d v="1899-12-30T17:00:00"/>
    <d v="1899-12-30T21:00:00"/>
    <n v="3.9999999999999991"/>
    <m/>
    <m/>
    <n v="5.9999999999999991"/>
    <x v="1"/>
    <x v="2"/>
    <m/>
    <m/>
    <n v="5.9999999999999991"/>
  </r>
  <r>
    <x v="160"/>
    <x v="0"/>
    <d v="1899-12-30T08:00:00"/>
    <d v="1899-12-30T14:00:00"/>
    <n v="5.5000000000000018"/>
    <n v="0.5"/>
    <m/>
    <m/>
    <x v="1"/>
    <x v="11"/>
    <m/>
    <m/>
    <n v="3.5000000000000018"/>
  </r>
  <r>
    <x v="160"/>
    <x v="6"/>
    <d v="1899-12-30T12:00:00"/>
    <d v="1899-12-30T16:30:00"/>
    <n v="4.5"/>
    <m/>
    <m/>
    <n v="6.5"/>
    <x v="1"/>
    <x v="2"/>
    <m/>
    <m/>
    <n v="6.5"/>
  </r>
  <r>
    <x v="160"/>
    <x v="1"/>
    <d v="1899-12-30T18:00:00"/>
    <d v="1899-12-30T22:30:00"/>
    <n v="4.5"/>
    <m/>
    <m/>
    <n v="6.5"/>
    <x v="1"/>
    <x v="2"/>
    <m/>
    <m/>
    <n v="6.5"/>
  </r>
  <r>
    <x v="160"/>
    <x v="0"/>
    <d v="1899-12-30T18:00:00"/>
    <d v="1899-12-30T23:00:00"/>
    <n v="5.0000000000000009"/>
    <m/>
    <m/>
    <m/>
    <x v="1"/>
    <x v="4"/>
    <m/>
    <m/>
    <n v="3.0000000000000009"/>
  </r>
  <r>
    <x v="161"/>
    <x v="0"/>
    <d v="1899-12-30T08:00:00"/>
    <d v="1899-12-30T14:00:00"/>
    <n v="5.5000000000000018"/>
    <n v="0.5"/>
    <m/>
    <m/>
    <x v="1"/>
    <x v="11"/>
    <m/>
    <m/>
    <n v="3.5000000000000018"/>
  </r>
  <r>
    <x v="161"/>
    <x v="6"/>
    <d v="1899-12-30T12:00:00"/>
    <d v="1899-12-30T16:30:00"/>
    <n v="4.5"/>
    <m/>
    <m/>
    <n v="6.5"/>
    <x v="1"/>
    <x v="2"/>
    <m/>
    <m/>
    <n v="6.5"/>
  </r>
  <r>
    <x v="161"/>
    <x v="2"/>
    <d v="1899-12-30T13:00:00"/>
    <d v="1899-12-30T01:00:00"/>
    <n v="11"/>
    <n v="1"/>
    <m/>
    <n v="13"/>
    <x v="1"/>
    <x v="2"/>
    <m/>
    <m/>
    <n v="13"/>
  </r>
  <r>
    <x v="161"/>
    <x v="3"/>
    <d v="1899-12-30T17:00:00"/>
    <d v="1899-12-30T23:00:00"/>
    <n v="5.5"/>
    <n v="0.5"/>
    <m/>
    <n v="7.5"/>
    <x v="1"/>
    <x v="2"/>
    <m/>
    <m/>
    <n v="7.5"/>
  </r>
  <r>
    <x v="162"/>
    <x v="0"/>
    <d v="1899-12-30T08:00:00"/>
    <d v="1899-12-30T12:30:00"/>
    <n v="4.5000000000000018"/>
    <m/>
    <m/>
    <m/>
    <x v="1"/>
    <x v="12"/>
    <m/>
    <m/>
    <n v="2.5000000000000018"/>
  </r>
  <r>
    <x v="162"/>
    <x v="5"/>
    <d v="1899-12-30T08:30:00"/>
    <d v="1899-12-30T17:00:00"/>
    <n v="8"/>
    <n v="0.5"/>
    <m/>
    <n v="8"/>
    <x v="1"/>
    <x v="2"/>
    <m/>
    <m/>
    <n v="8"/>
  </r>
  <r>
    <x v="162"/>
    <x v="2"/>
    <d v="1899-12-30T08:00:00"/>
    <d v="1899-12-30T22:00:00"/>
    <n v="12.999999999999998"/>
    <n v="1"/>
    <m/>
    <n v="12.999999999999998"/>
    <x v="1"/>
    <x v="2"/>
    <m/>
    <m/>
    <n v="12.999999999999998"/>
  </r>
  <r>
    <x v="162"/>
    <x v="3"/>
    <d v="1899-12-30T14:00:00"/>
    <d v="1899-12-30T00:00:00"/>
    <n v="9"/>
    <n v="1"/>
    <m/>
    <n v="9"/>
    <x v="1"/>
    <x v="2"/>
    <m/>
    <m/>
    <n v="9"/>
  </r>
  <r>
    <x v="162"/>
    <x v="8"/>
    <d v="1899-12-30T11:00:00"/>
    <d v="1899-12-30T21:00:00"/>
    <n v="9"/>
    <n v="1"/>
    <m/>
    <n v="9"/>
    <x v="1"/>
    <x v="2"/>
    <m/>
    <m/>
    <n v="9"/>
  </r>
  <r>
    <x v="163"/>
    <x v="8"/>
    <d v="1899-12-30T11:00:00"/>
    <d v="1899-12-30T18:00:00"/>
    <n v="6.5"/>
    <n v="0.5"/>
    <m/>
    <n v="6.5"/>
    <x v="1"/>
    <x v="2"/>
    <m/>
    <m/>
    <n v="6.5"/>
  </r>
  <r>
    <x v="163"/>
    <x v="2"/>
    <d v="1899-12-30T14:00:00"/>
    <d v="1899-12-30T22:00:00"/>
    <n v="7.4999999999999982"/>
    <n v="0.5"/>
    <m/>
    <n v="7.4999999999999982"/>
    <x v="1"/>
    <x v="2"/>
    <m/>
    <m/>
    <n v="7.4999999999999982"/>
  </r>
  <r>
    <x v="164"/>
    <x v="0"/>
    <d v="1899-12-30T08:00:00"/>
    <d v="1899-12-30T14:00:00"/>
    <n v="5.5000000000000018"/>
    <n v="0.5"/>
    <m/>
    <m/>
    <x v="1"/>
    <x v="11"/>
    <m/>
    <m/>
    <n v="3.5000000000000018"/>
  </r>
  <r>
    <x v="164"/>
    <x v="6"/>
    <d v="1899-12-30T08:00:00"/>
    <d v="1899-12-30T16:30:00"/>
    <n v="8"/>
    <n v="0.5"/>
    <m/>
    <n v="10"/>
    <x v="1"/>
    <x v="2"/>
    <m/>
    <m/>
    <n v="10"/>
  </r>
  <r>
    <x v="165"/>
    <x v="0"/>
    <d v="1899-12-30T08:00:00"/>
    <d v="1899-12-30T14:00:00"/>
    <n v="5.5000000000000018"/>
    <n v="0.5"/>
    <m/>
    <m/>
    <x v="1"/>
    <x v="11"/>
    <m/>
    <m/>
    <n v="3.5000000000000018"/>
  </r>
  <r>
    <x v="165"/>
    <x v="6"/>
    <d v="1899-12-30T08:00:00"/>
    <d v="1899-12-30T16:30:00"/>
    <n v="8"/>
    <n v="0.5"/>
    <m/>
    <n v="10"/>
    <x v="1"/>
    <x v="2"/>
    <m/>
    <m/>
    <n v="10"/>
  </r>
  <r>
    <x v="166"/>
    <x v="0"/>
    <d v="1899-12-30T08:00:00"/>
    <d v="1899-12-30T14:00:00"/>
    <n v="5.5000000000000018"/>
    <n v="0.5"/>
    <m/>
    <m/>
    <x v="1"/>
    <x v="11"/>
    <m/>
    <m/>
    <n v="3.5000000000000018"/>
  </r>
  <r>
    <x v="166"/>
    <x v="6"/>
    <d v="1899-12-30T08:00:00"/>
    <d v="1899-12-30T16:30:00"/>
    <n v="8"/>
    <n v="0.5"/>
    <m/>
    <n v="10"/>
    <x v="1"/>
    <x v="2"/>
    <m/>
    <m/>
    <n v="10"/>
  </r>
  <r>
    <x v="166"/>
    <x v="1"/>
    <d v="1899-12-30T16:00:00"/>
    <d v="1899-12-30T21:30:00"/>
    <n v="5.5000000000000018"/>
    <m/>
    <m/>
    <n v="7.5000000000000018"/>
    <x v="1"/>
    <x v="2"/>
    <m/>
    <m/>
    <n v="7.5000000000000018"/>
  </r>
  <r>
    <x v="167"/>
    <x v="0"/>
    <d v="1899-12-30T08:00:00"/>
    <d v="1899-12-30T14:00:00"/>
    <n v="5.5000000000000018"/>
    <n v="0.5"/>
    <m/>
    <m/>
    <x v="1"/>
    <x v="11"/>
    <m/>
    <m/>
    <n v="3.5000000000000018"/>
  </r>
  <r>
    <x v="167"/>
    <x v="6"/>
    <d v="1899-12-30T12:00:00"/>
    <d v="1899-12-30T16:30:00"/>
    <n v="4.5"/>
    <m/>
    <m/>
    <n v="6.5"/>
    <x v="1"/>
    <x v="2"/>
    <m/>
    <m/>
    <n v="6.5"/>
  </r>
  <r>
    <x v="167"/>
    <x v="1"/>
    <d v="1899-12-30T18:00:00"/>
    <d v="1899-12-30T22:30:00"/>
    <n v="4.5"/>
    <m/>
    <m/>
    <n v="6.5"/>
    <x v="1"/>
    <x v="2"/>
    <m/>
    <m/>
    <n v="6.5"/>
  </r>
  <r>
    <x v="167"/>
    <x v="0"/>
    <d v="1899-12-30T18:00:00"/>
    <d v="1899-12-30T23:00:00"/>
    <n v="5.0000000000000009"/>
    <m/>
    <m/>
    <m/>
    <x v="1"/>
    <x v="4"/>
    <m/>
    <m/>
    <n v="3.0000000000000009"/>
  </r>
  <r>
    <x v="168"/>
    <x v="0"/>
    <d v="1899-12-30T08:00:00"/>
    <d v="1899-12-30T14:00:00"/>
    <n v="5.5000000000000018"/>
    <n v="0.5"/>
    <m/>
    <m/>
    <x v="1"/>
    <x v="11"/>
    <m/>
    <m/>
    <n v="3.5000000000000018"/>
  </r>
  <r>
    <x v="168"/>
    <x v="6"/>
    <d v="1899-12-30T12:00:00"/>
    <d v="1899-12-30T16:30:00"/>
    <n v="4.5"/>
    <m/>
    <m/>
    <n v="6.5"/>
    <x v="1"/>
    <x v="2"/>
    <m/>
    <m/>
    <n v="6.5"/>
  </r>
  <r>
    <x v="169"/>
    <x v="0"/>
    <d v="1899-12-30T08:00:00"/>
    <d v="1899-12-30T12:30:00"/>
    <n v="4.5000000000000018"/>
    <m/>
    <m/>
    <m/>
    <x v="1"/>
    <x v="12"/>
    <m/>
    <m/>
    <n v="2.5000000000000018"/>
  </r>
  <r>
    <x v="169"/>
    <x v="1"/>
    <d v="1899-12-30T08:00:00"/>
    <d v="1899-12-30T00:00:00"/>
    <n v="15"/>
    <n v="1"/>
    <m/>
    <n v="15"/>
    <x v="1"/>
    <x v="2"/>
    <m/>
    <m/>
    <n v="15"/>
  </r>
  <r>
    <x v="169"/>
    <x v="5"/>
    <d v="1899-12-30T08:30:00"/>
    <d v="1899-12-30T16:30:00"/>
    <n v="7.5"/>
    <n v="0.5"/>
    <m/>
    <n v="7.5"/>
    <x v="1"/>
    <x v="2"/>
    <m/>
    <m/>
    <n v="7.5"/>
  </r>
  <r>
    <x v="169"/>
    <x v="3"/>
    <d v="1899-12-30T13:00:00"/>
    <d v="1899-12-30T20:00:00"/>
    <n v="6.5000000000000018"/>
    <n v="0.5"/>
    <m/>
    <n v="6.5000000000000018"/>
    <x v="1"/>
    <x v="2"/>
    <m/>
    <m/>
    <n v="6.5000000000000018"/>
  </r>
  <r>
    <x v="169"/>
    <x v="8"/>
    <d v="1899-12-30T11:00:00"/>
    <d v="1899-12-30T20:00:00"/>
    <n v="8.0000000000000018"/>
    <n v="1"/>
    <m/>
    <n v="8.0000000000000018"/>
    <x v="1"/>
    <x v="2"/>
    <m/>
    <m/>
    <n v="8.0000000000000018"/>
  </r>
  <r>
    <x v="170"/>
    <x v="0"/>
    <d v="1899-12-30T08:00:00"/>
    <d v="1899-12-30T14:00:00"/>
    <n v="5.5000000000000018"/>
    <n v="0.5"/>
    <n v="5521"/>
    <m/>
    <x v="1"/>
    <x v="11"/>
    <m/>
    <m/>
    <n v="3.5000000000000018"/>
  </r>
  <r>
    <x v="171"/>
    <x v="0"/>
    <d v="1899-12-30T08:00:00"/>
    <d v="1899-12-30T14:00:00"/>
    <n v="5.5000000000000018"/>
    <n v="0.5"/>
    <m/>
    <m/>
    <x v="1"/>
    <x v="11"/>
    <m/>
    <m/>
    <n v="3.5000000000000018"/>
  </r>
  <r>
    <x v="172"/>
    <x v="1"/>
    <d v="1899-12-30T16:00:00"/>
    <d v="1899-12-30T21:30:00"/>
    <n v="5.0000000000000018"/>
    <n v="0.5"/>
    <m/>
    <n v="7.0000000000000018"/>
    <x v="1"/>
    <x v="2"/>
    <m/>
    <m/>
    <n v="7.0000000000000018"/>
  </r>
  <r>
    <x v="172"/>
    <x v="0"/>
    <d v="1899-12-30T08:00:00"/>
    <d v="1899-12-30T14:00:00"/>
    <n v="5.5000000000000018"/>
    <n v="0.5"/>
    <m/>
    <m/>
    <x v="1"/>
    <x v="11"/>
    <m/>
    <m/>
    <n v="3.5000000000000018"/>
  </r>
  <r>
    <x v="173"/>
    <x v="0"/>
    <d v="1899-12-30T08:00:00"/>
    <d v="1899-12-30T14:00:00"/>
    <n v="5.5000000000000018"/>
    <n v="0.5"/>
    <m/>
    <m/>
    <x v="1"/>
    <x v="11"/>
    <m/>
    <m/>
    <n v="3.5000000000000018"/>
  </r>
  <r>
    <x v="174"/>
    <x v="2"/>
    <d v="1899-12-30T13:00:00"/>
    <d v="1899-12-30T18:00:00"/>
    <n v="5.0000000000000009"/>
    <m/>
    <m/>
    <n v="5.0000000000000009"/>
    <x v="1"/>
    <x v="2"/>
    <m/>
    <m/>
    <n v="5.0000000000000009"/>
  </r>
  <r>
    <x v="174"/>
    <x v="1"/>
    <d v="1899-12-30T07:45:00"/>
    <d v="1899-12-30T13:00:00"/>
    <n v="4.7499999999999982"/>
    <n v="0.5"/>
    <m/>
    <n v="4.7499999999999982"/>
    <x v="1"/>
    <x v="2"/>
    <m/>
    <m/>
    <n v="4.7499999999999982"/>
  </r>
  <r>
    <x v="174"/>
    <x v="0"/>
    <d v="1899-12-30T08:00:00"/>
    <d v="1899-12-30T13:00:00"/>
    <n v="5"/>
    <m/>
    <m/>
    <m/>
    <x v="1"/>
    <x v="14"/>
    <m/>
    <m/>
    <n v="3"/>
  </r>
  <r>
    <x v="174"/>
    <x v="2"/>
    <d v="1899-12-30T18:00:00"/>
    <d v="1899-12-30T22:30:00"/>
    <n v="4.5"/>
    <m/>
    <m/>
    <n v="4.5"/>
    <x v="1"/>
    <x v="2"/>
    <m/>
    <m/>
    <n v="4.5"/>
  </r>
  <r>
    <x v="174"/>
    <x v="3"/>
    <d v="1899-12-30T17:30:00"/>
    <d v="1899-12-30T23:30:00"/>
    <n v="5.5"/>
    <n v="0.5"/>
    <m/>
    <n v="5.5"/>
    <x v="1"/>
    <x v="2"/>
    <m/>
    <m/>
    <n v="5.5"/>
  </r>
  <r>
    <x v="175"/>
    <x v="3"/>
    <d v="1899-12-30T12:00:00"/>
    <d v="1899-12-30T18:00:00"/>
    <n v="5.5"/>
    <n v="0.5"/>
    <m/>
    <n v="5.5"/>
    <x v="1"/>
    <x v="2"/>
    <m/>
    <m/>
    <n v="5.5"/>
  </r>
  <r>
    <x v="176"/>
    <x v="0"/>
    <d v="1899-12-30T08:00:00"/>
    <d v="1899-12-30T14:00:00"/>
    <n v="5.5000000000000018"/>
    <n v="0.5"/>
    <m/>
    <m/>
    <x v="1"/>
    <x v="11"/>
    <m/>
    <m/>
    <n v="3.5000000000000018"/>
  </r>
  <r>
    <x v="176"/>
    <x v="1"/>
    <d v="1899-12-30T08:00:00"/>
    <d v="1899-12-30T12:00:00"/>
    <n v="4"/>
    <m/>
    <m/>
    <n v="6"/>
    <x v="1"/>
    <x v="2"/>
    <m/>
    <m/>
    <n v="6"/>
  </r>
  <r>
    <x v="176"/>
    <x v="6"/>
    <d v="1899-12-30T08:00:00"/>
    <d v="1899-12-30T16:30:00"/>
    <n v="8"/>
    <n v="0.5"/>
    <m/>
    <n v="10"/>
    <x v="1"/>
    <x v="2"/>
    <m/>
    <m/>
    <n v="10"/>
  </r>
  <r>
    <x v="177"/>
    <x v="0"/>
    <d v="1899-12-30T08:00:00"/>
    <d v="1899-12-30T14:00:00"/>
    <n v="5.5000000000000018"/>
    <n v="0.5"/>
    <m/>
    <m/>
    <x v="1"/>
    <x v="11"/>
    <m/>
    <m/>
    <n v="3.5000000000000018"/>
  </r>
  <r>
    <x v="178"/>
    <x v="1"/>
    <d v="1899-12-30T16:00:00"/>
    <d v="1899-12-30T21:30:00"/>
    <n v="5.0000000000000018"/>
    <n v="0.5"/>
    <m/>
    <n v="7.0000000000000018"/>
    <x v="1"/>
    <x v="2"/>
    <m/>
    <m/>
    <n v="7.0000000000000018"/>
  </r>
  <r>
    <x v="178"/>
    <x v="0"/>
    <d v="1899-12-30T08:00:00"/>
    <d v="1899-12-30T14:00:00"/>
    <n v="5.5000000000000018"/>
    <n v="0.5"/>
    <m/>
    <m/>
    <x v="1"/>
    <x v="11"/>
    <m/>
    <m/>
    <n v="3.5000000000000018"/>
  </r>
  <r>
    <x v="179"/>
    <x v="0"/>
    <d v="1899-12-30T08:00:00"/>
    <d v="1899-12-30T14:00:00"/>
    <n v="5.5000000000000018"/>
    <n v="0.5"/>
    <m/>
    <m/>
    <x v="1"/>
    <x v="11"/>
    <m/>
    <m/>
    <n v="3.5000000000000018"/>
  </r>
  <r>
    <x v="179"/>
    <x v="0"/>
    <d v="1899-12-30T18:00:00"/>
    <d v="1899-12-30T23:00:00"/>
    <n v="5.0000000000000009"/>
    <m/>
    <m/>
    <m/>
    <x v="1"/>
    <x v="4"/>
    <m/>
    <m/>
    <n v="3.0000000000000009"/>
  </r>
  <r>
    <x v="180"/>
    <x v="0"/>
    <d v="1899-12-30T08:00:00"/>
    <d v="1899-12-30T14:00:00"/>
    <n v="5.5000000000000018"/>
    <n v="0.5"/>
    <m/>
    <m/>
    <x v="1"/>
    <x v="11"/>
    <m/>
    <m/>
    <n v="3.5000000000000018"/>
  </r>
  <r>
    <x v="181"/>
    <x v="5"/>
    <d v="1899-12-30T13:00:00"/>
    <d v="1899-12-30T21:00:00"/>
    <n v="7.5"/>
    <n v="0.5"/>
    <m/>
    <n v="7.5"/>
    <x v="1"/>
    <x v="2"/>
    <m/>
    <m/>
    <n v="7.5"/>
  </r>
  <r>
    <x v="181"/>
    <x v="1"/>
    <d v="1899-12-30T07:45:00"/>
    <d v="1899-12-30T15:30:00"/>
    <n v="7.25"/>
    <n v="0.5"/>
    <m/>
    <n v="7.25"/>
    <x v="1"/>
    <x v="2"/>
    <m/>
    <m/>
    <n v="7.25"/>
  </r>
  <r>
    <x v="181"/>
    <x v="0"/>
    <d v="1899-12-30T08:00:00"/>
    <d v="1899-12-30T13:00:00"/>
    <n v="5"/>
    <m/>
    <m/>
    <m/>
    <x v="1"/>
    <x v="14"/>
    <m/>
    <m/>
    <n v="3"/>
  </r>
  <r>
    <x v="181"/>
    <x v="2"/>
    <d v="1899-12-30T15:00:00"/>
    <d v="1899-12-30T19:00:00"/>
    <n v="3.9999999999999991"/>
    <m/>
    <m/>
    <n v="3.9999999999999991"/>
    <x v="1"/>
    <x v="2"/>
    <m/>
    <m/>
    <n v="3.9999999999999991"/>
  </r>
  <r>
    <x v="181"/>
    <x v="2"/>
    <d v="1899-12-30T19:00:00"/>
    <d v="1899-12-30T00:00:00"/>
    <n v="5.0000000000000009"/>
    <m/>
    <m/>
    <n v="5.0000000000000009"/>
    <x v="1"/>
    <x v="2"/>
    <m/>
    <m/>
    <n v="5.0000000000000009"/>
  </r>
  <r>
    <x v="181"/>
    <x v="8"/>
    <d v="1899-12-30T15:00:00"/>
    <d v="1899-12-30T22:00:00"/>
    <n v="6.4999999999999991"/>
    <n v="0.5"/>
    <m/>
    <n v="6.4999999999999991"/>
    <x v="1"/>
    <x v="2"/>
    <m/>
    <m/>
    <n v="6.4999999999999991"/>
  </r>
  <r>
    <x v="181"/>
    <x v="3"/>
    <d v="1899-12-30T13:00:00"/>
    <d v="1899-12-30T21:00:00"/>
    <n v="7.5"/>
    <n v="0.5"/>
    <m/>
    <n v="7.5"/>
    <x v="1"/>
    <x v="2"/>
    <m/>
    <m/>
    <n v="7.5"/>
  </r>
  <r>
    <x v="182"/>
    <x v="2"/>
    <d v="1899-12-30T07:00:00"/>
    <d v="1899-12-30T11:00:00"/>
    <n v="3.9999999999999991"/>
    <m/>
    <m/>
    <n v="3.9999999999999991"/>
    <x v="1"/>
    <x v="2"/>
    <m/>
    <m/>
    <n v="3.9999999999999991"/>
  </r>
  <r>
    <x v="182"/>
    <x v="2"/>
    <d v="1899-12-30T11:00:00"/>
    <d v="1899-12-30T18:00:00"/>
    <n v="6.5"/>
    <n v="0.5"/>
    <m/>
    <n v="6.5"/>
    <x v="1"/>
    <x v="2"/>
    <m/>
    <m/>
    <n v="6.5"/>
  </r>
  <r>
    <x v="182"/>
    <x v="8"/>
    <d v="1899-12-30T07:00:00"/>
    <d v="1899-12-30T16:00:00"/>
    <n v="7.9999999999999982"/>
    <n v="1"/>
    <m/>
    <n v="7.9999999999999982"/>
    <x v="1"/>
    <x v="2"/>
    <m/>
    <m/>
    <n v="7.9999999999999982"/>
  </r>
  <r>
    <x v="183"/>
    <x v="0"/>
    <d v="1899-12-30T08:00:00"/>
    <d v="1899-12-30T14:00:00"/>
    <n v="5.5000000000000018"/>
    <n v="0.5"/>
    <m/>
    <m/>
    <x v="1"/>
    <x v="11"/>
    <m/>
    <m/>
    <n v="3.5000000000000018"/>
  </r>
  <r>
    <x v="184"/>
    <x v="3"/>
    <d v="1899-12-30T17:00:00"/>
    <d v="1899-12-30T22:00:00"/>
    <n v="4.9999999999999982"/>
    <m/>
    <m/>
    <n v="6.9999999999999982"/>
    <x v="1"/>
    <x v="2"/>
    <m/>
    <m/>
    <n v="6.9999999999999982"/>
  </r>
  <r>
    <x v="184"/>
    <x v="0"/>
    <d v="1899-12-30T08:00:00"/>
    <d v="1899-12-30T14:00:00"/>
    <n v="5.5000000000000018"/>
    <n v="0.5"/>
    <m/>
    <m/>
    <x v="1"/>
    <x v="11"/>
    <m/>
    <m/>
    <n v="3.5000000000000018"/>
  </r>
  <r>
    <x v="185"/>
    <x v="0"/>
    <d v="1899-12-30T08:00:00"/>
    <d v="1899-12-30T14:00:00"/>
    <n v="5.5000000000000018"/>
    <n v="0.5"/>
    <m/>
    <m/>
    <x v="1"/>
    <x v="11"/>
    <m/>
    <m/>
    <n v="3.5000000000000018"/>
  </r>
  <r>
    <x v="185"/>
    <x v="3"/>
    <d v="1899-12-30T17:00:00"/>
    <d v="1899-12-30T21:00:00"/>
    <n v="3.9999999999999991"/>
    <m/>
    <m/>
    <n v="5.9999999999999991"/>
    <x v="1"/>
    <x v="2"/>
    <m/>
    <m/>
    <n v="5.9999999999999991"/>
  </r>
  <r>
    <x v="185"/>
    <x v="1"/>
    <d v="1899-12-30T16:00:00"/>
    <d v="1899-12-30T21:30:00"/>
    <n v="5.0000000000000018"/>
    <n v="0.5"/>
    <m/>
    <n v="7.0000000000000018"/>
    <x v="1"/>
    <x v="2"/>
    <m/>
    <m/>
    <n v="7.0000000000000018"/>
  </r>
  <r>
    <x v="186"/>
    <x v="0"/>
    <d v="1899-12-30T18:00:00"/>
    <d v="1899-12-30T23:00:00"/>
    <n v="5.0000000000000009"/>
    <m/>
    <m/>
    <m/>
    <x v="1"/>
    <x v="4"/>
    <m/>
    <m/>
    <n v="3.0000000000000009"/>
  </r>
  <r>
    <x v="186"/>
    <x v="0"/>
    <d v="1899-12-30T08:00:00"/>
    <d v="1899-12-30T14:00:00"/>
    <n v="5.5000000000000018"/>
    <n v="0.5"/>
    <m/>
    <m/>
    <x v="1"/>
    <x v="11"/>
    <m/>
    <m/>
    <n v="3.5000000000000018"/>
  </r>
  <r>
    <x v="187"/>
    <x v="0"/>
    <d v="1899-12-30T08:00:00"/>
    <d v="1899-12-30T14:00:00"/>
    <n v="5.5000000000000018"/>
    <n v="0.5"/>
    <m/>
    <m/>
    <x v="1"/>
    <x v="11"/>
    <m/>
    <m/>
    <n v="3.5000000000000018"/>
  </r>
  <r>
    <x v="187"/>
    <x v="3"/>
    <d v="1899-12-30T16:00:00"/>
    <d v="1899-12-30T23:00:00"/>
    <n v="6.5000000000000018"/>
    <n v="0.5"/>
    <m/>
    <n v="8.5000000000000018"/>
    <x v="1"/>
    <x v="2"/>
    <m/>
    <m/>
    <n v="8.5000000000000018"/>
  </r>
  <r>
    <x v="188"/>
    <x v="1"/>
    <d v="1899-12-30T06:45:00"/>
    <d v="1899-12-30T14:30:00"/>
    <n v="7.2499999999999991"/>
    <n v="0.5"/>
    <m/>
    <n v="7.2499999999999991"/>
    <x v="1"/>
    <x v="2"/>
    <m/>
    <m/>
    <n v="7.2499999999999991"/>
  </r>
  <r>
    <x v="188"/>
    <x v="0"/>
    <d v="1899-12-30T08:00:00"/>
    <d v="1899-12-30T13:00:00"/>
    <n v="5"/>
    <m/>
    <m/>
    <m/>
    <x v="1"/>
    <x v="14"/>
    <m/>
    <m/>
    <n v="3"/>
  </r>
  <r>
    <x v="188"/>
    <x v="2"/>
    <d v="1899-12-30T14:30:00"/>
    <d v="1899-12-30T23:30:00"/>
    <n v="8"/>
    <n v="1"/>
    <m/>
    <n v="8"/>
    <x v="1"/>
    <x v="2"/>
    <m/>
    <m/>
    <n v="8"/>
  </r>
  <r>
    <x v="188"/>
    <x v="3"/>
    <d v="1899-12-30T15:00:00"/>
    <d v="1899-12-30T23:00:00"/>
    <n v="7.5"/>
    <n v="0.5"/>
    <m/>
    <n v="7.5"/>
    <x v="1"/>
    <x v="2"/>
    <m/>
    <m/>
    <n v="7.5"/>
  </r>
  <r>
    <x v="188"/>
    <x v="8"/>
    <d v="1899-12-30T11:00:00"/>
    <d v="1899-12-30T19:00:00"/>
    <n v="7.5"/>
    <n v="0.5"/>
    <m/>
    <n v="7.5"/>
    <x v="1"/>
    <x v="2"/>
    <m/>
    <m/>
    <n v="7.5"/>
  </r>
  <r>
    <x v="189"/>
    <x v="2"/>
    <d v="1899-12-30T16:00:00"/>
    <d v="1899-12-30T21:00:00"/>
    <n v="5.0000000000000009"/>
    <m/>
    <m/>
    <n v="5.0000000000000009"/>
    <x v="1"/>
    <x v="2"/>
    <m/>
    <m/>
    <n v="5.0000000000000009"/>
  </r>
  <r>
    <x v="189"/>
    <x v="2"/>
    <d v="1899-12-30T08:00:00"/>
    <d v="1899-12-30T16:00:00"/>
    <n v="7.5"/>
    <n v="0.5"/>
    <m/>
    <n v="7.5"/>
    <x v="1"/>
    <x v="2"/>
    <m/>
    <m/>
    <n v="7.5"/>
  </r>
  <r>
    <x v="189"/>
    <x v="3"/>
    <d v="1899-12-30T08:30:00"/>
    <d v="1899-12-30T15:00:00"/>
    <n v="6"/>
    <n v="0.5"/>
    <m/>
    <n v="6"/>
    <x v="1"/>
    <x v="2"/>
    <m/>
    <m/>
    <n v="6"/>
  </r>
  <r>
    <x v="190"/>
    <x v="0"/>
    <d v="1899-12-30T08:00:00"/>
    <d v="1899-12-30T14:00:00"/>
    <n v="5.5000000000000018"/>
    <n v="0.5"/>
    <m/>
    <m/>
    <x v="1"/>
    <x v="11"/>
    <m/>
    <m/>
    <n v="3.5000000000000018"/>
  </r>
  <r>
    <x v="191"/>
    <x v="0"/>
    <d v="1899-12-30T08:00:00"/>
    <d v="1899-12-30T14:00:00"/>
    <n v="5.5000000000000018"/>
    <n v="0.5"/>
    <m/>
    <m/>
    <x v="1"/>
    <x v="11"/>
    <m/>
    <m/>
    <n v="3.5000000000000018"/>
  </r>
  <r>
    <x v="192"/>
    <x v="0"/>
    <d v="1899-12-30T08:00:00"/>
    <d v="1899-12-30T14:00:00"/>
    <n v="5.5000000000000018"/>
    <n v="0.5"/>
    <m/>
    <m/>
    <x v="1"/>
    <x v="11"/>
    <m/>
    <m/>
    <n v="3.5000000000000018"/>
  </r>
  <r>
    <x v="192"/>
    <x v="1"/>
    <d v="1899-12-30T16:00:00"/>
    <d v="1899-12-30T22:30:00"/>
    <n v="6.0000000000000009"/>
    <n v="0.5"/>
    <m/>
    <n v="8"/>
    <x v="1"/>
    <x v="2"/>
    <m/>
    <m/>
    <n v="8"/>
  </r>
  <r>
    <x v="193"/>
    <x v="0"/>
    <d v="1899-12-30T08:00:00"/>
    <d v="1899-12-30T14:00:00"/>
    <n v="5.5000000000000018"/>
    <n v="0.5"/>
    <m/>
    <m/>
    <x v="1"/>
    <x v="11"/>
    <m/>
    <m/>
    <n v="3.5000000000000018"/>
  </r>
  <r>
    <x v="193"/>
    <x v="0"/>
    <d v="1899-12-30T18:00:00"/>
    <d v="1899-12-30T23:00:00"/>
    <n v="5.0000000000000009"/>
    <m/>
    <m/>
    <m/>
    <x v="1"/>
    <x v="4"/>
    <m/>
    <m/>
    <n v="3.0000000000000009"/>
  </r>
  <r>
    <x v="194"/>
    <x v="0"/>
    <d v="1899-12-30T08:00:00"/>
    <d v="1899-12-30T14:00:00"/>
    <n v="5.5000000000000018"/>
    <n v="0.5"/>
    <m/>
    <m/>
    <x v="1"/>
    <x v="11"/>
    <m/>
    <m/>
    <n v="3.5000000000000018"/>
  </r>
  <r>
    <x v="195"/>
    <x v="1"/>
    <d v="1899-12-30T07:00:00"/>
    <d v="1899-12-30T15:30:00"/>
    <n v="8"/>
    <n v="0.5"/>
    <m/>
    <n v="8"/>
    <x v="1"/>
    <x v="2"/>
    <m/>
    <m/>
    <n v="8"/>
  </r>
  <r>
    <x v="195"/>
    <x v="0"/>
    <d v="1899-12-30T08:00:00"/>
    <d v="1899-12-30T13:00:00"/>
    <n v="5"/>
    <m/>
    <m/>
    <m/>
    <x v="1"/>
    <x v="14"/>
    <m/>
    <m/>
    <n v="3"/>
  </r>
  <r>
    <x v="195"/>
    <x v="8"/>
    <d v="1899-12-30T13:00:00"/>
    <d v="1899-12-30T18:00:00"/>
    <n v="4.5000000000000009"/>
    <n v="0.5"/>
    <m/>
    <n v="4.5000000000000009"/>
    <x v="1"/>
    <x v="2"/>
    <m/>
    <m/>
    <n v="4.5000000000000009"/>
  </r>
  <r>
    <x v="195"/>
    <x v="3"/>
    <d v="1899-12-30T15:30:00"/>
    <d v="1899-12-30T21:30:00"/>
    <n v="5.5"/>
    <n v="0.5"/>
    <m/>
    <n v="5.5"/>
    <x v="1"/>
    <x v="2"/>
    <m/>
    <m/>
    <n v="5.5"/>
  </r>
  <r>
    <x v="196"/>
    <x v="2"/>
    <d v="1899-12-30T10:00:00"/>
    <d v="1899-12-30T15:00:00"/>
    <n v="5"/>
    <m/>
    <m/>
    <n v="5"/>
    <x v="1"/>
    <x v="2"/>
    <m/>
    <m/>
    <n v="5"/>
  </r>
  <r>
    <x v="197"/>
    <x v="3"/>
    <d v="1899-12-30T16:30:00"/>
    <d v="1899-12-30T21:30:00"/>
    <n v="5.0000000000000009"/>
    <m/>
    <m/>
    <n v="7.0000000000000009"/>
    <x v="1"/>
    <x v="2"/>
    <m/>
    <m/>
    <n v="7.0000000000000009"/>
  </r>
  <r>
    <x v="197"/>
    <x v="0"/>
    <d v="1899-12-30T08:00:00"/>
    <d v="1899-12-30T14:00:00"/>
    <n v="5.5000000000000018"/>
    <n v="0.5"/>
    <m/>
    <m/>
    <x v="1"/>
    <x v="11"/>
    <m/>
    <m/>
    <n v="3.5000000000000018"/>
  </r>
  <r>
    <x v="198"/>
    <x v="0"/>
    <d v="1899-12-30T08:00:00"/>
    <d v="1899-12-30T14:00:00"/>
    <n v="5.5000000000000018"/>
    <n v="0.5"/>
    <m/>
    <m/>
    <x v="1"/>
    <x v="11"/>
    <m/>
    <m/>
    <n v="3.5000000000000018"/>
  </r>
  <r>
    <x v="199"/>
    <x v="0"/>
    <d v="1899-12-30T08:00:00"/>
    <d v="1899-12-30T14:00:00"/>
    <n v="5.5000000000000018"/>
    <n v="0.5"/>
    <m/>
    <m/>
    <x v="1"/>
    <x v="11"/>
    <m/>
    <m/>
    <n v="3.5000000000000018"/>
  </r>
  <r>
    <x v="199"/>
    <x v="0"/>
    <d v="1899-12-30T16:00:00"/>
    <d v="1899-12-30T22:00:00"/>
    <n v="5.5"/>
    <n v="0.5"/>
    <m/>
    <m/>
    <x v="1"/>
    <x v="13"/>
    <m/>
    <m/>
    <n v="3.5"/>
  </r>
  <r>
    <x v="200"/>
    <x v="0"/>
    <d v="1899-12-30T08:00:00"/>
    <d v="1899-12-30T14:00:00"/>
    <n v="5.5000000000000018"/>
    <n v="0.5"/>
    <n v="5521"/>
    <m/>
    <x v="1"/>
    <x v="11"/>
    <m/>
    <m/>
    <n v="3.5000000000000018"/>
  </r>
  <r>
    <x v="200"/>
    <x v="0"/>
    <d v="1899-12-30T18:00:00"/>
    <d v="1899-12-30T23:00:00"/>
    <n v="5.0000000000000009"/>
    <m/>
    <m/>
    <m/>
    <x v="1"/>
    <x v="4"/>
    <m/>
    <m/>
    <n v="3.0000000000000009"/>
  </r>
  <r>
    <x v="201"/>
    <x v="0"/>
    <d v="1899-12-30T08:00:00"/>
    <d v="1899-12-30T14:00:00"/>
    <n v="5.5000000000000018"/>
    <n v="0.5"/>
    <m/>
    <m/>
    <x v="1"/>
    <x v="11"/>
    <m/>
    <m/>
    <n v="3.5000000000000018"/>
  </r>
  <r>
    <x v="202"/>
    <x v="1"/>
    <d v="1899-12-30T07:30:00"/>
    <d v="1899-12-30T10:00:00"/>
    <n v="2.5000000000000004"/>
    <m/>
    <m/>
    <n v="2.5000000000000004"/>
    <x v="1"/>
    <x v="2"/>
    <m/>
    <m/>
    <n v="2.5000000000000004"/>
  </r>
  <r>
    <x v="202"/>
    <x v="0"/>
    <d v="1899-12-30T08:00:00"/>
    <d v="1899-12-30T13:00:00"/>
    <n v="5"/>
    <m/>
    <m/>
    <m/>
    <x v="1"/>
    <x v="14"/>
    <m/>
    <m/>
    <n v="3"/>
  </r>
  <r>
    <x v="202"/>
    <x v="8"/>
    <d v="1899-12-30T15:00:00"/>
    <d v="1899-12-30T20:00:00"/>
    <n v="5.0000000000000009"/>
    <m/>
    <m/>
    <n v="5.0000000000000009"/>
    <x v="1"/>
    <x v="2"/>
    <m/>
    <m/>
    <n v="5.0000000000000009"/>
  </r>
  <r>
    <x v="203"/>
    <x v="1"/>
    <d v="1899-12-30T09:00:00"/>
    <d v="1899-12-30T15:00:00"/>
    <n v="5.5"/>
    <n v="0.5"/>
    <m/>
    <n v="7.5"/>
    <x v="1"/>
    <x v="2"/>
    <m/>
    <m/>
    <n v="7.5"/>
  </r>
  <r>
    <x v="203"/>
    <x v="0"/>
    <d v="1899-12-30T08:00:00"/>
    <d v="1899-12-30T14:00:00"/>
    <n v="5.5000000000000018"/>
    <n v="0.5"/>
    <m/>
    <m/>
    <x v="1"/>
    <x v="11"/>
    <m/>
    <m/>
    <n v="3.5000000000000018"/>
  </r>
  <r>
    <x v="204"/>
    <x v="0"/>
    <d v="1899-12-30T08:00:00"/>
    <d v="1899-12-30T14:00:00"/>
    <n v="5.5000000000000018"/>
    <n v="0.5"/>
    <m/>
    <m/>
    <x v="1"/>
    <x v="11"/>
    <m/>
    <m/>
    <n v="3.5000000000000018"/>
  </r>
  <r>
    <x v="205"/>
    <x v="0"/>
    <d v="1899-12-30T08:00:00"/>
    <d v="1899-12-30T14:00:00"/>
    <n v="5.5000000000000018"/>
    <n v="0.5"/>
    <m/>
    <m/>
    <x v="1"/>
    <x v="11"/>
    <m/>
    <m/>
    <n v="3.5000000000000018"/>
  </r>
  <r>
    <x v="205"/>
    <x v="1"/>
    <d v="1899-12-30T18:00:00"/>
    <d v="1899-12-30T22:00:00"/>
    <n v="3.9999999999999991"/>
    <m/>
    <m/>
    <n v="5.9999999999999991"/>
    <x v="1"/>
    <x v="2"/>
    <m/>
    <m/>
    <n v="5.9999999999999991"/>
  </r>
  <r>
    <x v="205"/>
    <x v="0"/>
    <d v="1899-12-30T16:00:00"/>
    <d v="1899-12-30T21:00:00"/>
    <n v="5.0000000000000009"/>
    <m/>
    <m/>
    <m/>
    <x v="1"/>
    <x v="4"/>
    <m/>
    <m/>
    <n v="3.0000000000000009"/>
  </r>
  <r>
    <x v="206"/>
    <x v="0"/>
    <d v="1899-12-30T08:00:00"/>
    <d v="1899-12-30T14:00:00"/>
    <n v="5.5000000000000018"/>
    <n v="0.5"/>
    <m/>
    <m/>
    <x v="1"/>
    <x v="11"/>
    <m/>
    <m/>
    <n v="3.5000000000000018"/>
  </r>
  <r>
    <x v="206"/>
    <x v="2"/>
    <d v="1899-12-30T16:00:00"/>
    <d v="1899-12-30T22:00:00"/>
    <n v="5.5"/>
    <n v="0.5"/>
    <m/>
    <n v="7.5"/>
    <x v="1"/>
    <x v="2"/>
    <m/>
    <m/>
    <n v="7.5"/>
  </r>
  <r>
    <x v="207"/>
    <x v="0"/>
    <d v="1899-12-30T09:00:00"/>
    <d v="1899-12-30T14:00:00"/>
    <n v="5.0000000000000009"/>
    <m/>
    <m/>
    <m/>
    <x v="1"/>
    <x v="4"/>
    <m/>
    <m/>
    <n v="3.0000000000000009"/>
  </r>
  <r>
    <x v="207"/>
    <x v="2"/>
    <d v="1899-12-30T16:00:00"/>
    <d v="1899-12-30T23:00:00"/>
    <n v="6.5000000000000018"/>
    <n v="0.5"/>
    <m/>
    <n v="8.5000000000000018"/>
    <x v="1"/>
    <x v="2"/>
    <m/>
    <m/>
    <n v="8.5000000000000018"/>
  </r>
  <r>
    <x v="208"/>
    <x v="0"/>
    <d v="1899-12-30T08:00:00"/>
    <d v="1899-12-30T13:00:00"/>
    <n v="5"/>
    <m/>
    <m/>
    <m/>
    <x v="1"/>
    <x v="14"/>
    <m/>
    <m/>
    <n v="3"/>
  </r>
  <r>
    <x v="208"/>
    <x v="3"/>
    <d v="1899-12-30T18:30:00"/>
    <d v="1899-12-30T01:00:00"/>
    <n v="5.9999999999999982"/>
    <n v="0.5"/>
    <m/>
    <n v="5.9999999999999982"/>
    <x v="1"/>
    <x v="2"/>
    <m/>
    <m/>
    <n v="5.9999999999999982"/>
  </r>
  <r>
    <x v="208"/>
    <x v="1"/>
    <d v="1899-12-30T06:30:00"/>
    <d v="1899-12-30T12:30:00"/>
    <n v="5.5000000000000018"/>
    <n v="0.5"/>
    <m/>
    <n v="5.5000000000000018"/>
    <x v="1"/>
    <x v="2"/>
    <m/>
    <m/>
    <n v="5.5000000000000018"/>
  </r>
  <r>
    <x v="208"/>
    <x v="8"/>
    <d v="1899-12-30T11:30:00"/>
    <d v="1899-12-30T18:30:00"/>
    <n v="6.5"/>
    <n v="0.5"/>
    <m/>
    <n v="6.5"/>
    <x v="1"/>
    <x v="2"/>
    <m/>
    <m/>
    <n v="6.5"/>
  </r>
  <r>
    <x v="208"/>
    <x v="3"/>
    <d v="1899-12-30T13:00:00"/>
    <d v="1899-12-30T18:30:00"/>
    <n v="5.0000000000000018"/>
    <n v="0.5"/>
    <m/>
    <n v="5.0000000000000018"/>
    <x v="1"/>
    <x v="2"/>
    <m/>
    <m/>
    <n v="5.0000000000000018"/>
  </r>
  <r>
    <x v="209"/>
    <x v="0"/>
    <d v="1899-12-30T08:00:00"/>
    <d v="1899-12-30T14:00:00"/>
    <n v="5.5000000000000018"/>
    <n v="0.5"/>
    <m/>
    <m/>
    <x v="1"/>
    <x v="11"/>
    <m/>
    <m/>
    <n v="3.5000000000000018"/>
  </r>
  <r>
    <x v="210"/>
    <x v="0"/>
    <d v="1899-12-30T08:00:00"/>
    <d v="1899-12-30T14:00:00"/>
    <n v="5.5000000000000018"/>
    <n v="0.5"/>
    <m/>
    <m/>
    <x v="1"/>
    <x v="11"/>
    <m/>
    <m/>
    <n v="3.5000000000000018"/>
  </r>
  <r>
    <x v="211"/>
    <x v="0"/>
    <d v="1899-12-30T08:00:00"/>
    <d v="1899-12-30T14:00:00"/>
    <n v="5.5000000000000018"/>
    <n v="0.5"/>
    <m/>
    <m/>
    <x v="1"/>
    <x v="11"/>
    <m/>
    <m/>
    <n v="3.5000000000000018"/>
  </r>
  <r>
    <x v="211"/>
    <x v="1"/>
    <d v="1899-12-30T16:00:00"/>
    <d v="1899-12-30T21:30:00"/>
    <n v="5.0000000000000018"/>
    <n v="0.5"/>
    <m/>
    <n v="7.0000000000000018"/>
    <x v="1"/>
    <x v="2"/>
    <m/>
    <m/>
    <n v="7.0000000000000018"/>
  </r>
  <r>
    <x v="212"/>
    <x v="0"/>
    <d v="1899-12-30T18:30:00"/>
    <d v="1899-12-30T23:00:00"/>
    <n v="4.5"/>
    <m/>
    <m/>
    <m/>
    <x v="1"/>
    <x v="1"/>
    <m/>
    <m/>
    <n v="2.5"/>
  </r>
  <r>
    <x v="212"/>
    <x v="0"/>
    <d v="1899-12-30T08:00:00"/>
    <d v="1899-12-30T14:00:00"/>
    <n v="5.5000000000000018"/>
    <n v="0.5"/>
    <m/>
    <m/>
    <x v="1"/>
    <x v="11"/>
    <m/>
    <m/>
    <n v="3.5000000000000018"/>
  </r>
  <r>
    <x v="213"/>
    <x v="2"/>
    <d v="1899-12-30T16:30:00"/>
    <d v="1899-12-30T23:00:00"/>
    <n v="6.0000000000000009"/>
    <n v="0.5"/>
    <m/>
    <n v="8"/>
    <x v="1"/>
    <x v="2"/>
    <m/>
    <m/>
    <n v="8"/>
  </r>
  <r>
    <x v="213"/>
    <x v="7"/>
    <d v="1899-12-30T08:00:00"/>
    <d v="1899-12-30T16:00:00"/>
    <n v="7.5"/>
    <n v="0.5"/>
    <m/>
    <n v="9.5"/>
    <x v="1"/>
    <x v="2"/>
    <m/>
    <m/>
    <n v="9.5"/>
  </r>
  <r>
    <x v="213"/>
    <x v="0"/>
    <d v="1899-12-30T08:00:00"/>
    <d v="1899-12-30T14:00:00"/>
    <n v="5.5000000000000018"/>
    <n v="0.5"/>
    <m/>
    <m/>
    <x v="1"/>
    <x v="11"/>
    <m/>
    <m/>
    <n v="3.5000000000000018"/>
  </r>
  <r>
    <x v="214"/>
    <x v="5"/>
    <d v="1899-12-30T10:00:00"/>
    <d v="1899-12-30T17:00:00"/>
    <n v="6.5"/>
    <n v="0.5"/>
    <m/>
    <n v="6.5"/>
    <x v="1"/>
    <x v="2"/>
    <m/>
    <m/>
    <n v="6.5"/>
  </r>
  <r>
    <x v="214"/>
    <x v="1"/>
    <d v="1899-12-30T06:30:00"/>
    <d v="1899-12-30T12:30:00"/>
    <n v="5.5000000000000018"/>
    <n v="0.5"/>
    <m/>
    <n v="5.5000000000000018"/>
    <x v="1"/>
    <x v="2"/>
    <m/>
    <m/>
    <n v="5.5000000000000018"/>
  </r>
  <r>
    <x v="214"/>
    <x v="0"/>
    <d v="1899-12-30T08:00:00"/>
    <d v="1899-12-30T12:30:00"/>
    <n v="4.5000000000000018"/>
    <m/>
    <m/>
    <m/>
    <x v="1"/>
    <x v="12"/>
    <m/>
    <m/>
    <n v="2.5000000000000018"/>
  </r>
  <r>
    <x v="214"/>
    <x v="3"/>
    <d v="1899-12-30T12:30:00"/>
    <d v="1899-12-30T19:30:00"/>
    <n v="6.4999999999999991"/>
    <n v="0.5"/>
    <m/>
    <n v="6.4999999999999991"/>
    <x v="1"/>
    <x v="2"/>
    <m/>
    <m/>
    <n v="6.4999999999999991"/>
  </r>
  <r>
    <x v="214"/>
    <x v="8"/>
    <d v="1899-12-30T12:00:00"/>
    <d v="1899-12-30T19:00:00"/>
    <n v="6.4999999999999991"/>
    <n v="0.5"/>
    <m/>
    <n v="6.4999999999999991"/>
    <x v="1"/>
    <x v="2"/>
    <m/>
    <m/>
    <n v="6.4999999999999991"/>
  </r>
  <r>
    <x v="215"/>
    <x v="3"/>
    <d v="1899-12-30T09:30:00"/>
    <d v="1899-12-30T16:30:00"/>
    <n v="6.5"/>
    <n v="0.5"/>
    <m/>
    <n v="6.5"/>
    <x v="1"/>
    <x v="2"/>
    <m/>
    <m/>
    <n v="6.5"/>
  </r>
  <r>
    <x v="215"/>
    <x v="5"/>
    <d v="1899-12-30T10:00:00"/>
    <d v="1899-12-30T16:30:00"/>
    <n v="6"/>
    <n v="0.5"/>
    <m/>
    <n v="6"/>
    <x v="1"/>
    <x v="2"/>
    <m/>
    <m/>
    <n v="6"/>
  </r>
  <r>
    <x v="215"/>
    <x v="2"/>
    <d v="1899-12-30T13:00:00"/>
    <d v="1899-12-30T19:00:00"/>
    <n v="5.5"/>
    <n v="0.5"/>
    <m/>
    <n v="5.5"/>
    <x v="1"/>
    <x v="2"/>
    <m/>
    <m/>
    <n v="5.5"/>
  </r>
  <r>
    <x v="215"/>
    <x v="2"/>
    <d v="1899-12-30T08:00:00"/>
    <d v="1899-12-30T13:00:00"/>
    <n v="5"/>
    <m/>
    <m/>
    <n v="5"/>
    <x v="1"/>
    <x v="2"/>
    <m/>
    <m/>
    <n v="5"/>
  </r>
  <r>
    <x v="216"/>
    <x v="0"/>
    <d v="1899-12-30T08:00:00"/>
    <d v="1899-12-30T14:00:00"/>
    <n v="5.5000000000000018"/>
    <n v="0.5"/>
    <m/>
    <m/>
    <x v="1"/>
    <x v="11"/>
    <m/>
    <m/>
    <n v="3.5000000000000018"/>
  </r>
  <r>
    <x v="217"/>
    <x v="0"/>
    <d v="1899-12-30T08:00:00"/>
    <d v="1899-12-30T14:00:00"/>
    <n v="5.5000000000000018"/>
    <n v="0.5"/>
    <m/>
    <m/>
    <x v="1"/>
    <x v="11"/>
    <m/>
    <m/>
    <n v="3.5000000000000018"/>
  </r>
  <r>
    <x v="217"/>
    <x v="4"/>
    <d v="1899-12-30T14:00:00"/>
    <d v="1899-12-30T20:00:00"/>
    <n v="5.5"/>
    <n v="0.5"/>
    <m/>
    <n v="7.5"/>
    <x v="1"/>
    <x v="2"/>
    <m/>
    <m/>
    <n v="7.5"/>
  </r>
  <r>
    <x v="217"/>
    <x v="4"/>
    <d v="1899-12-30T20:00:00"/>
    <d v="1899-12-30T00:00:00"/>
    <n v="3.9999999999999991"/>
    <m/>
    <m/>
    <n v="5.9999999999999991"/>
    <x v="1"/>
    <x v="2"/>
    <m/>
    <m/>
    <n v="5.9999999999999991"/>
  </r>
  <r>
    <x v="218"/>
    <x v="0"/>
    <d v="1899-12-30T08:00:00"/>
    <d v="1899-12-30T14:00:00"/>
    <n v="5.5000000000000018"/>
    <n v="0.5"/>
    <m/>
    <m/>
    <x v="1"/>
    <x v="11"/>
    <m/>
    <m/>
    <n v="3.5000000000000018"/>
  </r>
  <r>
    <x v="218"/>
    <x v="1"/>
    <d v="1899-12-30T16:00:00"/>
    <d v="1899-12-30T21:30:00"/>
    <n v="5.0000000000000018"/>
    <n v="0.5"/>
    <m/>
    <n v="7.0000000000000018"/>
    <x v="1"/>
    <x v="2"/>
    <m/>
    <m/>
    <n v="7.0000000000000018"/>
  </r>
  <r>
    <x v="219"/>
    <x v="2"/>
    <d v="1899-12-30T13:00:00"/>
    <d v="1899-12-30T18:30:00"/>
    <n v="5.0000000000000018"/>
    <n v="0.5"/>
    <m/>
    <n v="7.0000000000000018"/>
    <x v="1"/>
    <x v="2"/>
    <m/>
    <m/>
    <n v="7.0000000000000018"/>
  </r>
  <r>
    <x v="219"/>
    <x v="2"/>
    <d v="1899-12-30T18:30:00"/>
    <d v="1899-12-30T23:30:00"/>
    <n v="4.9999999999999982"/>
    <m/>
    <m/>
    <n v="6.9999999999999982"/>
    <x v="1"/>
    <x v="2"/>
    <m/>
    <m/>
    <n v="6.9999999999999982"/>
  </r>
  <r>
    <x v="219"/>
    <x v="0"/>
    <d v="1899-12-30T08:00:00"/>
    <d v="1899-12-30T14:00:00"/>
    <n v="5.5000000000000018"/>
    <n v="0.5"/>
    <m/>
    <m/>
    <x v="1"/>
    <x v="11"/>
    <m/>
    <m/>
    <n v="3.5000000000000018"/>
  </r>
  <r>
    <x v="219"/>
    <x v="0"/>
    <d v="1899-12-30T17:00:00"/>
    <d v="1899-12-30T23:00:00"/>
    <n v="5.5"/>
    <n v="0.5"/>
    <m/>
    <m/>
    <x v="1"/>
    <x v="13"/>
    <m/>
    <m/>
    <n v="3.5"/>
  </r>
  <r>
    <x v="220"/>
    <x v="0"/>
    <d v="1899-12-30T08:00:00"/>
    <d v="1899-12-30T14:00:00"/>
    <n v="5.5000000000000018"/>
    <n v="0.5"/>
    <m/>
    <m/>
    <x v="1"/>
    <x v="11"/>
    <m/>
    <m/>
    <n v="3.5000000000000018"/>
  </r>
  <r>
    <x v="221"/>
    <x v="1"/>
    <d v="1899-12-30T06:30:00"/>
    <d v="1899-12-30T12:30:00"/>
    <n v="5.5000000000000018"/>
    <n v="0.5"/>
    <m/>
    <n v="5.5000000000000018"/>
    <x v="1"/>
    <x v="2"/>
    <m/>
    <m/>
    <n v="5.5000000000000018"/>
  </r>
  <r>
    <x v="221"/>
    <x v="2"/>
    <d v="1899-12-30T13:30:00"/>
    <d v="1899-12-30T19:30:00"/>
    <n v="5.5"/>
    <n v="0.5"/>
    <m/>
    <n v="5.5"/>
    <x v="1"/>
    <x v="2"/>
    <m/>
    <m/>
    <n v="5.5"/>
  </r>
  <r>
    <x v="221"/>
    <x v="0"/>
    <d v="1899-12-30T08:00:00"/>
    <d v="1899-12-30T15:00:00"/>
    <n v="6.5"/>
    <n v="0.5"/>
    <m/>
    <m/>
    <x v="1"/>
    <x v="16"/>
    <m/>
    <m/>
    <n v="4.5"/>
  </r>
  <r>
    <x v="222"/>
    <x v="0"/>
    <d v="1899-12-30T13:30:00"/>
    <d v="1899-12-30T19:00:00"/>
    <n v="4.9999999999999991"/>
    <n v="0.5"/>
    <m/>
    <m/>
    <x v="1"/>
    <x v="17"/>
    <m/>
    <m/>
    <n v="2.9999999999999991"/>
  </r>
  <r>
    <x v="222"/>
    <x v="3"/>
    <d v="1899-12-30T08:00:00"/>
    <d v="1899-12-30T13:30:00"/>
    <n v="5"/>
    <n v="0.5"/>
    <m/>
    <n v="5"/>
    <x v="1"/>
    <x v="2"/>
    <m/>
    <m/>
    <n v="5"/>
  </r>
  <r>
    <x v="222"/>
    <x v="3"/>
    <d v="1899-12-30T19:00:00"/>
    <d v="1899-12-30T00:00:00"/>
    <n v="5.0000000000000009"/>
    <m/>
    <m/>
    <n v="5.0000000000000009"/>
    <x v="1"/>
    <x v="2"/>
    <m/>
    <m/>
    <n v="5.0000000000000009"/>
  </r>
  <r>
    <x v="223"/>
    <x v="0"/>
    <d v="1899-12-30T08:00:00"/>
    <d v="1899-12-30T14:00:00"/>
    <n v="5.5000000000000018"/>
    <n v="0.5"/>
    <m/>
    <m/>
    <x v="1"/>
    <x v="11"/>
    <m/>
    <m/>
    <n v="3.5000000000000018"/>
  </r>
  <r>
    <x v="223"/>
    <x v="0"/>
    <d v="1899-12-30T16:00:00"/>
    <d v="1899-12-30T21:00:00"/>
    <n v="5.0000000000000009"/>
    <m/>
    <m/>
    <m/>
    <x v="1"/>
    <x v="4"/>
    <m/>
    <m/>
    <n v="3.0000000000000009"/>
  </r>
  <r>
    <x v="224"/>
    <x v="0"/>
    <d v="1899-12-30T08:00:00"/>
    <d v="1899-12-30T14:00:00"/>
    <n v="5.5000000000000018"/>
    <n v="0.5"/>
    <m/>
    <m/>
    <x v="1"/>
    <x v="11"/>
    <m/>
    <m/>
    <n v="3.5000000000000018"/>
  </r>
  <r>
    <x v="225"/>
    <x v="0"/>
    <d v="1899-12-30T08:00:00"/>
    <d v="1899-12-30T14:00:00"/>
    <n v="5.5000000000000018"/>
    <n v="0.5"/>
    <m/>
    <m/>
    <x v="1"/>
    <x v="11"/>
    <m/>
    <m/>
    <n v="3.5000000000000018"/>
  </r>
  <r>
    <x v="225"/>
    <x v="1"/>
    <d v="1899-12-30T16:00:00"/>
    <d v="1899-12-30T21:30:00"/>
    <n v="5.0000000000000018"/>
    <n v="0.5"/>
    <m/>
    <n v="7.0000000000000018"/>
    <x v="1"/>
    <x v="2"/>
    <m/>
    <m/>
    <n v="7.0000000000000018"/>
  </r>
  <r>
    <x v="226"/>
    <x v="0"/>
    <d v="1899-12-30T08:00:00"/>
    <d v="1899-12-30T14:00:00"/>
    <n v="5.5000000000000018"/>
    <n v="0.5"/>
    <m/>
    <m/>
    <x v="1"/>
    <x v="11"/>
    <m/>
    <m/>
    <n v="3.5000000000000018"/>
  </r>
  <r>
    <x v="226"/>
    <x v="0"/>
    <d v="1899-12-30T18:30:00"/>
    <d v="1899-12-30T23:00:00"/>
    <n v="4.5"/>
    <m/>
    <m/>
    <m/>
    <x v="1"/>
    <x v="1"/>
    <m/>
    <m/>
    <n v="2.5"/>
  </r>
  <r>
    <x v="227"/>
    <x v="0"/>
    <d v="1899-12-30T08:00:00"/>
    <d v="1899-12-30T14:00:00"/>
    <n v="5.5000000000000018"/>
    <n v="0.5"/>
    <m/>
    <m/>
    <x v="1"/>
    <x v="11"/>
    <m/>
    <m/>
    <n v="3.5000000000000018"/>
  </r>
  <r>
    <x v="228"/>
    <x v="0"/>
    <d v="1899-12-30T08:00:00"/>
    <d v="1899-12-30T13:00:00"/>
    <n v="5"/>
    <m/>
    <m/>
    <m/>
    <x v="1"/>
    <x v="14"/>
    <m/>
    <m/>
    <n v="3"/>
  </r>
  <r>
    <x v="228"/>
    <x v="2"/>
    <d v="1899-12-30T14:00:00"/>
    <d v="1899-12-30T19:30:00"/>
    <n v="4.9999999999999991"/>
    <n v="0.5"/>
    <m/>
    <n v="4.9999999999999991"/>
    <x v="1"/>
    <x v="2"/>
    <m/>
    <m/>
    <n v="4.9999999999999991"/>
  </r>
  <r>
    <x v="228"/>
    <x v="3"/>
    <d v="1899-12-30T20:00:00"/>
    <d v="1899-12-30T01:00:00"/>
    <n v="4.9999999999999982"/>
    <m/>
    <m/>
    <n v="4.9999999999999982"/>
    <x v="1"/>
    <x v="2"/>
    <m/>
    <m/>
    <n v="4.9999999999999982"/>
  </r>
  <r>
    <x v="228"/>
    <x v="3"/>
    <d v="1899-12-30T14:00:00"/>
    <d v="1899-12-30T20:00:00"/>
    <n v="5.5"/>
    <n v="0.5"/>
    <m/>
    <n v="5.5"/>
    <x v="1"/>
    <x v="2"/>
    <m/>
    <m/>
    <n v="5.5"/>
  </r>
  <r>
    <x v="228"/>
    <x v="1"/>
    <d v="1899-12-30T08:00:00"/>
    <d v="1899-12-30T12:30:00"/>
    <n v="4.5000000000000018"/>
    <m/>
    <m/>
    <n v="4.5000000000000018"/>
    <x v="1"/>
    <x v="2"/>
    <m/>
    <m/>
    <n v="4.5000000000000018"/>
  </r>
  <r>
    <x v="228"/>
    <x v="2"/>
    <d v="1899-12-30T19:30:00"/>
    <d v="1899-12-30T00:00:00"/>
    <n v="4.5"/>
    <m/>
    <m/>
    <n v="4.5"/>
    <x v="1"/>
    <x v="2"/>
    <m/>
    <m/>
    <n v="4.5"/>
  </r>
  <r>
    <x v="229"/>
    <x v="0"/>
    <d v="1899-12-30T08:00:00"/>
    <d v="1899-12-30T14:00:00"/>
    <n v="5.5000000000000018"/>
    <n v="0.5"/>
    <m/>
    <m/>
    <x v="1"/>
    <x v="11"/>
    <m/>
    <m/>
    <n v="3.5000000000000018"/>
  </r>
  <r>
    <x v="229"/>
    <x v="1"/>
    <d v="1899-12-30T16:30:00"/>
    <d v="1899-12-30T21:30:00"/>
    <n v="4.5000000000000009"/>
    <n v="0.5"/>
    <m/>
    <n v="6.5000000000000009"/>
    <x v="1"/>
    <x v="2"/>
    <m/>
    <m/>
    <n v="6.5000000000000009"/>
  </r>
  <r>
    <x v="230"/>
    <x v="0"/>
    <d v="1899-12-30T08:00:00"/>
    <d v="1899-12-30T14:00:00"/>
    <n v="5.5000000000000018"/>
    <n v="0.5"/>
    <m/>
    <m/>
    <x v="1"/>
    <x v="11"/>
    <m/>
    <m/>
    <n v="3.5000000000000018"/>
  </r>
  <r>
    <x v="230"/>
    <x v="0"/>
    <d v="1899-12-30T16:00:00"/>
    <d v="1899-12-30T21:30:00"/>
    <n v="5.5000000000000018"/>
    <m/>
    <m/>
    <m/>
    <x v="1"/>
    <x v="11"/>
    <m/>
    <m/>
    <n v="3.5000000000000018"/>
  </r>
  <r>
    <x v="231"/>
    <x v="0"/>
    <d v="1899-12-30T18:00:00"/>
    <d v="1899-12-30T23:00:00"/>
    <n v="5.0000000000000009"/>
    <m/>
    <m/>
    <m/>
    <x v="1"/>
    <x v="4"/>
    <m/>
    <m/>
    <n v="3.0000000000000009"/>
  </r>
  <r>
    <x v="231"/>
    <x v="0"/>
    <d v="1899-12-30T08:00:00"/>
    <d v="1899-12-30T14:00:00"/>
    <n v="5.5000000000000018"/>
    <n v="0.5"/>
    <m/>
    <m/>
    <x v="1"/>
    <x v="11"/>
    <m/>
    <m/>
    <n v="3.5000000000000018"/>
  </r>
  <r>
    <x v="232"/>
    <x v="0"/>
    <d v="1899-12-30T08:00:00"/>
    <d v="1899-12-30T14:00:00"/>
    <n v="5.5000000000000018"/>
    <n v="0.5"/>
    <m/>
    <m/>
    <x v="1"/>
    <x v="11"/>
    <m/>
    <m/>
    <n v="3.5000000000000018"/>
  </r>
  <r>
    <x v="233"/>
    <x v="0"/>
    <d v="1899-12-30T06:30:00"/>
    <d v="1899-12-30T10:00:00"/>
    <n v="3.5000000000000009"/>
    <m/>
    <m/>
    <m/>
    <x v="1"/>
    <x v="18"/>
    <m/>
    <m/>
    <n v="1.5000000000000009"/>
  </r>
  <r>
    <x v="233"/>
    <x v="0"/>
    <d v="1899-12-30T08:00:00"/>
    <d v="1899-12-30T13:00:00"/>
    <n v="5"/>
    <m/>
    <m/>
    <m/>
    <x v="1"/>
    <x v="14"/>
    <m/>
    <m/>
    <n v="3"/>
  </r>
  <r>
    <x v="233"/>
    <x v="1"/>
    <d v="1899-12-30T08:00:00"/>
    <d v="1899-12-30T12:30:00"/>
    <n v="4.5000000000000018"/>
    <m/>
    <m/>
    <n v="4.5000000000000018"/>
    <x v="1"/>
    <x v="2"/>
    <m/>
    <m/>
    <n v="4.5000000000000018"/>
  </r>
  <r>
    <x v="233"/>
    <x v="3"/>
    <d v="1899-12-30T13:00:00"/>
    <d v="1899-12-30T21:00:00"/>
    <n v="7.5"/>
    <n v="0.5"/>
    <m/>
    <n v="7.5"/>
    <x v="1"/>
    <x v="2"/>
    <m/>
    <m/>
    <n v="7.5"/>
  </r>
  <r>
    <x v="233"/>
    <x v="2"/>
    <d v="1899-12-30T11:30:00"/>
    <d v="1899-12-30T18:00:00"/>
    <n v="6"/>
    <n v="0.5"/>
    <m/>
    <n v="6"/>
    <x v="1"/>
    <x v="2"/>
    <m/>
    <m/>
    <n v="6"/>
  </r>
  <r>
    <x v="233"/>
    <x v="8"/>
    <d v="1899-12-30T12:00:00"/>
    <d v="1899-12-30T19:00:00"/>
    <n v="6.4999999999999991"/>
    <n v="0.5"/>
    <m/>
    <n v="6.4999999999999991"/>
    <x v="1"/>
    <x v="2"/>
    <m/>
    <m/>
    <n v="6.4999999999999991"/>
  </r>
  <r>
    <x v="233"/>
    <x v="2"/>
    <d v="1899-12-30T18:00:00"/>
    <d v="1899-12-30T00:30:00"/>
    <n v="6.0000000000000009"/>
    <n v="0.5"/>
    <m/>
    <n v="6.0000000000000009"/>
    <x v="1"/>
    <x v="2"/>
    <m/>
    <m/>
    <n v="6.0000000000000009"/>
  </r>
  <r>
    <x v="234"/>
    <x v="8"/>
    <d v="1899-12-30T14:00:00"/>
    <d v="1899-12-30T22:00:00"/>
    <n v="7.4999999999999982"/>
    <n v="0.5"/>
    <m/>
    <n v="7.4999999999999982"/>
    <x v="1"/>
    <x v="2"/>
    <m/>
    <m/>
    <n v="7.4999999999999982"/>
  </r>
  <r>
    <x v="235"/>
    <x v="0"/>
    <d v="1899-12-30T08:00:00"/>
    <d v="1899-12-30T14:00:00"/>
    <n v="5.5000000000000018"/>
    <n v="0.5"/>
    <m/>
    <m/>
    <x v="1"/>
    <x v="11"/>
    <m/>
    <m/>
    <n v="3.5000000000000018"/>
  </r>
  <r>
    <x v="236"/>
    <x v="2"/>
    <d v="1899-12-30T16:00:00"/>
    <d v="1899-12-30T21:00:00"/>
    <n v="5.0000000000000009"/>
    <m/>
    <m/>
    <n v="7.0000000000000009"/>
    <x v="1"/>
    <x v="2"/>
    <m/>
    <m/>
    <n v="7.0000000000000009"/>
  </r>
  <r>
    <x v="236"/>
    <x v="0"/>
    <d v="1899-12-30T08:00:00"/>
    <d v="1899-12-30T14:00:00"/>
    <n v="5.5000000000000018"/>
    <n v="0.5"/>
    <m/>
    <m/>
    <x v="1"/>
    <x v="11"/>
    <m/>
    <m/>
    <n v="3.5000000000000018"/>
  </r>
  <r>
    <x v="237"/>
    <x v="0"/>
    <d v="1899-12-30T08:00:00"/>
    <d v="1899-12-30T14:00:00"/>
    <n v="5.5000000000000018"/>
    <n v="0.5"/>
    <m/>
    <m/>
    <x v="1"/>
    <x v="11"/>
    <m/>
    <m/>
    <n v="3.5000000000000018"/>
  </r>
  <r>
    <x v="238"/>
    <x v="0"/>
    <d v="1899-12-30T08:00:00"/>
    <d v="1899-12-30T14:00:00"/>
    <n v="5.5000000000000018"/>
    <n v="0.5"/>
    <m/>
    <m/>
    <x v="1"/>
    <x v="11"/>
    <m/>
    <m/>
    <n v="3.5000000000000018"/>
  </r>
  <r>
    <x v="238"/>
    <x v="0"/>
    <d v="1899-12-30T18:30:00"/>
    <d v="1899-12-30T23:00:00"/>
    <n v="4.5"/>
    <m/>
    <m/>
    <m/>
    <x v="1"/>
    <x v="1"/>
    <m/>
    <m/>
    <n v="2.5"/>
  </r>
  <r>
    <x v="239"/>
    <x v="11"/>
    <d v="1899-12-30T08:00:00"/>
    <d v="1899-12-30T16:00:00"/>
    <n v="7.5"/>
    <n v="0.5"/>
    <m/>
    <n v="9.5"/>
    <x v="1"/>
    <x v="2"/>
    <m/>
    <m/>
    <n v="9.5"/>
  </r>
  <r>
    <x v="239"/>
    <x v="2"/>
    <d v="1899-12-30T15:00:00"/>
    <d v="1899-12-30T20:00:00"/>
    <n v="5.0000000000000009"/>
    <m/>
    <m/>
    <n v="7.0000000000000009"/>
    <x v="1"/>
    <x v="2"/>
    <m/>
    <m/>
    <n v="7.0000000000000009"/>
  </r>
  <r>
    <x v="239"/>
    <x v="0"/>
    <d v="1899-12-30T08:00:00"/>
    <d v="1899-12-30T14:00:00"/>
    <n v="5.5000000000000018"/>
    <n v="0.5"/>
    <m/>
    <m/>
    <x v="1"/>
    <x v="11"/>
    <m/>
    <m/>
    <n v="3.5000000000000018"/>
  </r>
  <r>
    <x v="240"/>
    <x v="1"/>
    <d v="1899-12-30T08:00:00"/>
    <d v="1899-12-30T12:30:00"/>
    <n v="4.5000000000000018"/>
    <m/>
    <m/>
    <n v="4.5000000000000018"/>
    <x v="1"/>
    <x v="2"/>
    <m/>
    <m/>
    <n v="4.5000000000000018"/>
  </r>
  <r>
    <x v="240"/>
    <x v="2"/>
    <d v="1899-12-30T16:00:00"/>
    <d v="1899-12-30T20:00:00"/>
    <n v="4.0000000000000018"/>
    <m/>
    <m/>
    <n v="4.0000000000000018"/>
    <x v="1"/>
    <x v="2"/>
    <m/>
    <m/>
    <n v="4.0000000000000018"/>
  </r>
  <r>
    <x v="240"/>
    <x v="3"/>
    <d v="1899-12-30T17:00:00"/>
    <d v="1899-12-30T23:00:00"/>
    <n v="5.5"/>
    <n v="0.5"/>
    <m/>
    <n v="5.5"/>
    <x v="1"/>
    <x v="2"/>
    <m/>
    <m/>
    <n v="5.5"/>
  </r>
  <r>
    <x v="240"/>
    <x v="2"/>
    <d v="1899-12-30T20:00:00"/>
    <d v="1899-12-30T01:00:00"/>
    <n v="4.9999999999999982"/>
    <m/>
    <m/>
    <n v="4.9999999999999982"/>
    <x v="1"/>
    <x v="2"/>
    <m/>
    <m/>
    <n v="4.9999999999999982"/>
  </r>
  <r>
    <x v="240"/>
    <x v="3"/>
    <d v="1899-12-30T11:00:00"/>
    <d v="1899-12-30T17:00:00"/>
    <n v="5.5000000000000018"/>
    <n v="0.5"/>
    <m/>
    <n v="5.5000000000000018"/>
    <x v="1"/>
    <x v="2"/>
    <m/>
    <m/>
    <n v="5.5000000000000018"/>
  </r>
  <r>
    <x v="240"/>
    <x v="3"/>
    <d v="1899-12-30T06:30:00"/>
    <d v="1899-12-30T10:00:00"/>
    <n v="3.5000000000000009"/>
    <m/>
    <m/>
    <n v="3.5000000000000009"/>
    <x v="1"/>
    <x v="2"/>
    <m/>
    <m/>
    <n v="3.5000000000000009"/>
  </r>
  <r>
    <x v="240"/>
    <x v="0"/>
    <d v="1899-12-30T08:00:00"/>
    <d v="1899-12-30T13:00:00"/>
    <n v="5"/>
    <m/>
    <m/>
    <m/>
    <x v="1"/>
    <x v="14"/>
    <m/>
    <m/>
    <n v="3"/>
  </r>
  <r>
    <x v="241"/>
    <x v="8"/>
    <d v="1899-12-30T09:00:00"/>
    <d v="1899-12-30T17:00:00"/>
    <n v="7.5"/>
    <n v="0.5"/>
    <m/>
    <n v="7.5"/>
    <x v="1"/>
    <x v="2"/>
    <m/>
    <m/>
    <n v="7.5"/>
  </r>
  <r>
    <x v="241"/>
    <x v="3"/>
    <d v="1899-12-30T11:00:00"/>
    <d v="1899-12-30T17:00:00"/>
    <n v="5.5000000000000018"/>
    <n v="0.5"/>
    <m/>
    <n v="5.5000000000000018"/>
    <x v="1"/>
    <x v="2"/>
    <m/>
    <m/>
    <n v="5.5000000000000018"/>
  </r>
  <r>
    <x v="242"/>
    <x v="0"/>
    <d v="1899-12-30T08:00:00"/>
    <d v="1899-12-30T14:00:00"/>
    <n v="5.5000000000000018"/>
    <n v="0.5"/>
    <m/>
    <m/>
    <x v="1"/>
    <x v="11"/>
    <m/>
    <m/>
    <n v="3.5000000000000018"/>
  </r>
  <r>
    <x v="243"/>
    <x v="0"/>
    <d v="1899-12-30T08:00:00"/>
    <d v="1899-12-30T14:00:00"/>
    <n v="5.5000000000000018"/>
    <n v="0.5"/>
    <m/>
    <m/>
    <x v="1"/>
    <x v="11"/>
    <m/>
    <m/>
    <n v="3.5000000000000018"/>
  </r>
  <r>
    <x v="244"/>
    <x v="1"/>
    <d v="1899-12-30T16:30:00"/>
    <d v="1899-12-30T21:30:00"/>
    <n v="5.0000000000000009"/>
    <m/>
    <m/>
    <n v="7.0000000000000009"/>
    <x v="1"/>
    <x v="2"/>
    <m/>
    <m/>
    <n v="7.0000000000000009"/>
  </r>
  <r>
    <x v="244"/>
    <x v="0"/>
    <d v="1899-12-30T08:00:00"/>
    <d v="1899-12-30T14:00:00"/>
    <n v="5.5000000000000018"/>
    <n v="0.5"/>
    <m/>
    <m/>
    <x v="1"/>
    <x v="11"/>
    <m/>
    <m/>
    <n v="3.5000000000000018"/>
  </r>
  <r>
    <x v="244"/>
    <x v="0"/>
    <d v="1899-12-30T17:00:00"/>
    <d v="1899-12-30T21:00:00"/>
    <n v="3.9999999999999991"/>
    <m/>
    <m/>
    <m/>
    <x v="1"/>
    <x v="6"/>
    <m/>
    <m/>
    <n v="1.9999999999999991"/>
  </r>
  <r>
    <x v="245"/>
    <x v="0"/>
    <d v="1899-12-30T08:00:00"/>
    <d v="1899-12-30T14:00:00"/>
    <n v="5.5000000000000018"/>
    <n v="0.5"/>
    <m/>
    <m/>
    <x v="1"/>
    <x v="11"/>
    <m/>
    <m/>
    <n v="3.5000000000000018"/>
  </r>
  <r>
    <x v="245"/>
    <x v="0"/>
    <d v="1899-12-30T18:30:00"/>
    <d v="1899-12-30T23:00:00"/>
    <n v="4.5"/>
    <m/>
    <m/>
    <m/>
    <x v="1"/>
    <x v="1"/>
    <m/>
    <m/>
    <n v="2.5"/>
  </r>
  <r>
    <x v="246"/>
    <x v="0"/>
    <d v="1899-12-30T08:00:00"/>
    <d v="1899-12-30T14:00:00"/>
    <n v="5.5000000000000018"/>
    <n v="0.5"/>
    <m/>
    <m/>
    <x v="1"/>
    <x v="11"/>
    <m/>
    <m/>
    <n v="3.5000000000000018"/>
  </r>
  <r>
    <x v="247"/>
    <x v="3"/>
    <d v="1899-12-30T06:30:00"/>
    <d v="1899-12-30T10:00:00"/>
    <n v="3.5000000000000009"/>
    <m/>
    <m/>
    <n v="3.5000000000000009"/>
    <x v="1"/>
    <x v="2"/>
    <m/>
    <m/>
    <n v="3.5000000000000009"/>
  </r>
  <r>
    <x v="247"/>
    <x v="0"/>
    <d v="1899-12-30T08:00:00"/>
    <d v="1899-12-30T15:30:00"/>
    <n v="7.0000000000000018"/>
    <n v="0.5"/>
    <m/>
    <m/>
    <x v="1"/>
    <x v="19"/>
    <m/>
    <m/>
    <n v="5.0000000000000018"/>
  </r>
  <r>
    <x v="247"/>
    <x v="3"/>
    <d v="1899-12-30T15:00:00"/>
    <d v="1899-12-30T01:00:00"/>
    <n v="9"/>
    <n v="1"/>
    <m/>
    <n v="9"/>
    <x v="1"/>
    <x v="2"/>
    <m/>
    <m/>
    <n v="9"/>
  </r>
  <r>
    <x v="247"/>
    <x v="2"/>
    <d v="1899-12-30T13:00:00"/>
    <d v="1899-12-30T19:00:00"/>
    <n v="5.5"/>
    <n v="0.5"/>
    <m/>
    <n v="5.5"/>
    <x v="1"/>
    <x v="2"/>
    <m/>
    <m/>
    <n v="5.5"/>
  </r>
  <r>
    <x v="247"/>
    <x v="8"/>
    <d v="1899-12-30T17:30:00"/>
    <d v="1899-12-30T22:00:00"/>
    <n v="4.5"/>
    <m/>
    <m/>
    <n v="4.5"/>
    <x v="1"/>
    <x v="2"/>
    <m/>
    <m/>
    <n v="4.5"/>
  </r>
  <r>
    <x v="247"/>
    <x v="6"/>
    <d v="1899-12-30T08:00:00"/>
    <d v="1899-12-30T11:30:00"/>
    <n v="3.5000000000000009"/>
    <m/>
    <m/>
    <n v="3.5000000000000009"/>
    <x v="1"/>
    <x v="2"/>
    <m/>
    <m/>
    <n v="3.5000000000000009"/>
  </r>
  <r>
    <x v="247"/>
    <x v="1"/>
    <d v="1899-12-30T08:00:00"/>
    <d v="1899-12-30T13:00:00"/>
    <n v="5"/>
    <m/>
    <m/>
    <n v="5"/>
    <x v="1"/>
    <x v="2"/>
    <m/>
    <m/>
    <n v="5"/>
  </r>
  <r>
    <x v="247"/>
    <x v="8"/>
    <d v="1899-12-30T12:00:00"/>
    <d v="1899-12-30T17:00:00"/>
    <n v="4.5000000000000009"/>
    <n v="0.5"/>
    <m/>
    <n v="4.5000000000000009"/>
    <x v="1"/>
    <x v="2"/>
    <m/>
    <m/>
    <n v="4.5000000000000009"/>
  </r>
  <r>
    <x v="247"/>
    <x v="5"/>
    <d v="1899-12-30T11:30:00"/>
    <d v="1899-12-30T15:00:00"/>
    <n v="3.4999999999999996"/>
    <m/>
    <m/>
    <n v="3.4999999999999996"/>
    <x v="1"/>
    <x v="2"/>
    <m/>
    <m/>
    <n v="3.4999999999999996"/>
  </r>
  <r>
    <x v="248"/>
    <x v="8"/>
    <d v="1899-12-30T13:00:00"/>
    <d v="1899-12-30T18:00:00"/>
    <n v="5.0000000000000009"/>
    <m/>
    <m/>
    <n v="5.0000000000000009"/>
    <x v="1"/>
    <x v="2"/>
    <m/>
    <m/>
    <n v="5.0000000000000009"/>
  </r>
  <r>
    <x v="248"/>
    <x v="1"/>
    <d v="1899-12-30T13:30:00"/>
    <d v="1899-12-30T17:30:00"/>
    <n v="3.9999999999999991"/>
    <m/>
    <m/>
    <n v="3.9999999999999991"/>
    <x v="1"/>
    <x v="2"/>
    <m/>
    <m/>
    <n v="3.9999999999999991"/>
  </r>
  <r>
    <x v="249"/>
    <x v="0"/>
    <d v="1899-12-30T08:00:00"/>
    <d v="1899-12-30T14:00:00"/>
    <n v="5.5000000000000018"/>
    <n v="0.5"/>
    <m/>
    <m/>
    <x v="1"/>
    <x v="11"/>
    <m/>
    <m/>
    <n v="3.5000000000000018"/>
  </r>
  <r>
    <x v="250"/>
    <x v="0"/>
    <d v="1899-12-30T08:00:00"/>
    <d v="1899-12-30T14:00:00"/>
    <n v="5.5000000000000018"/>
    <n v="0.5"/>
    <m/>
    <m/>
    <x v="1"/>
    <x v="11"/>
    <m/>
    <m/>
    <n v="3.5000000000000018"/>
  </r>
  <r>
    <x v="251"/>
    <x v="1"/>
    <d v="1899-12-30T17:00:00"/>
    <d v="1899-12-30T21:30:00"/>
    <n v="4.5"/>
    <m/>
    <m/>
    <n v="6.5"/>
    <x v="1"/>
    <x v="2"/>
    <m/>
    <m/>
    <n v="6.5"/>
  </r>
  <r>
    <x v="251"/>
    <x v="0"/>
    <d v="1899-12-30T08:00:00"/>
    <d v="1899-12-30T14:00:00"/>
    <n v="5.5000000000000018"/>
    <n v="0.5"/>
    <m/>
    <m/>
    <x v="1"/>
    <x v="11"/>
    <m/>
    <m/>
    <n v="3.5000000000000018"/>
  </r>
  <r>
    <x v="252"/>
    <x v="0"/>
    <d v="1899-12-30T17:30:00"/>
    <d v="1899-12-30T23:00:00"/>
    <n v="5.0000000000000018"/>
    <n v="0.5"/>
    <m/>
    <m/>
    <x v="1"/>
    <x v="20"/>
    <m/>
    <m/>
    <n v="3.0000000000000018"/>
  </r>
  <r>
    <x v="252"/>
    <x v="0"/>
    <d v="1899-12-30T08:00:00"/>
    <d v="1899-12-30T14:00:00"/>
    <n v="5.5000000000000018"/>
    <n v="0.5"/>
    <m/>
    <m/>
    <x v="1"/>
    <x v="11"/>
    <m/>
    <m/>
    <n v="3.5000000000000018"/>
  </r>
  <r>
    <x v="253"/>
    <x v="0"/>
    <d v="1899-12-30T08:00:00"/>
    <d v="1899-12-30T14:00:00"/>
    <n v="5.5000000000000018"/>
    <n v="0.5"/>
    <m/>
    <m/>
    <x v="1"/>
    <x v="11"/>
    <m/>
    <m/>
    <n v="3.5000000000000018"/>
  </r>
  <r>
    <x v="253"/>
    <x v="0"/>
    <d v="1899-12-30T15:00:00"/>
    <d v="1899-12-30T20:00:00"/>
    <n v="5.0000000000000009"/>
    <m/>
    <m/>
    <m/>
    <x v="1"/>
    <x v="4"/>
    <m/>
    <m/>
    <n v="3.0000000000000009"/>
  </r>
  <r>
    <x v="254"/>
    <x v="0"/>
    <d v="1899-12-30T08:00:00"/>
    <d v="1899-12-30T13:00:00"/>
    <n v="5"/>
    <m/>
    <m/>
    <m/>
    <x v="1"/>
    <x v="14"/>
    <m/>
    <m/>
    <n v="3"/>
  </r>
  <r>
    <x v="254"/>
    <x v="2"/>
    <d v="1899-12-30T17:00:00"/>
    <d v="1899-12-30T22:00:00"/>
    <n v="4.9999999999999982"/>
    <m/>
    <m/>
    <n v="4.9999999999999982"/>
    <x v="1"/>
    <x v="2"/>
    <m/>
    <m/>
    <n v="4.9999999999999982"/>
  </r>
  <r>
    <x v="254"/>
    <x v="3"/>
    <d v="1899-12-30T13:00:00"/>
    <d v="1899-12-30T21:00:00"/>
    <n v="7.5"/>
    <n v="0.5"/>
    <m/>
    <n v="7.5"/>
    <x v="1"/>
    <x v="2"/>
    <m/>
    <m/>
    <n v="7.5"/>
  </r>
  <r>
    <x v="254"/>
    <x v="2"/>
    <d v="1899-12-30T12:00:00"/>
    <d v="1899-12-30T17:00:00"/>
    <n v="5.0000000000000009"/>
    <m/>
    <m/>
    <n v="5.0000000000000009"/>
    <x v="1"/>
    <x v="2"/>
    <m/>
    <m/>
    <n v="5.0000000000000009"/>
  </r>
  <r>
    <x v="254"/>
    <x v="2"/>
    <d v="1899-12-30T06:30:00"/>
    <d v="1899-12-30T12:00:00"/>
    <n v="5"/>
    <n v="0.5"/>
    <m/>
    <n v="5"/>
    <x v="1"/>
    <x v="2"/>
    <m/>
    <m/>
    <n v="5"/>
  </r>
  <r>
    <x v="254"/>
    <x v="3"/>
    <d v="1899-12-30T06:30:00"/>
    <d v="1899-12-30T10:00:00"/>
    <n v="3.5000000000000009"/>
    <m/>
    <m/>
    <n v="3.5000000000000009"/>
    <x v="1"/>
    <x v="2"/>
    <m/>
    <m/>
    <n v="3.5000000000000009"/>
  </r>
  <r>
    <x v="255"/>
    <x v="1"/>
    <d v="1899-12-30T13:00:00"/>
    <d v="1899-12-30T18:30:00"/>
    <n v="5.0000000000000018"/>
    <n v="0.5"/>
    <m/>
    <n v="5.0000000000000018"/>
    <x v="1"/>
    <x v="2"/>
    <m/>
    <m/>
    <n v="5.0000000000000018"/>
  </r>
  <r>
    <x v="255"/>
    <x v="2"/>
    <d v="1899-12-30T18:30:00"/>
    <d v="1899-12-30T01:00:00"/>
    <n v="5.9999999999999982"/>
    <n v="0.5"/>
    <m/>
    <n v="5.9999999999999982"/>
    <x v="1"/>
    <x v="2"/>
    <m/>
    <m/>
    <n v="5.9999999999999982"/>
  </r>
  <r>
    <x v="255"/>
    <x v="8"/>
    <d v="1899-12-30T15:00:00"/>
    <d v="1899-12-30T21:00:00"/>
    <n v="5.5"/>
    <n v="0.5"/>
    <m/>
    <n v="5.5"/>
    <x v="1"/>
    <x v="2"/>
    <m/>
    <m/>
    <n v="5.5"/>
  </r>
  <r>
    <x v="255"/>
    <x v="3"/>
    <d v="1899-12-30T08:00:00"/>
    <d v="1899-12-30T17:00:00"/>
    <n v="8.0000000000000018"/>
    <n v="1"/>
    <m/>
    <n v="8.0000000000000018"/>
    <x v="1"/>
    <x v="2"/>
    <m/>
    <m/>
    <n v="8.0000000000000018"/>
  </r>
  <r>
    <x v="256"/>
    <x v="0"/>
    <d v="1899-12-30T08:00:00"/>
    <d v="1899-12-30T14:00:00"/>
    <n v="5.5000000000000018"/>
    <n v="0.5"/>
    <m/>
    <m/>
    <x v="1"/>
    <x v="11"/>
    <m/>
    <m/>
    <n v="3.5000000000000018"/>
  </r>
  <r>
    <x v="257"/>
    <x v="0"/>
    <d v="1899-12-30T08:00:00"/>
    <d v="1899-12-30T14:00:00"/>
    <n v="5.5000000000000018"/>
    <n v="0.5"/>
    <n v="5521"/>
    <m/>
    <x v="1"/>
    <x v="11"/>
    <m/>
    <m/>
    <n v="3.5000000000000018"/>
  </r>
  <r>
    <x v="258"/>
    <x v="0"/>
    <d v="1899-12-30T07:30:00"/>
    <d v="1899-12-30T14:00:00"/>
    <n v="6.0000000000000009"/>
    <n v="0.5"/>
    <m/>
    <m/>
    <x v="1"/>
    <x v="21"/>
    <m/>
    <m/>
    <n v="4.0000000000000009"/>
  </r>
  <r>
    <x v="258"/>
    <x v="1"/>
    <d v="1899-12-30T17:00:00"/>
    <d v="1899-12-30T21:00:00"/>
    <n v="3.9999999999999991"/>
    <m/>
    <m/>
    <n v="5.9999999999999991"/>
    <x v="1"/>
    <x v="2"/>
    <m/>
    <m/>
    <n v="5.9999999999999991"/>
  </r>
  <r>
    <x v="258"/>
    <x v="0"/>
    <d v="1899-12-30T16:00:00"/>
    <d v="1899-12-30T21:00:00"/>
    <n v="5.0000000000000009"/>
    <m/>
    <m/>
    <m/>
    <x v="1"/>
    <x v="4"/>
    <m/>
    <m/>
    <n v="3.0000000000000009"/>
  </r>
  <r>
    <x v="259"/>
    <x v="0"/>
    <d v="1899-12-30T08:00:00"/>
    <d v="1899-12-30T14:00:00"/>
    <n v="5.5000000000000018"/>
    <n v="0.5"/>
    <m/>
    <m/>
    <x v="1"/>
    <x v="11"/>
    <m/>
    <m/>
    <n v="3.5000000000000018"/>
  </r>
  <r>
    <x v="259"/>
    <x v="0"/>
    <d v="1899-12-30T16:30:00"/>
    <d v="1899-12-30T23:00:00"/>
    <n v="6.0000000000000009"/>
    <n v="0.5"/>
    <m/>
    <m/>
    <x v="1"/>
    <x v="21"/>
    <m/>
    <m/>
    <n v="4.0000000000000009"/>
  </r>
  <r>
    <x v="260"/>
    <x v="0"/>
    <d v="1899-12-30T15:00:00"/>
    <d v="1899-12-30T19:00:00"/>
    <n v="3.9999999999999991"/>
    <m/>
    <m/>
    <m/>
    <x v="1"/>
    <x v="6"/>
    <m/>
    <m/>
    <n v="1.9999999999999991"/>
  </r>
  <r>
    <x v="260"/>
    <x v="0"/>
    <d v="1899-12-30T08:00:00"/>
    <d v="1899-12-30T14:00:00"/>
    <n v="5.5000000000000018"/>
    <n v="0.5"/>
    <m/>
    <m/>
    <x v="1"/>
    <x v="11"/>
    <m/>
    <m/>
    <n v="3.5000000000000018"/>
  </r>
  <r>
    <x v="261"/>
    <x v="3"/>
    <d v="1899-12-30T17:30:00"/>
    <d v="1899-12-30T22:00:00"/>
    <n v="4.5"/>
    <m/>
    <m/>
    <n v="4.5"/>
    <x v="1"/>
    <x v="2"/>
    <m/>
    <m/>
    <n v="4.5"/>
  </r>
  <r>
    <x v="261"/>
    <x v="2"/>
    <d v="1899-12-30T15:00:00"/>
    <d v="1899-12-30T21:00:00"/>
    <n v="5.5"/>
    <n v="0.5"/>
    <m/>
    <n v="5.5"/>
    <x v="1"/>
    <x v="2"/>
    <m/>
    <m/>
    <n v="5.5"/>
  </r>
  <r>
    <x v="261"/>
    <x v="0"/>
    <d v="1899-12-30T08:00:00"/>
    <d v="1899-12-30T13:00:00"/>
    <n v="5"/>
    <m/>
    <m/>
    <m/>
    <x v="1"/>
    <x v="14"/>
    <m/>
    <m/>
    <n v="3"/>
  </r>
  <r>
    <x v="261"/>
    <x v="3"/>
    <d v="1899-12-30T06:30:00"/>
    <d v="1899-12-30T10:00:00"/>
    <n v="3.5000000000000009"/>
    <m/>
    <m/>
    <n v="3.5000000000000009"/>
    <x v="1"/>
    <x v="2"/>
    <m/>
    <m/>
    <n v="3.5000000000000009"/>
  </r>
  <r>
    <x v="261"/>
    <x v="1"/>
    <d v="1899-12-30T09:00:00"/>
    <d v="1899-12-30T12:00:00"/>
    <n v="3"/>
    <m/>
    <m/>
    <n v="3"/>
    <x v="1"/>
    <x v="2"/>
    <m/>
    <m/>
    <n v="3"/>
  </r>
  <r>
    <x v="261"/>
    <x v="5"/>
    <d v="1899-12-30T08:00:00"/>
    <d v="1899-12-30T13:30:00"/>
    <n v="5"/>
    <n v="0.5"/>
    <m/>
    <n v="5"/>
    <x v="1"/>
    <x v="2"/>
    <m/>
    <m/>
    <n v="5"/>
  </r>
  <r>
    <x v="261"/>
    <x v="5"/>
    <d v="1899-12-30T13:30:00"/>
    <d v="1899-12-30T17:30:00"/>
    <n v="3.9999999999999991"/>
    <m/>
    <m/>
    <n v="3.9999999999999991"/>
    <x v="1"/>
    <x v="2"/>
    <m/>
    <m/>
    <n v="3.9999999999999991"/>
  </r>
  <r>
    <x v="261"/>
    <x v="3"/>
    <d v="1899-12-30T13:00:00"/>
    <d v="1899-12-30T17:30:00"/>
    <n v="4.5"/>
    <m/>
    <m/>
    <n v="4.5"/>
    <x v="1"/>
    <x v="2"/>
    <m/>
    <m/>
    <n v="4.5"/>
  </r>
  <r>
    <x v="262"/>
    <x v="3"/>
    <d v="1899-12-30T11:00:00"/>
    <d v="1899-12-30T18:00:00"/>
    <n v="6.5"/>
    <n v="0.5"/>
    <m/>
    <n v="6.5"/>
    <x v="1"/>
    <x v="2"/>
    <m/>
    <m/>
    <n v="6.5"/>
  </r>
  <r>
    <x v="262"/>
    <x v="3"/>
    <d v="1899-12-30T18:00:00"/>
    <d v="1899-12-30T01:00:00"/>
    <n v="6.4999999999999991"/>
    <n v="0.5"/>
    <m/>
    <n v="6.4999999999999991"/>
    <x v="1"/>
    <x v="2"/>
    <m/>
    <m/>
    <n v="6.4999999999999991"/>
  </r>
  <r>
    <x v="262"/>
    <x v="1"/>
    <d v="1899-12-30T12:00:00"/>
    <d v="1899-12-30T20:00:00"/>
    <n v="7.5"/>
    <n v="0.5"/>
    <m/>
    <n v="7.5"/>
    <x v="1"/>
    <x v="2"/>
    <m/>
    <m/>
    <n v="7.5"/>
  </r>
  <r>
    <x v="263"/>
    <x v="0"/>
    <d v="1899-12-30T08:00:00"/>
    <d v="1899-12-30T14:00:00"/>
    <n v="5.5000000000000018"/>
    <n v="0.5"/>
    <m/>
    <m/>
    <x v="1"/>
    <x v="11"/>
    <m/>
    <m/>
    <n v="3.5000000000000018"/>
  </r>
  <r>
    <x v="263"/>
    <x v="1"/>
    <d v="1899-12-30T17:00:00"/>
    <d v="1899-12-30T22:00:00"/>
    <n v="4.9999999999999982"/>
    <m/>
    <m/>
    <n v="6.9999999999999982"/>
    <x v="1"/>
    <x v="2"/>
    <m/>
    <m/>
    <n v="6.9999999999999982"/>
  </r>
  <r>
    <x v="264"/>
    <x v="0"/>
    <d v="1899-12-30T08:00:00"/>
    <d v="1899-12-30T14:00:00"/>
    <n v="5.5000000000000018"/>
    <n v="0.5"/>
    <m/>
    <m/>
    <x v="1"/>
    <x v="11"/>
    <m/>
    <m/>
    <n v="3.5000000000000018"/>
  </r>
  <r>
    <x v="264"/>
    <x v="0"/>
    <d v="1899-12-30T15:00:00"/>
    <d v="1899-12-30T18:00:00"/>
    <n v="3"/>
    <m/>
    <m/>
    <m/>
    <x v="1"/>
    <x v="22"/>
    <m/>
    <m/>
    <n v="1"/>
  </r>
  <r>
    <x v="265"/>
    <x v="0"/>
    <d v="1899-12-30T08:00:00"/>
    <d v="1899-12-30T14:00:00"/>
    <n v="5.5000000000000018"/>
    <n v="0.5"/>
    <m/>
    <m/>
    <x v="1"/>
    <x v="11"/>
    <m/>
    <m/>
    <n v="3.5000000000000018"/>
  </r>
  <r>
    <x v="265"/>
    <x v="1"/>
    <d v="1899-12-30T17:30:00"/>
    <d v="1899-12-30T21:30:00"/>
    <n v="4.0000000000000018"/>
    <m/>
    <m/>
    <n v="6.0000000000000018"/>
    <x v="1"/>
    <x v="2"/>
    <m/>
    <m/>
    <n v="6.0000000000000018"/>
  </r>
  <r>
    <x v="266"/>
    <x v="0"/>
    <d v="1899-12-30T17:00:00"/>
    <d v="1899-12-30T23:00:00"/>
    <n v="5.5"/>
    <n v="0.5"/>
    <m/>
    <m/>
    <x v="1"/>
    <x v="13"/>
    <m/>
    <m/>
    <n v="3.5"/>
  </r>
  <r>
    <x v="266"/>
    <x v="1"/>
    <d v="1899-12-30T17:00:00"/>
    <d v="1899-12-30T20:30:00"/>
    <n v="3.4999999999999982"/>
    <m/>
    <m/>
    <n v="5.4999999999999982"/>
    <x v="1"/>
    <x v="2"/>
    <m/>
    <m/>
    <n v="5.4999999999999982"/>
  </r>
  <r>
    <x v="266"/>
    <x v="0"/>
    <d v="1899-12-30T08:00:00"/>
    <d v="1899-12-30T14:00:00"/>
    <n v="5.5000000000000018"/>
    <n v="0.5"/>
    <m/>
    <m/>
    <x v="1"/>
    <x v="11"/>
    <m/>
    <m/>
    <n v="3.5000000000000018"/>
  </r>
  <r>
    <x v="267"/>
    <x v="0"/>
    <d v="1899-12-30T08:00:00"/>
    <d v="1899-12-30T14:00:00"/>
    <n v="5.5000000000000018"/>
    <n v="0.5"/>
    <m/>
    <m/>
    <x v="1"/>
    <x v="11"/>
    <m/>
    <m/>
    <n v="3.5000000000000018"/>
  </r>
  <r>
    <x v="267"/>
    <x v="8"/>
    <d v="1899-12-30T11:00:00"/>
    <d v="1899-12-30T19:00:00"/>
    <n v="7.5"/>
    <n v="0.5"/>
    <m/>
    <n v="9.5"/>
    <x v="1"/>
    <x v="2"/>
    <m/>
    <m/>
    <n v="9.5"/>
  </r>
  <r>
    <x v="268"/>
    <x v="2"/>
    <d v="1899-12-30T15:00:00"/>
    <d v="1899-12-30T01:00:00"/>
    <n v="9"/>
    <n v="1"/>
    <m/>
    <n v="9"/>
    <x v="1"/>
    <x v="2"/>
    <m/>
    <m/>
    <n v="9"/>
  </r>
  <r>
    <x v="268"/>
    <x v="1"/>
    <d v="1899-12-30T09:00:00"/>
    <d v="1899-12-30T12:00:00"/>
    <n v="3"/>
    <m/>
    <m/>
    <n v="3"/>
    <x v="1"/>
    <x v="2"/>
    <m/>
    <m/>
    <n v="3"/>
  </r>
  <r>
    <x v="268"/>
    <x v="0"/>
    <d v="1899-12-30T06:30:00"/>
    <d v="1899-12-30T13:00:00"/>
    <n v="6"/>
    <n v="0.5"/>
    <m/>
    <m/>
    <x v="1"/>
    <x v="23"/>
    <m/>
    <m/>
    <n v="4"/>
  </r>
  <r>
    <x v="269"/>
    <x v="1"/>
    <d v="1899-12-30T14:30:00"/>
    <d v="1899-12-30T17:30:00"/>
    <n v="3"/>
    <m/>
    <m/>
    <n v="3"/>
    <x v="1"/>
    <x v="2"/>
    <m/>
    <m/>
    <n v="3"/>
  </r>
  <r>
    <x v="270"/>
    <x v="0"/>
    <d v="1899-12-30T08:00:00"/>
    <d v="1899-12-30T14:00:00"/>
    <n v="5.5000000000000018"/>
    <n v="0.5"/>
    <m/>
    <m/>
    <x v="1"/>
    <x v="11"/>
    <m/>
    <m/>
    <n v="3.5000000000000018"/>
  </r>
  <r>
    <x v="271"/>
    <x v="0"/>
    <d v="1899-12-30T08:00:00"/>
    <d v="1899-12-30T14:00:00"/>
    <n v="5.5000000000000018"/>
    <n v="0.5"/>
    <m/>
    <m/>
    <x v="1"/>
    <x v="11"/>
    <m/>
    <m/>
    <n v="3.5000000000000018"/>
  </r>
  <r>
    <x v="272"/>
    <x v="0"/>
    <d v="1899-12-30T08:00:00"/>
    <d v="1899-12-30T11:00:00"/>
    <n v="3"/>
    <m/>
    <m/>
    <m/>
    <x v="1"/>
    <x v="22"/>
    <m/>
    <m/>
    <n v="1"/>
  </r>
  <r>
    <x v="272"/>
    <x v="0"/>
    <d v="1899-12-30T11:00:00"/>
    <d v="1899-12-30T14:00:00"/>
    <n v="3.0000000000000013"/>
    <m/>
    <m/>
    <m/>
    <x v="1"/>
    <x v="10"/>
    <m/>
    <m/>
    <n v="1.0000000000000013"/>
  </r>
  <r>
    <x v="272"/>
    <x v="0"/>
    <d v="1899-12-30T16:30:00"/>
    <d v="1899-12-30T21:30:00"/>
    <n v="5.0000000000000009"/>
    <m/>
    <m/>
    <m/>
    <x v="1"/>
    <x v="4"/>
    <m/>
    <m/>
    <n v="3.0000000000000009"/>
  </r>
  <r>
    <x v="273"/>
    <x v="0"/>
    <d v="1899-12-30T08:00:00"/>
    <d v="1899-12-30T14:00:00"/>
    <n v="5.5000000000000018"/>
    <n v="0.5"/>
    <m/>
    <m/>
    <x v="1"/>
    <x v="11"/>
    <m/>
    <m/>
    <n v="3.5000000000000018"/>
  </r>
  <r>
    <x v="273"/>
    <x v="0"/>
    <d v="1899-12-30T17:00:00"/>
    <d v="1899-12-30T23:00:00"/>
    <n v="5.5"/>
    <n v="0.5"/>
    <m/>
    <m/>
    <x v="1"/>
    <x v="13"/>
    <m/>
    <m/>
    <n v="3.5"/>
  </r>
  <r>
    <x v="274"/>
    <x v="0"/>
    <d v="1899-12-30T08:00:00"/>
    <d v="1899-12-30T14:00:00"/>
    <n v="5.5000000000000018"/>
    <n v="0.5"/>
    <m/>
    <m/>
    <x v="1"/>
    <x v="11"/>
    <m/>
    <m/>
    <n v="3.5000000000000018"/>
  </r>
  <r>
    <x v="274"/>
    <x v="0"/>
    <d v="1899-12-30T15:00:00"/>
    <d v="1899-12-30T20:00:00"/>
    <n v="5.0000000000000009"/>
    <m/>
    <m/>
    <m/>
    <x v="1"/>
    <x v="4"/>
    <m/>
    <m/>
    <n v="3.0000000000000009"/>
  </r>
  <r>
    <x v="275"/>
    <x v="5"/>
    <d v="1899-12-30T12:00:00"/>
    <d v="1899-12-30T18:00:00"/>
    <n v="5.5"/>
    <n v="0.5"/>
    <m/>
    <n v="5.5"/>
    <x v="1"/>
    <x v="2"/>
    <m/>
    <m/>
    <n v="5.5"/>
  </r>
  <r>
    <x v="275"/>
    <x v="1"/>
    <d v="1899-12-30T09:00:00"/>
    <d v="1899-12-30T12:00:00"/>
    <n v="3"/>
    <m/>
    <m/>
    <n v="3"/>
    <x v="1"/>
    <x v="2"/>
    <m/>
    <m/>
    <n v="3"/>
  </r>
  <r>
    <x v="275"/>
    <x v="3"/>
    <d v="1899-12-30T13:00:00"/>
    <d v="1899-12-30T18:30:00"/>
    <n v="5.0000000000000018"/>
    <n v="0.5"/>
    <m/>
    <n v="5.0000000000000018"/>
    <x v="1"/>
    <x v="2"/>
    <m/>
    <m/>
    <n v="5.0000000000000018"/>
  </r>
  <r>
    <x v="275"/>
    <x v="3"/>
    <d v="1899-12-30T18:30:00"/>
    <d v="1899-12-30T00:00:00"/>
    <n v="4.9999999999999991"/>
    <n v="0.5"/>
    <m/>
    <n v="4.9999999999999991"/>
    <x v="1"/>
    <x v="2"/>
    <m/>
    <m/>
    <n v="4.9999999999999991"/>
  </r>
  <r>
    <x v="275"/>
    <x v="0"/>
    <d v="1899-12-30T06:30:00"/>
    <d v="1899-12-30T10:00:00"/>
    <n v="3.5000000000000009"/>
    <m/>
    <m/>
    <m/>
    <x v="1"/>
    <x v="18"/>
    <m/>
    <m/>
    <n v="1.5000000000000009"/>
  </r>
  <r>
    <x v="275"/>
    <x v="0"/>
    <d v="1899-12-30T08:00:00"/>
    <d v="1899-12-30T13:00:00"/>
    <n v="5"/>
    <m/>
    <m/>
    <m/>
    <x v="1"/>
    <x v="14"/>
    <m/>
    <m/>
    <n v="3"/>
  </r>
  <r>
    <x v="276"/>
    <x v="3"/>
    <d v="1899-12-30T10:00:00"/>
    <d v="1899-12-30T19:00:00"/>
    <n v="7.9999999999999982"/>
    <n v="1"/>
    <m/>
    <n v="7.9999999999999982"/>
    <x v="1"/>
    <x v="2"/>
    <m/>
    <m/>
    <n v="7.9999999999999982"/>
  </r>
  <r>
    <x v="276"/>
    <x v="1"/>
    <d v="1899-12-30T14:30:00"/>
    <d v="1899-12-30T17:30:00"/>
    <n v="3"/>
    <m/>
    <m/>
    <n v="3"/>
    <x v="1"/>
    <x v="2"/>
    <m/>
    <m/>
    <n v="3"/>
  </r>
  <r>
    <x v="277"/>
    <x v="0"/>
    <d v="1899-12-30T08:00:00"/>
    <d v="1899-12-30T14:00:00"/>
    <n v="5.5000000000000018"/>
    <n v="0.5"/>
    <m/>
    <m/>
    <x v="1"/>
    <x v="11"/>
    <m/>
    <m/>
    <n v="3.5000000000000018"/>
  </r>
  <r>
    <x v="278"/>
    <x v="0"/>
    <d v="1899-12-30T08:00:00"/>
    <d v="1899-12-30T14:00:00"/>
    <n v="5.5000000000000018"/>
    <n v="0.5"/>
    <m/>
    <m/>
    <x v="1"/>
    <x v="11"/>
    <m/>
    <m/>
    <n v="3.5000000000000018"/>
  </r>
  <r>
    <x v="279"/>
    <x v="1"/>
    <d v="1899-12-30T17:00:00"/>
    <d v="1899-12-30T21:30:00"/>
    <n v="4.5"/>
    <m/>
    <m/>
    <n v="6.5"/>
    <x v="1"/>
    <x v="2"/>
    <m/>
    <m/>
    <n v="6.5"/>
  </r>
  <r>
    <x v="279"/>
    <x v="0"/>
    <d v="1899-12-30T08:00:00"/>
    <d v="1899-12-30T14:00:00"/>
    <n v="5.5000000000000018"/>
    <n v="0.5"/>
    <m/>
    <m/>
    <x v="1"/>
    <x v="11"/>
    <m/>
    <m/>
    <n v="3.5000000000000018"/>
  </r>
  <r>
    <x v="280"/>
    <x v="1"/>
    <d v="1899-12-30T18:00:00"/>
    <d v="1899-12-30T23:30:00"/>
    <n v="4.9999999999999991"/>
    <n v="0.5"/>
    <m/>
    <n v="6.9999999999999991"/>
    <x v="1"/>
    <x v="2"/>
    <m/>
    <m/>
    <n v="6.9999999999999991"/>
  </r>
  <r>
    <x v="280"/>
    <x v="0"/>
    <d v="1899-12-30T08:00:00"/>
    <d v="1899-12-30T14:00:00"/>
    <n v="5.5000000000000018"/>
    <n v="0.5"/>
    <m/>
    <m/>
    <x v="1"/>
    <x v="11"/>
    <m/>
    <m/>
    <n v="3.5000000000000018"/>
  </r>
  <r>
    <x v="280"/>
    <x v="0"/>
    <d v="1899-12-30T17:00:00"/>
    <d v="1899-12-30T23:00:00"/>
    <n v="5.5"/>
    <n v="0.5"/>
    <m/>
    <m/>
    <x v="1"/>
    <x v="13"/>
    <m/>
    <m/>
    <n v="3.5"/>
  </r>
  <r>
    <x v="280"/>
    <x v="2"/>
    <d v="1899-12-30T11:30:00"/>
    <d v="1899-12-30T17:30:00"/>
    <n v="5.4999999999999982"/>
    <n v="0.5"/>
    <m/>
    <n v="7.4999999999999982"/>
    <x v="1"/>
    <x v="2"/>
    <m/>
    <m/>
    <n v="7.4999999999999982"/>
  </r>
  <r>
    <x v="281"/>
    <x v="1"/>
    <d v="1899-12-30T11:30:00"/>
    <d v="1899-12-30T17:30:00"/>
    <n v="5.4999999999999982"/>
    <n v="0.5"/>
    <m/>
    <n v="7.4999999999999982"/>
    <x v="1"/>
    <x v="2"/>
    <m/>
    <m/>
    <n v="7.4999999999999982"/>
  </r>
  <r>
    <x v="281"/>
    <x v="0"/>
    <d v="1899-12-30T08:00:00"/>
    <d v="1899-12-30T14:00:00"/>
    <n v="5.5000000000000018"/>
    <n v="0.5"/>
    <m/>
    <m/>
    <x v="1"/>
    <x v="11"/>
    <m/>
    <m/>
    <n v="3.5000000000000018"/>
  </r>
  <r>
    <x v="282"/>
    <x v="3"/>
    <d v="1899-12-30T06:30:00"/>
    <d v="1899-12-30T14:30:00"/>
    <n v="7.5"/>
    <n v="0.5"/>
    <m/>
    <n v="7.5"/>
    <x v="1"/>
    <x v="2"/>
    <m/>
    <m/>
    <n v="7.5"/>
  </r>
  <r>
    <x v="282"/>
    <x v="2"/>
    <d v="1899-12-30T08:00:00"/>
    <d v="1899-12-30T14:00:00"/>
    <n v="5.5000000000000018"/>
    <n v="0.5"/>
    <m/>
    <n v="5.5000000000000018"/>
    <x v="1"/>
    <x v="2"/>
    <m/>
    <m/>
    <n v="5.5000000000000018"/>
  </r>
  <r>
    <x v="282"/>
    <x v="2"/>
    <d v="1899-12-30T14:00:00"/>
    <d v="1899-12-30T18:30:00"/>
    <n v="4.5"/>
    <m/>
    <m/>
    <n v="4.5"/>
    <x v="1"/>
    <x v="2"/>
    <m/>
    <m/>
    <n v="4.5"/>
  </r>
  <r>
    <x v="282"/>
    <x v="3"/>
    <d v="1899-12-30T14:00:00"/>
    <d v="1899-12-30T01:00:00"/>
    <n v="9.9999999999999982"/>
    <n v="1"/>
    <m/>
    <n v="9.9999999999999982"/>
    <x v="1"/>
    <x v="2"/>
    <m/>
    <m/>
    <n v="9.9999999999999982"/>
  </r>
  <r>
    <x v="282"/>
    <x v="8"/>
    <d v="1899-12-30T14:30:00"/>
    <d v="1899-12-30T20:30:00"/>
    <n v="5.5"/>
    <n v="0.5"/>
    <m/>
    <n v="5.5"/>
    <x v="1"/>
    <x v="2"/>
    <m/>
    <m/>
    <n v="5.5"/>
  </r>
  <r>
    <x v="282"/>
    <x v="12"/>
    <d v="1899-12-30T17:30:00"/>
    <d v="1899-12-30T21:30:00"/>
    <n v="4.0000000000000018"/>
    <m/>
    <m/>
    <n v="4.0000000000000018"/>
    <x v="1"/>
    <x v="2"/>
    <m/>
    <m/>
    <n v="4.0000000000000018"/>
  </r>
  <r>
    <x v="283"/>
    <x v="2"/>
    <d v="1899-12-30T12:00:00"/>
    <d v="1899-12-30T18:00:00"/>
    <n v="5.5"/>
    <n v="0.5"/>
    <m/>
    <n v="5.5"/>
    <x v="1"/>
    <x v="2"/>
    <m/>
    <m/>
    <n v="5.5"/>
  </r>
  <r>
    <x v="283"/>
    <x v="3"/>
    <d v="1899-12-30T13:30:00"/>
    <d v="1899-12-30T18:30:00"/>
    <n v="5.0000000000000009"/>
    <m/>
    <m/>
    <n v="5.0000000000000009"/>
    <x v="1"/>
    <x v="2"/>
    <m/>
    <m/>
    <n v="5.0000000000000009"/>
  </r>
  <r>
    <x v="284"/>
    <x v="0"/>
    <d v="1899-12-30T08:00:00"/>
    <d v="1899-12-30T14:00:00"/>
    <n v="5.5000000000000018"/>
    <n v="0.5"/>
    <m/>
    <m/>
    <x v="1"/>
    <x v="11"/>
    <m/>
    <m/>
    <n v="3.5000000000000018"/>
  </r>
  <r>
    <x v="285"/>
    <x v="0"/>
    <d v="1899-12-30T08:00:00"/>
    <d v="1899-12-30T14:00:00"/>
    <n v="5.5000000000000018"/>
    <n v="0.5"/>
    <m/>
    <m/>
    <x v="1"/>
    <x v="11"/>
    <m/>
    <m/>
    <n v="3.5000000000000018"/>
  </r>
  <r>
    <x v="286"/>
    <x v="1"/>
    <d v="1899-12-30T17:00:00"/>
    <d v="1899-12-30T21:30:00"/>
    <n v="4.5"/>
    <m/>
    <m/>
    <n v="6.5"/>
    <x v="1"/>
    <x v="2"/>
    <m/>
    <m/>
    <n v="6.5"/>
  </r>
  <r>
    <x v="286"/>
    <x v="0"/>
    <d v="1899-12-30T08:00:00"/>
    <d v="1899-12-30T14:00:00"/>
    <n v="5.5000000000000018"/>
    <n v="0.5"/>
    <m/>
    <m/>
    <x v="1"/>
    <x v="11"/>
    <m/>
    <m/>
    <n v="3.5000000000000018"/>
  </r>
  <r>
    <x v="287"/>
    <x v="0"/>
    <d v="1899-12-30T18:30:00"/>
    <d v="1899-12-30T22:00:00"/>
    <n v="3.4999999999999982"/>
    <m/>
    <m/>
    <m/>
    <x v="1"/>
    <x v="7"/>
    <m/>
    <m/>
    <n v="1.4999999999999982"/>
  </r>
  <r>
    <x v="287"/>
    <x v="0"/>
    <d v="1899-12-30T08:00:00"/>
    <d v="1899-12-30T14:00:00"/>
    <n v="5.5000000000000018"/>
    <n v="0.5"/>
    <m/>
    <m/>
    <x v="1"/>
    <x v="11"/>
    <m/>
    <m/>
    <n v="3.5000000000000018"/>
  </r>
  <r>
    <x v="288"/>
    <x v="0"/>
    <d v="1899-12-30T08:00:00"/>
    <d v="1899-12-30T14:00:00"/>
    <n v="5.5000000000000018"/>
    <n v="0.5"/>
    <n v="5521"/>
    <m/>
    <x v="1"/>
    <x v="11"/>
    <m/>
    <m/>
    <n v="3.5000000000000018"/>
  </r>
  <r>
    <x v="288"/>
    <x v="2"/>
    <d v="1899-12-30T18:00:00"/>
    <d v="1899-12-30T23:00:00"/>
    <n v="5.0000000000000009"/>
    <m/>
    <m/>
    <n v="7.0000000000000009"/>
    <x v="1"/>
    <x v="2"/>
    <m/>
    <m/>
    <n v="7.0000000000000009"/>
  </r>
  <r>
    <x v="288"/>
    <x v="2"/>
    <d v="1899-12-30T11:00:00"/>
    <d v="1899-12-30T16:00:00"/>
    <n v="5"/>
    <m/>
    <m/>
    <n v="7"/>
    <x v="1"/>
    <x v="2"/>
    <m/>
    <m/>
    <n v="7"/>
  </r>
  <r>
    <x v="289"/>
    <x v="5"/>
    <d v="1899-12-30T10:00:00"/>
    <d v="1899-12-30T13:00:00"/>
    <n v="2.9999999999999987"/>
    <m/>
    <m/>
    <n v="2.9999999999999987"/>
    <x v="1"/>
    <x v="2"/>
    <m/>
    <m/>
    <n v="2.9999999999999987"/>
  </r>
  <r>
    <x v="289"/>
    <x v="1"/>
    <d v="1899-12-30T09:00:00"/>
    <d v="1899-12-30T11:00:00"/>
    <n v="1.9999999999999996"/>
    <m/>
    <m/>
    <n v="1.9999999999999996"/>
    <x v="1"/>
    <x v="2"/>
    <m/>
    <m/>
    <n v="1.9999999999999996"/>
  </r>
  <r>
    <x v="289"/>
    <x v="3"/>
    <d v="1899-12-30T06:30:00"/>
    <d v="1899-12-30T13:00:00"/>
    <n v="6"/>
    <n v="0.5"/>
    <m/>
    <n v="6"/>
    <x v="1"/>
    <x v="2"/>
    <m/>
    <m/>
    <n v="6"/>
  </r>
  <r>
    <x v="289"/>
    <x v="2"/>
    <d v="1899-12-30T13:00:00"/>
    <d v="1899-12-30T01:30:00"/>
    <n v="11.5"/>
    <n v="1"/>
    <m/>
    <n v="11.5"/>
    <x v="1"/>
    <x v="2"/>
    <m/>
    <m/>
    <n v="11.5"/>
  </r>
  <r>
    <x v="289"/>
    <x v="3"/>
    <d v="1899-12-30T13:00:00"/>
    <d v="1899-12-30T22:00:00"/>
    <n v="8"/>
    <n v="1"/>
    <m/>
    <n v="8"/>
    <x v="1"/>
    <x v="2"/>
    <m/>
    <m/>
    <n v="8"/>
  </r>
  <r>
    <x v="289"/>
    <x v="5"/>
    <d v="1899-12-30T13:00:00"/>
    <d v="1899-12-30T17:00:00"/>
    <n v="4.0000000000000018"/>
    <m/>
    <m/>
    <n v="4.0000000000000018"/>
    <x v="1"/>
    <x v="2"/>
    <m/>
    <m/>
    <n v="4.0000000000000018"/>
  </r>
  <r>
    <x v="289"/>
    <x v="8"/>
    <d v="1899-12-30T11:00:00"/>
    <d v="1899-12-30T19:00:00"/>
    <n v="7.5"/>
    <n v="0.5"/>
    <m/>
    <n v="7.5"/>
    <x v="1"/>
    <x v="2"/>
    <m/>
    <m/>
    <n v="7.5"/>
  </r>
  <r>
    <x v="290"/>
    <x v="1"/>
    <d v="1899-12-30T15:00:00"/>
    <d v="1899-12-30T17:00:00"/>
    <n v="2.0000000000000009"/>
    <m/>
    <m/>
    <n v="2.0000000000000009"/>
    <x v="1"/>
    <x v="2"/>
    <m/>
    <m/>
    <n v="2.0000000000000009"/>
  </r>
  <r>
    <x v="291"/>
    <x v="0"/>
    <d v="1899-12-30T18:00:00"/>
    <d v="1899-12-30T23:00:00"/>
    <n v="5.0000000000000009"/>
    <m/>
    <m/>
    <m/>
    <x v="1"/>
    <x v="4"/>
    <m/>
    <m/>
    <n v="3.0000000000000009"/>
  </r>
  <r>
    <x v="291"/>
    <x v="0"/>
    <d v="1899-12-30T08:00:00"/>
    <d v="1899-12-30T14:00:00"/>
    <n v="5.5000000000000018"/>
    <n v="0.5"/>
    <m/>
    <m/>
    <x v="1"/>
    <x v="11"/>
    <m/>
    <m/>
    <n v="3.5000000000000018"/>
  </r>
  <r>
    <x v="292"/>
    <x v="0"/>
    <d v="1899-12-30T08:00:00"/>
    <d v="1899-12-30T14:00:00"/>
    <n v="5.5000000000000018"/>
    <n v="0.5"/>
    <m/>
    <m/>
    <x v="1"/>
    <x v="11"/>
    <m/>
    <m/>
    <n v="3.5000000000000018"/>
  </r>
  <r>
    <x v="292"/>
    <x v="2"/>
    <d v="1899-12-30T17:00:00"/>
    <d v="1899-12-30T22:30:00"/>
    <n v="4.9999999999999991"/>
    <n v="0.5"/>
    <m/>
    <n v="6.9999999999999991"/>
    <x v="1"/>
    <x v="2"/>
    <m/>
    <m/>
    <n v="6.9999999999999991"/>
  </r>
  <r>
    <x v="293"/>
    <x v="1"/>
    <d v="1899-12-30T15:00:00"/>
    <d v="1899-12-30T21:30:00"/>
    <n v="6.0000000000000009"/>
    <n v="0.5"/>
    <m/>
    <n v="8"/>
    <x v="1"/>
    <x v="2"/>
    <m/>
    <m/>
    <n v="8"/>
  </r>
  <r>
    <x v="293"/>
    <x v="0"/>
    <d v="1899-12-30T08:00:00"/>
    <d v="1899-12-30T14:00:00"/>
    <n v="5.5000000000000018"/>
    <n v="0.5"/>
    <m/>
    <m/>
    <x v="1"/>
    <x v="11"/>
    <m/>
    <m/>
    <n v="3.5000000000000018"/>
  </r>
  <r>
    <x v="294"/>
    <x v="0"/>
    <d v="1899-12-30T18:30:00"/>
    <d v="1899-12-30T22:30:00"/>
    <n v="3.9999999999999991"/>
    <m/>
    <m/>
    <m/>
    <x v="1"/>
    <x v="6"/>
    <m/>
    <m/>
    <n v="1.9999999999999991"/>
  </r>
  <r>
    <x v="294"/>
    <x v="2"/>
    <d v="1899-12-30T08:00:00"/>
    <d v="1899-12-30T17:00:00"/>
    <n v="8.0000000000000018"/>
    <n v="1"/>
    <m/>
    <n v="10.000000000000002"/>
    <x v="1"/>
    <x v="2"/>
    <m/>
    <m/>
    <n v="10.000000000000002"/>
  </r>
  <r>
    <x v="294"/>
    <x v="0"/>
    <d v="1899-12-30T08:00:00"/>
    <d v="1899-12-30T14:00:00"/>
    <n v="5.5000000000000018"/>
    <n v="0.5"/>
    <m/>
    <m/>
    <x v="1"/>
    <x v="11"/>
    <m/>
    <m/>
    <n v="3.5000000000000018"/>
  </r>
  <r>
    <x v="295"/>
    <x v="0"/>
    <d v="1899-12-30T08:00:00"/>
    <d v="1899-12-30T14:00:00"/>
    <n v="5.5000000000000018"/>
    <n v="0.5"/>
    <m/>
    <m/>
    <x v="1"/>
    <x v="11"/>
    <m/>
    <m/>
    <n v="3.5000000000000018"/>
  </r>
  <r>
    <x v="295"/>
    <x v="0"/>
    <d v="1899-12-30T16:30:00"/>
    <d v="1899-12-30T21:30:00"/>
    <n v="5.0000000000000009"/>
    <m/>
    <m/>
    <m/>
    <x v="1"/>
    <x v="4"/>
    <m/>
    <m/>
    <n v="3.0000000000000009"/>
  </r>
  <r>
    <x v="296"/>
    <x v="0"/>
    <d v="1899-12-30T08:00:00"/>
    <d v="1899-12-30T13:00:00"/>
    <n v="5"/>
    <m/>
    <m/>
    <m/>
    <x v="1"/>
    <x v="14"/>
    <m/>
    <m/>
    <n v="3"/>
  </r>
  <r>
    <x v="296"/>
    <x v="3"/>
    <d v="1899-12-30T06:30:00"/>
    <d v="1899-12-30T10:00:00"/>
    <n v="3.5000000000000009"/>
    <m/>
    <m/>
    <n v="3.5000000000000009"/>
    <x v="1"/>
    <x v="2"/>
    <m/>
    <m/>
    <n v="3.5000000000000009"/>
  </r>
  <r>
    <x v="296"/>
    <x v="2"/>
    <d v="1899-12-30T07:00:00"/>
    <d v="1899-12-30T13:30:00"/>
    <n v="6"/>
    <n v="0.5"/>
    <m/>
    <n v="6"/>
    <x v="1"/>
    <x v="2"/>
    <m/>
    <m/>
    <n v="6"/>
  </r>
  <r>
    <x v="296"/>
    <x v="5"/>
    <d v="1899-12-30T17:00:00"/>
    <d v="1899-12-30T01:30:00"/>
    <n v="7.5"/>
    <n v="1"/>
    <m/>
    <n v="7.5"/>
    <x v="1"/>
    <x v="2"/>
    <m/>
    <m/>
    <n v="7.5"/>
  </r>
  <r>
    <x v="296"/>
    <x v="3"/>
    <d v="1899-12-30T14:00:00"/>
    <d v="1899-12-30T18:00:00"/>
    <n v="3.9999999999999991"/>
    <m/>
    <m/>
    <n v="3.9999999999999991"/>
    <x v="1"/>
    <x v="2"/>
    <m/>
    <m/>
    <n v="3.9999999999999991"/>
  </r>
  <r>
    <x v="296"/>
    <x v="2"/>
    <d v="1899-12-30T13:00:00"/>
    <d v="1899-12-30T19:00:00"/>
    <n v="5.5"/>
    <n v="0.5"/>
    <m/>
    <n v="5.5"/>
    <x v="1"/>
    <x v="2"/>
    <m/>
    <m/>
    <n v="5.5"/>
  </r>
  <r>
    <x v="296"/>
    <x v="1"/>
    <d v="1899-12-30T09:00:00"/>
    <d v="1899-12-30T12:00:00"/>
    <n v="3"/>
    <m/>
    <m/>
    <n v="3"/>
    <x v="1"/>
    <x v="2"/>
    <m/>
    <m/>
    <n v="3"/>
  </r>
  <r>
    <x v="296"/>
    <x v="8"/>
    <d v="1899-12-30T09:00:00"/>
    <d v="1899-12-30T15:30:00"/>
    <n v="6.0000000000000009"/>
    <n v="0.5"/>
    <m/>
    <n v="6.0000000000000009"/>
    <x v="1"/>
    <x v="2"/>
    <m/>
    <m/>
    <n v="6.0000000000000009"/>
  </r>
  <r>
    <x v="296"/>
    <x v="3"/>
    <d v="1899-12-30T18:30:00"/>
    <d v="1899-12-30T23:00:00"/>
    <n v="4.5"/>
    <m/>
    <m/>
    <n v="4.5"/>
    <x v="1"/>
    <x v="2"/>
    <m/>
    <m/>
    <n v="4.5"/>
  </r>
  <r>
    <x v="297"/>
    <x v="2"/>
    <d v="1899-12-30T10:00:00"/>
    <d v="1899-12-30T18:00:00"/>
    <n v="7"/>
    <n v="1"/>
    <m/>
    <n v="7"/>
    <x v="1"/>
    <x v="2"/>
    <m/>
    <m/>
    <n v="7"/>
  </r>
  <r>
    <x v="297"/>
    <x v="5"/>
    <d v="1899-12-30T13:30:00"/>
    <d v="1899-12-30T18:30:00"/>
    <n v="5.0000000000000009"/>
    <m/>
    <m/>
    <n v="5.0000000000000009"/>
    <x v="1"/>
    <x v="2"/>
    <m/>
    <m/>
    <n v="5.0000000000000009"/>
  </r>
  <r>
    <x v="297"/>
    <x v="3"/>
    <d v="1899-12-30T12:00:00"/>
    <d v="1899-12-30T18:00:00"/>
    <n v="5.5"/>
    <n v="0.5"/>
    <m/>
    <n v="5.5"/>
    <x v="1"/>
    <x v="2"/>
    <m/>
    <m/>
    <n v="5.5"/>
  </r>
  <r>
    <x v="298"/>
    <x v="0"/>
    <d v="1899-12-30T08:00:00"/>
    <d v="1899-12-30T14:00:00"/>
    <n v="5.5000000000000018"/>
    <n v="0.5"/>
    <m/>
    <m/>
    <x v="1"/>
    <x v="11"/>
    <m/>
    <m/>
    <n v="3.5000000000000018"/>
  </r>
  <r>
    <x v="298"/>
    <x v="2"/>
    <d v="1899-12-30T17:30:00"/>
    <d v="1899-12-30T20:30:00"/>
    <n v="3"/>
    <m/>
    <m/>
    <n v="5"/>
    <x v="1"/>
    <x v="2"/>
    <m/>
    <m/>
    <n v="5"/>
  </r>
  <r>
    <x v="299"/>
    <x v="1"/>
    <d v="1899-12-30T15:00:00"/>
    <d v="1899-12-30T21:30:00"/>
    <n v="6.0000000000000009"/>
    <n v="0.5"/>
    <m/>
    <n v="8"/>
    <x v="1"/>
    <x v="2"/>
    <m/>
    <m/>
    <n v="8"/>
  </r>
  <r>
    <x v="299"/>
    <x v="0"/>
    <d v="1899-12-30T08:00:00"/>
    <d v="1899-12-30T14:00:00"/>
    <n v="5.5000000000000018"/>
    <n v="0.5"/>
    <m/>
    <m/>
    <x v="1"/>
    <x v="11"/>
    <m/>
    <m/>
    <n v="3.5000000000000018"/>
  </r>
  <r>
    <x v="300"/>
    <x v="4"/>
    <d v="1899-12-30T16:30:00"/>
    <d v="1899-12-30T22:00:00"/>
    <n v="4.9999999999999991"/>
    <n v="0.5"/>
    <m/>
    <n v="6.9999999999999991"/>
    <x v="1"/>
    <x v="2"/>
    <m/>
    <m/>
    <n v="6.9999999999999991"/>
  </r>
  <r>
    <x v="300"/>
    <x v="0"/>
    <d v="1899-12-30T17:00:00"/>
    <d v="1899-12-30T22:30:00"/>
    <n v="4.9999999999999991"/>
    <n v="0.5"/>
    <m/>
    <m/>
    <x v="1"/>
    <x v="17"/>
    <m/>
    <m/>
    <n v="2.9999999999999991"/>
  </r>
  <r>
    <x v="301"/>
    <x v="2"/>
    <d v="1899-12-30T17:30:00"/>
    <d v="1899-12-30T21:30:00"/>
    <n v="4.0000000000000018"/>
    <m/>
    <m/>
    <n v="6.0000000000000018"/>
    <x v="1"/>
    <x v="2"/>
    <m/>
    <m/>
    <n v="6.0000000000000018"/>
  </r>
  <r>
    <x v="301"/>
    <x v="0"/>
    <d v="1899-12-30T08:00:00"/>
    <d v="1899-12-30T14:00:00"/>
    <n v="5.5000000000000018"/>
    <n v="0.5"/>
    <m/>
    <m/>
    <x v="1"/>
    <x v="11"/>
    <m/>
    <m/>
    <n v="3.5000000000000018"/>
  </r>
  <r>
    <x v="302"/>
    <x v="0"/>
    <d v="1899-12-30T08:00:00"/>
    <d v="1899-12-30T13:00:00"/>
    <n v="5"/>
    <m/>
    <m/>
    <m/>
    <x v="1"/>
    <x v="14"/>
    <m/>
    <m/>
    <n v="3"/>
  </r>
  <r>
    <x v="302"/>
    <x v="3"/>
    <d v="1899-12-30T06:30:00"/>
    <d v="1899-12-30T10:00:00"/>
    <n v="3.5000000000000009"/>
    <m/>
    <m/>
    <n v="3.5000000000000009"/>
    <x v="1"/>
    <x v="2"/>
    <m/>
    <m/>
    <n v="3.5000000000000009"/>
  </r>
  <r>
    <x v="302"/>
    <x v="6"/>
    <d v="1899-12-30T13:00:00"/>
    <d v="1899-12-30T18:30:00"/>
    <n v="5.0000000000000018"/>
    <n v="0.5"/>
    <m/>
    <n v="5.0000000000000018"/>
    <x v="1"/>
    <x v="2"/>
    <m/>
    <m/>
    <n v="5.0000000000000018"/>
  </r>
  <r>
    <x v="302"/>
    <x v="1"/>
    <d v="1899-12-30T09:00:00"/>
    <d v="1899-12-30T15:30:00"/>
    <n v="6.0000000000000009"/>
    <n v="0.5"/>
    <m/>
    <n v="6.0000000000000009"/>
    <x v="1"/>
    <x v="2"/>
    <m/>
    <m/>
    <n v="6.0000000000000009"/>
  </r>
  <r>
    <x v="302"/>
    <x v="3"/>
    <d v="1899-12-30T13:00:00"/>
    <d v="1899-12-30T20:00:00"/>
    <n v="6.5000000000000018"/>
    <n v="0.5"/>
    <m/>
    <n v="6.5000000000000018"/>
    <x v="1"/>
    <x v="2"/>
    <m/>
    <m/>
    <n v="6.5000000000000018"/>
  </r>
  <r>
    <x v="303"/>
    <x v="8"/>
    <d v="1899-12-30T10:00:00"/>
    <d v="1899-12-30T16:30:00"/>
    <n v="6"/>
    <n v="0.5"/>
    <m/>
    <n v="6"/>
    <x v="1"/>
    <x v="2"/>
    <m/>
    <m/>
    <n v="6"/>
  </r>
  <r>
    <x v="303"/>
    <x v="3"/>
    <d v="1899-12-30T15:00:00"/>
    <d v="1899-12-30T23:30:00"/>
    <n v="7.5"/>
    <n v="1"/>
    <m/>
    <n v="7.5"/>
    <x v="1"/>
    <x v="2"/>
    <m/>
    <m/>
    <n v="7.5"/>
  </r>
  <r>
    <x v="303"/>
    <x v="2"/>
    <d v="1899-12-30T17:00:00"/>
    <d v="1899-12-30T23:00:00"/>
    <n v="5.5"/>
    <n v="0.5"/>
    <m/>
    <n v="5.5"/>
    <x v="1"/>
    <x v="2"/>
    <m/>
    <m/>
    <n v="5.5"/>
  </r>
  <r>
    <x v="303"/>
    <x v="2"/>
    <d v="1899-12-30T13:00:00"/>
    <d v="1899-12-30T17:00:00"/>
    <n v="4.0000000000000018"/>
    <m/>
    <m/>
    <n v="4.0000000000000018"/>
    <x v="1"/>
    <x v="2"/>
    <m/>
    <m/>
    <n v="4.0000000000000018"/>
  </r>
  <r>
    <x v="304"/>
    <x v="0"/>
    <d v="1899-12-30T08:00:00"/>
    <d v="1899-12-30T14:00:00"/>
    <n v="5.5000000000000018"/>
    <n v="0.5"/>
    <m/>
    <m/>
    <x v="1"/>
    <x v="11"/>
    <m/>
    <m/>
    <n v="3.5000000000000018"/>
  </r>
  <r>
    <x v="304"/>
    <x v="1"/>
    <d v="1899-12-30T17:00:00"/>
    <d v="1899-12-30T22:00:00"/>
    <n v="4.9999999999999982"/>
    <m/>
    <m/>
    <n v="6.9999999999999982"/>
    <x v="1"/>
    <x v="2"/>
    <m/>
    <m/>
    <n v="6.9999999999999982"/>
  </r>
  <r>
    <x v="305"/>
    <x v="2"/>
    <d v="1899-12-30T17:30:00"/>
    <d v="1899-12-30T20:30:00"/>
    <n v="3"/>
    <m/>
    <m/>
    <n v="5"/>
    <x v="1"/>
    <x v="2"/>
    <m/>
    <m/>
    <n v="5"/>
  </r>
  <r>
    <x v="305"/>
    <x v="0"/>
    <d v="1899-12-30T08:00:00"/>
    <d v="1899-12-30T14:00:00"/>
    <n v="5.5000000000000018"/>
    <n v="0.5"/>
    <m/>
    <m/>
    <x v="1"/>
    <x v="11"/>
    <m/>
    <m/>
    <n v="3.5000000000000018"/>
  </r>
  <r>
    <x v="306"/>
    <x v="0"/>
    <d v="1899-12-30T08:00:00"/>
    <d v="1899-12-30T14:00:00"/>
    <n v="5.5000000000000018"/>
    <n v="0.5"/>
    <m/>
    <m/>
    <x v="1"/>
    <x v="11"/>
    <m/>
    <m/>
    <n v="3.5000000000000018"/>
  </r>
  <r>
    <x v="306"/>
    <x v="1"/>
    <d v="1899-12-30T15:00:00"/>
    <d v="1899-12-30T21:30:00"/>
    <n v="6.0000000000000009"/>
    <n v="0.5"/>
    <m/>
    <n v="8"/>
    <x v="1"/>
    <x v="2"/>
    <m/>
    <m/>
    <n v="8"/>
  </r>
  <r>
    <x v="307"/>
    <x v="0"/>
    <d v="1899-12-30T08:00:00"/>
    <d v="1899-12-30T14:00:00"/>
    <n v="5.5000000000000018"/>
    <n v="0.5"/>
    <m/>
    <m/>
    <x v="1"/>
    <x v="11"/>
    <m/>
    <m/>
    <n v="3.5000000000000018"/>
  </r>
  <r>
    <x v="307"/>
    <x v="0"/>
    <d v="1899-12-30T18:30:00"/>
    <d v="1899-12-30T22:00:00"/>
    <n v="3.4999999999999982"/>
    <m/>
    <m/>
    <m/>
    <x v="1"/>
    <x v="7"/>
    <m/>
    <m/>
    <n v="1.4999999999999982"/>
  </r>
  <r>
    <x v="308"/>
    <x v="0"/>
    <d v="1899-12-30T08:00:00"/>
    <d v="1899-12-30T14:00:00"/>
    <n v="5.5000000000000018"/>
    <n v="0.5"/>
    <m/>
    <m/>
    <x v="1"/>
    <x v="11"/>
    <m/>
    <m/>
    <n v="3.5000000000000018"/>
  </r>
  <r>
    <x v="308"/>
    <x v="0"/>
    <d v="1899-12-30T16:30:00"/>
    <d v="1899-12-30T18:30:00"/>
    <n v="2.0000000000000009"/>
    <m/>
    <m/>
    <m/>
    <x v="1"/>
    <x v="24"/>
    <m/>
    <m/>
    <n v="0"/>
  </r>
  <r>
    <x v="309"/>
    <x v="0"/>
    <d v="1899-12-30T08:00:00"/>
    <d v="1899-12-30T13:00:00"/>
    <n v="5"/>
    <m/>
    <m/>
    <m/>
    <x v="1"/>
    <x v="14"/>
    <m/>
    <m/>
    <n v="3"/>
  </r>
  <r>
    <x v="309"/>
    <x v="3"/>
    <d v="1899-12-30T06:30:00"/>
    <d v="1899-12-30T10:00:00"/>
    <n v="3.5000000000000009"/>
    <m/>
    <m/>
    <n v="3.5000000000000009"/>
    <x v="1"/>
    <x v="2"/>
    <m/>
    <m/>
    <n v="3.5000000000000009"/>
  </r>
  <r>
    <x v="309"/>
    <x v="2"/>
    <d v="1899-12-30T19:00:00"/>
    <d v="1899-12-30T01:00:00"/>
    <n v="5.5"/>
    <n v="0.5"/>
    <m/>
    <n v="5.5"/>
    <x v="1"/>
    <x v="2"/>
    <m/>
    <m/>
    <n v="5.5"/>
  </r>
  <r>
    <x v="309"/>
    <x v="5"/>
    <d v="1899-12-30T17:30:00"/>
    <d v="1899-12-30T22:00:00"/>
    <n v="4.5"/>
    <m/>
    <m/>
    <n v="4.5"/>
    <x v="1"/>
    <x v="2"/>
    <m/>
    <m/>
    <n v="4.5"/>
  </r>
  <r>
    <x v="309"/>
    <x v="1"/>
    <d v="1899-12-30T08:00:00"/>
    <d v="1899-12-30T12:00:00"/>
    <n v="4"/>
    <m/>
    <m/>
    <n v="4"/>
    <x v="1"/>
    <x v="2"/>
    <m/>
    <m/>
    <n v="4"/>
  </r>
  <r>
    <x v="309"/>
    <x v="6"/>
    <d v="1899-12-30T08:00:00"/>
    <d v="1899-12-30T13:00:00"/>
    <n v="5"/>
    <m/>
    <m/>
    <n v="5"/>
    <x v="1"/>
    <x v="2"/>
    <m/>
    <m/>
    <n v="5"/>
  </r>
  <r>
    <x v="309"/>
    <x v="2"/>
    <d v="1899-12-30T13:30:00"/>
    <d v="1899-12-30T19:00:00"/>
    <n v="4.9999999999999991"/>
    <n v="0.5"/>
    <m/>
    <n v="4.9999999999999991"/>
    <x v="1"/>
    <x v="2"/>
    <m/>
    <m/>
    <n v="4.9999999999999991"/>
  </r>
  <r>
    <x v="309"/>
    <x v="6"/>
    <d v="1899-12-30T13:00:00"/>
    <d v="1899-12-30T17:30:00"/>
    <n v="4.5"/>
    <m/>
    <m/>
    <n v="4.5"/>
    <x v="1"/>
    <x v="2"/>
    <m/>
    <m/>
    <n v="4.5"/>
  </r>
  <r>
    <x v="310"/>
    <x v="8"/>
    <d v="1899-12-30T10:00:00"/>
    <d v="1899-12-30T17:00:00"/>
    <n v="6.5"/>
    <n v="0.5"/>
    <m/>
    <n v="6.5"/>
    <x v="1"/>
    <x v="2"/>
    <m/>
    <m/>
    <n v="6.5"/>
  </r>
  <r>
    <x v="310"/>
    <x v="2"/>
    <d v="1899-12-30T16:30:00"/>
    <d v="1899-12-30T23:30:00"/>
    <n v="6.4999999999999991"/>
    <n v="0.5"/>
    <m/>
    <n v="6.4999999999999991"/>
    <x v="1"/>
    <x v="2"/>
    <m/>
    <m/>
    <n v="6.4999999999999991"/>
  </r>
  <r>
    <x v="310"/>
    <x v="3"/>
    <d v="1899-12-30T10:00:00"/>
    <d v="1899-12-30T17:30:00"/>
    <n v="7.4999999999999982"/>
    <m/>
    <m/>
    <n v="7.4999999999999982"/>
    <x v="1"/>
    <x v="2"/>
    <m/>
    <m/>
    <n v="7.4999999999999982"/>
  </r>
  <r>
    <x v="311"/>
    <x v="0"/>
    <d v="1899-12-30T08:00:00"/>
    <d v="1899-12-30T14:00:00"/>
    <n v="6.0000000000000018"/>
    <m/>
    <m/>
    <m/>
    <x v="1"/>
    <x v="25"/>
    <m/>
    <m/>
    <n v="4.0000000000000018"/>
  </r>
  <r>
    <x v="312"/>
    <x v="0"/>
    <d v="1899-12-30T08:00:00"/>
    <d v="1899-12-30T14:00:00"/>
    <n v="6.0000000000000018"/>
    <m/>
    <m/>
    <m/>
    <x v="1"/>
    <x v="25"/>
    <m/>
    <m/>
    <n v="4.0000000000000018"/>
  </r>
  <r>
    <x v="313"/>
    <x v="0"/>
    <d v="1899-12-30T08:00:00"/>
    <d v="1899-12-30T14:00:00"/>
    <n v="6.0000000000000018"/>
    <m/>
    <m/>
    <m/>
    <x v="1"/>
    <x v="25"/>
    <m/>
    <m/>
    <n v="4.0000000000000018"/>
  </r>
  <r>
    <x v="313"/>
    <x v="1"/>
    <d v="1899-12-30T14:30:00"/>
    <d v="1899-12-30T21:30:00"/>
    <n v="7.0000000000000018"/>
    <m/>
    <m/>
    <n v="9.0000000000000018"/>
    <x v="1"/>
    <x v="2"/>
    <m/>
    <m/>
    <n v="9.0000000000000018"/>
  </r>
  <r>
    <x v="314"/>
    <x v="0"/>
    <d v="1899-12-30T08:00:00"/>
    <d v="1899-12-30T13:00:00"/>
    <n v="5"/>
    <m/>
    <m/>
    <m/>
    <x v="1"/>
    <x v="14"/>
    <m/>
    <m/>
    <n v="3"/>
  </r>
  <r>
    <x v="314"/>
    <x v="3"/>
    <d v="1899-12-30T14:00:00"/>
    <d v="1899-12-30T22:00:00"/>
    <n v="7.9999999999999982"/>
    <m/>
    <m/>
    <n v="7.9999999999999982"/>
    <x v="1"/>
    <x v="2"/>
    <m/>
    <m/>
    <n v="7.9999999999999982"/>
  </r>
  <r>
    <x v="314"/>
    <x v="2"/>
    <d v="1899-12-30T13:00:00"/>
    <d v="1899-12-30T21:00:00"/>
    <n v="8"/>
    <m/>
    <m/>
    <n v="8"/>
    <x v="1"/>
    <x v="2"/>
    <m/>
    <m/>
    <n v="8"/>
  </r>
  <r>
    <x v="315"/>
    <x v="0"/>
    <d v="1899-12-30T08:00:00"/>
    <d v="1899-12-30T14:00:00"/>
    <n v="5.5000000000000018"/>
    <n v="0.5"/>
    <m/>
    <m/>
    <x v="1"/>
    <x v="11"/>
    <m/>
    <m/>
    <n v="3.5000000000000018"/>
  </r>
  <r>
    <x v="315"/>
    <x v="1"/>
    <d v="1899-12-30T17:00:00"/>
    <d v="1899-12-30T19:00:00"/>
    <n v="1.9999999999999982"/>
    <m/>
    <m/>
    <n v="3.9999999999999982"/>
    <x v="1"/>
    <x v="2"/>
    <m/>
    <m/>
    <n v="3.9999999999999982"/>
  </r>
  <r>
    <x v="316"/>
    <x v="2"/>
    <d v="1899-12-30T17:30:00"/>
    <d v="1899-12-30T20:30:00"/>
    <n v="3"/>
    <m/>
    <m/>
    <n v="5"/>
    <x v="1"/>
    <x v="2"/>
    <m/>
    <m/>
    <n v="5"/>
  </r>
  <r>
    <x v="316"/>
    <x v="0"/>
    <d v="1899-12-30T08:00:00"/>
    <d v="1899-12-30T14:00:00"/>
    <n v="5.5000000000000018"/>
    <n v="0.5"/>
    <m/>
    <m/>
    <x v="1"/>
    <x v="11"/>
    <m/>
    <m/>
    <n v="3.5000000000000018"/>
  </r>
  <r>
    <x v="317"/>
    <x v="0"/>
    <d v="1899-12-30T17:00:00"/>
    <d v="1899-12-30T22:00:00"/>
    <n v="4.9999999999999982"/>
    <m/>
    <m/>
    <m/>
    <x v="1"/>
    <x v="26"/>
    <m/>
    <m/>
    <n v="2.9999999999999982"/>
  </r>
  <r>
    <x v="317"/>
    <x v="0"/>
    <d v="1899-12-30T08:00:00"/>
    <d v="1899-12-30T14:00:00"/>
    <n v="5.5000000000000018"/>
    <n v="0.5"/>
    <m/>
    <m/>
    <x v="1"/>
    <x v="11"/>
    <m/>
    <m/>
    <n v="3.5000000000000018"/>
  </r>
  <r>
    <x v="318"/>
    <x v="0"/>
    <d v="1899-12-30T08:00:00"/>
    <d v="1899-12-30T14:00:00"/>
    <n v="5.5000000000000018"/>
    <n v="0.5"/>
    <m/>
    <m/>
    <x v="1"/>
    <x v="11"/>
    <m/>
    <m/>
    <n v="3.5000000000000018"/>
  </r>
  <r>
    <x v="318"/>
    <x v="6"/>
    <d v="1899-12-30T18:30:00"/>
    <d v="1899-12-30T22:30:00"/>
    <n v="3.9999999999999991"/>
    <m/>
    <m/>
    <n v="5.9999999999999991"/>
    <x v="1"/>
    <x v="2"/>
    <m/>
    <m/>
    <n v="5.9999999999999991"/>
  </r>
  <r>
    <x v="319"/>
    <x v="2"/>
    <d v="1899-12-30T12:00:00"/>
    <d v="1899-12-30T16:00:00"/>
    <n v="3.9999999999999991"/>
    <m/>
    <m/>
    <n v="5.9999999999999991"/>
    <x v="1"/>
    <x v="2"/>
    <m/>
    <m/>
    <n v="5.9999999999999991"/>
  </r>
  <r>
    <x v="319"/>
    <x v="0"/>
    <d v="1899-12-30T08:00:00"/>
    <d v="1899-12-30T14:00:00"/>
    <n v="5.5000000000000018"/>
    <n v="0.5"/>
    <m/>
    <m/>
    <x v="1"/>
    <x v="11"/>
    <m/>
    <m/>
    <n v="3.5000000000000018"/>
  </r>
  <r>
    <x v="319"/>
    <x v="2"/>
    <d v="1899-12-30T17:00:00"/>
    <d v="1899-12-30T22:30:00"/>
    <n v="5.4999999999999991"/>
    <m/>
    <m/>
    <n v="7.4999999999999991"/>
    <x v="1"/>
    <x v="2"/>
    <m/>
    <m/>
    <n v="7.4999999999999991"/>
  </r>
  <r>
    <x v="320"/>
    <x v="0"/>
    <d v="1899-12-30T08:00:00"/>
    <d v="1899-12-30T13:00:00"/>
    <n v="5"/>
    <m/>
    <m/>
    <m/>
    <x v="1"/>
    <x v="14"/>
    <m/>
    <m/>
    <n v="3"/>
  </r>
  <r>
    <x v="320"/>
    <x v="5"/>
    <d v="1899-12-30T18:30:00"/>
    <d v="1899-12-30T23:00:00"/>
    <n v="4.5"/>
    <m/>
    <m/>
    <n v="4.5"/>
    <x v="1"/>
    <x v="2"/>
    <m/>
    <m/>
    <n v="4.5"/>
  </r>
  <r>
    <x v="320"/>
    <x v="5"/>
    <d v="1899-12-30T15:00:00"/>
    <d v="1899-12-30T18:30:00"/>
    <n v="3.5000000000000009"/>
    <m/>
    <m/>
    <n v="3.5000000000000009"/>
    <x v="1"/>
    <x v="2"/>
    <m/>
    <m/>
    <n v="3.5000000000000009"/>
  </r>
  <r>
    <x v="320"/>
    <x v="0"/>
    <d v="1899-12-30T13:00:00"/>
    <d v="1899-12-30T18:00:00"/>
    <n v="5.0000000000000009"/>
    <m/>
    <m/>
    <m/>
    <x v="1"/>
    <x v="4"/>
    <m/>
    <m/>
    <n v="3.0000000000000009"/>
  </r>
  <r>
    <x v="320"/>
    <x v="1"/>
    <d v="1899-12-30T09:00:00"/>
    <d v="1899-12-30T12:00:00"/>
    <n v="3"/>
    <m/>
    <m/>
    <n v="3"/>
    <x v="1"/>
    <x v="2"/>
    <m/>
    <m/>
    <n v="3"/>
  </r>
  <r>
    <x v="320"/>
    <x v="6"/>
    <d v="1899-12-30T09:00:00"/>
    <d v="1899-12-30T14:00:00"/>
    <n v="5.0000000000000009"/>
    <m/>
    <m/>
    <n v="5.0000000000000009"/>
    <x v="1"/>
    <x v="2"/>
    <m/>
    <m/>
    <n v="5.0000000000000009"/>
  </r>
  <r>
    <x v="321"/>
    <x v="2"/>
    <d v="1899-12-30T08:00:00"/>
    <d v="1899-12-30T13:00:00"/>
    <n v="5"/>
    <m/>
    <m/>
    <n v="5"/>
    <x v="1"/>
    <x v="2"/>
    <m/>
    <m/>
    <n v="5"/>
  </r>
  <r>
    <x v="321"/>
    <x v="3"/>
    <d v="1899-12-30T13:00:00"/>
    <d v="1899-12-30T18:30:00"/>
    <n v="5.0000000000000018"/>
    <n v="0.5"/>
    <m/>
    <n v="5.0000000000000018"/>
    <x v="1"/>
    <x v="2"/>
    <m/>
    <m/>
    <n v="5.0000000000000018"/>
  </r>
  <r>
    <x v="321"/>
    <x v="2"/>
    <d v="1899-12-30T13:00:00"/>
    <d v="1899-12-30T22:00:00"/>
    <n v="8"/>
    <n v="1"/>
    <m/>
    <n v="8"/>
    <x v="1"/>
    <x v="2"/>
    <m/>
    <m/>
    <n v="8"/>
  </r>
  <r>
    <x v="322"/>
    <x v="0"/>
    <d v="1899-12-30T08:00:00"/>
    <d v="1899-12-30T14:00:00"/>
    <n v="5.5000000000000018"/>
    <n v="0.5"/>
    <m/>
    <m/>
    <x v="1"/>
    <x v="11"/>
    <m/>
    <m/>
    <n v="3.5000000000000018"/>
  </r>
  <r>
    <x v="322"/>
    <x v="1"/>
    <d v="1899-12-30T17:00:00"/>
    <d v="1899-12-30T19:00:00"/>
    <n v="1.9999999999999982"/>
    <m/>
    <m/>
    <n v="3.9999999999999982"/>
    <x v="1"/>
    <x v="2"/>
    <m/>
    <m/>
    <n v="3.9999999999999982"/>
  </r>
  <r>
    <x v="323"/>
    <x v="0"/>
    <d v="1899-12-30T08:00:00"/>
    <d v="1899-12-30T14:30:00"/>
    <n v="6"/>
    <n v="0.5"/>
    <m/>
    <m/>
    <x v="1"/>
    <x v="23"/>
    <m/>
    <m/>
    <n v="4"/>
  </r>
  <r>
    <x v="323"/>
    <x v="2"/>
    <d v="1899-12-30T17:30:00"/>
    <d v="1899-12-30T20:30:00"/>
    <n v="3"/>
    <m/>
    <m/>
    <n v="5"/>
    <x v="1"/>
    <x v="2"/>
    <m/>
    <m/>
    <n v="5"/>
  </r>
  <r>
    <x v="324"/>
    <x v="1"/>
    <d v="1899-12-30T17:00:00"/>
    <d v="1899-12-30T21:30:00"/>
    <n v="4.5"/>
    <m/>
    <m/>
    <n v="6.5"/>
    <x v="1"/>
    <x v="2"/>
    <m/>
    <m/>
    <n v="6.5"/>
  </r>
  <r>
    <x v="324"/>
    <x v="0"/>
    <d v="1899-12-30T08:00:00"/>
    <d v="1899-12-30T14:00:00"/>
    <n v="5.5000000000000018"/>
    <n v="0.5"/>
    <m/>
    <m/>
    <x v="1"/>
    <x v="11"/>
    <m/>
    <m/>
    <n v="3.5000000000000018"/>
  </r>
  <r>
    <x v="325"/>
    <x v="0"/>
    <d v="1899-12-30T18:00:00"/>
    <d v="1899-12-30T23:00:00"/>
    <n v="5.0000000000000009"/>
    <m/>
    <m/>
    <m/>
    <x v="1"/>
    <x v="4"/>
    <m/>
    <m/>
    <n v="3.0000000000000009"/>
  </r>
  <r>
    <x v="325"/>
    <x v="1"/>
    <d v="1899-12-30T12:00:00"/>
    <d v="1899-12-30T16:00:00"/>
    <n v="3.9999999999999991"/>
    <m/>
    <m/>
    <n v="5.9999999999999991"/>
    <x v="1"/>
    <x v="2"/>
    <m/>
    <m/>
    <n v="5.9999999999999991"/>
  </r>
  <r>
    <x v="325"/>
    <x v="0"/>
    <d v="1899-12-30T08:00:00"/>
    <d v="1899-12-30T14:00:00"/>
    <n v="5.5000000000000018"/>
    <n v="0.5"/>
    <m/>
    <m/>
    <x v="1"/>
    <x v="11"/>
    <m/>
    <m/>
    <n v="3.5000000000000018"/>
  </r>
  <r>
    <x v="326"/>
    <x v="0"/>
    <d v="1899-12-30T15:30:00"/>
    <d v="1899-12-30T21:30:00"/>
    <n v="5.5"/>
    <n v="0.5"/>
    <m/>
    <m/>
    <x v="1"/>
    <x v="13"/>
    <m/>
    <m/>
    <n v="3.5"/>
  </r>
  <r>
    <x v="326"/>
    <x v="2"/>
    <d v="1899-12-30T15:30:00"/>
    <d v="1899-12-30T22:00:00"/>
    <n v="5.9999999999999982"/>
    <n v="0.5"/>
    <m/>
    <n v="7.9999999999999982"/>
    <x v="1"/>
    <x v="2"/>
    <m/>
    <m/>
    <n v="7.9999999999999982"/>
  </r>
  <r>
    <x v="326"/>
    <x v="0"/>
    <d v="1899-12-30T08:00:00"/>
    <d v="1899-12-30T14:00:00"/>
    <n v="5.5000000000000018"/>
    <n v="0.5"/>
    <m/>
    <m/>
    <x v="1"/>
    <x v="11"/>
    <m/>
    <m/>
    <n v="3.5000000000000018"/>
  </r>
  <r>
    <x v="327"/>
    <x v="6"/>
    <d v="1899-12-30T09:00:00"/>
    <d v="1899-12-30T14:00:00"/>
    <n v="5.0000000000000009"/>
    <m/>
    <m/>
    <n v="5.0000000000000009"/>
    <x v="1"/>
    <x v="2"/>
    <m/>
    <m/>
    <n v="5.0000000000000009"/>
  </r>
  <r>
    <x v="327"/>
    <x v="1"/>
    <d v="1899-12-30T09:00:00"/>
    <d v="1899-12-30T12:00:00"/>
    <n v="3"/>
    <m/>
    <m/>
    <n v="3"/>
    <x v="1"/>
    <x v="2"/>
    <m/>
    <m/>
    <n v="3"/>
  </r>
  <r>
    <x v="327"/>
    <x v="2"/>
    <d v="1899-12-30T10:00:00"/>
    <d v="1899-12-30T16:00:00"/>
    <n v="5.4999999999999982"/>
    <n v="0.5"/>
    <m/>
    <n v="5.4999999999999982"/>
    <x v="1"/>
    <x v="2"/>
    <m/>
    <m/>
    <n v="5.4999999999999982"/>
  </r>
  <r>
    <x v="327"/>
    <x v="3"/>
    <d v="1899-12-30T14:00:00"/>
    <d v="1899-12-30T19:30:00"/>
    <n v="4.9999999999999991"/>
    <n v="0.5"/>
    <m/>
    <n v="4.9999999999999991"/>
    <x v="1"/>
    <x v="2"/>
    <m/>
    <m/>
    <n v="4.9999999999999991"/>
  </r>
  <r>
    <x v="327"/>
    <x v="3"/>
    <d v="1899-12-30T19:30:00"/>
    <d v="1899-12-30T01:00:00"/>
    <n v="4.9999999999999991"/>
    <n v="0.5"/>
    <m/>
    <n v="4.9999999999999991"/>
    <x v="1"/>
    <x v="2"/>
    <m/>
    <m/>
    <n v="4.9999999999999991"/>
  </r>
  <r>
    <x v="327"/>
    <x v="0"/>
    <d v="1899-12-30T08:00:00"/>
    <d v="1899-12-30T13:00:00"/>
    <n v="5"/>
    <m/>
    <m/>
    <m/>
    <x v="1"/>
    <x v="14"/>
    <m/>
    <m/>
    <n v="3"/>
  </r>
  <r>
    <x v="328"/>
    <x v="5"/>
    <d v="1899-12-30T09:30:00"/>
    <d v="1899-12-30T14:30:00"/>
    <n v="5"/>
    <m/>
    <m/>
    <n v="5"/>
    <x v="1"/>
    <x v="2"/>
    <m/>
    <m/>
    <n v="5"/>
  </r>
  <r>
    <x v="328"/>
    <x v="2"/>
    <d v="1899-12-30T09:00:00"/>
    <d v="1899-12-30T15:00:00"/>
    <n v="5"/>
    <n v="1"/>
    <m/>
    <n v="5"/>
    <x v="1"/>
    <x v="2"/>
    <m/>
    <m/>
    <n v="5"/>
  </r>
  <r>
    <x v="328"/>
    <x v="2"/>
    <d v="1899-12-30T15:00:00"/>
    <d v="1899-12-30T22:00:00"/>
    <n v="6.4999999999999991"/>
    <n v="0.5"/>
    <m/>
    <n v="6.4999999999999991"/>
    <x v="1"/>
    <x v="2"/>
    <m/>
    <m/>
    <n v="6.4999999999999991"/>
  </r>
  <r>
    <x v="328"/>
    <x v="3"/>
    <d v="1899-12-30T11:00:00"/>
    <d v="1899-12-30T19:00:00"/>
    <n v="7.5"/>
    <n v="0.5"/>
    <m/>
    <n v="7.5"/>
    <x v="1"/>
    <x v="2"/>
    <m/>
    <m/>
    <n v="7.5"/>
  </r>
  <r>
    <x v="329"/>
    <x v="1"/>
    <d v="1899-12-30T10:00:00"/>
    <d v="1899-12-30T16:00:00"/>
    <n v="5.9999999999999982"/>
    <m/>
    <m/>
    <n v="7.9999999999999982"/>
    <x v="1"/>
    <x v="2"/>
    <m/>
    <m/>
    <n v="7.9999999999999982"/>
  </r>
  <r>
    <x v="329"/>
    <x v="1"/>
    <d v="1899-12-30T17:00:00"/>
    <d v="1899-12-30T19:00:00"/>
    <n v="1.9999999999999982"/>
    <m/>
    <m/>
    <n v="3.9999999999999982"/>
    <x v="1"/>
    <x v="2"/>
    <m/>
    <m/>
    <n v="3.9999999999999982"/>
  </r>
  <r>
    <x v="329"/>
    <x v="0"/>
    <d v="1899-12-30T08:00:00"/>
    <d v="1899-12-30T14:00:00"/>
    <n v="5.5000000000000018"/>
    <n v="0.5"/>
    <m/>
    <m/>
    <x v="1"/>
    <x v="11"/>
    <m/>
    <m/>
    <n v="3.5000000000000018"/>
  </r>
  <r>
    <x v="330"/>
    <x v="2"/>
    <d v="1899-12-30T17:30:00"/>
    <d v="1899-12-30T20:30:00"/>
    <n v="3"/>
    <m/>
    <m/>
    <n v="5"/>
    <x v="1"/>
    <x v="2"/>
    <m/>
    <m/>
    <n v="5"/>
  </r>
  <r>
    <x v="330"/>
    <x v="0"/>
    <d v="1899-12-30T08:00:00"/>
    <d v="1899-12-30T14:00:00"/>
    <n v="5.5000000000000018"/>
    <n v="0.5"/>
    <m/>
    <m/>
    <x v="1"/>
    <x v="11"/>
    <m/>
    <m/>
    <n v="3.5000000000000018"/>
  </r>
  <r>
    <x v="331"/>
    <x v="1"/>
    <d v="1899-12-30T17:00:00"/>
    <d v="1899-12-30T21:30:00"/>
    <n v="4.5"/>
    <m/>
    <m/>
    <n v="6.5"/>
    <x v="1"/>
    <x v="2"/>
    <m/>
    <m/>
    <n v="6.5"/>
  </r>
  <r>
    <x v="331"/>
    <x v="0"/>
    <d v="1899-12-30T08:00:00"/>
    <d v="1899-12-30T14:00:00"/>
    <n v="5.5000000000000018"/>
    <n v="0.5"/>
    <m/>
    <m/>
    <x v="1"/>
    <x v="11"/>
    <m/>
    <m/>
    <n v="3.5000000000000018"/>
  </r>
  <r>
    <x v="332"/>
    <x v="0"/>
    <d v="1899-12-30T19:00:00"/>
    <d v="1899-12-30T22:00:00"/>
    <n v="3"/>
    <m/>
    <m/>
    <m/>
    <x v="1"/>
    <x v="22"/>
    <m/>
    <m/>
    <n v="1"/>
  </r>
  <r>
    <x v="332"/>
    <x v="0"/>
    <d v="1899-12-30T08:00:00"/>
    <d v="1899-12-30T14:00:00"/>
    <n v="5.5000000000000018"/>
    <n v="0.5"/>
    <m/>
    <m/>
    <x v="1"/>
    <x v="11"/>
    <m/>
    <m/>
    <n v="3.5000000000000018"/>
  </r>
  <r>
    <x v="333"/>
    <x v="0"/>
    <d v="1899-12-30T08:00:00"/>
    <d v="1899-12-30T14:00:00"/>
    <n v="5.5000000000000018"/>
    <n v="0.5"/>
    <m/>
    <m/>
    <x v="1"/>
    <x v="11"/>
    <m/>
    <m/>
    <n v="3.5000000000000018"/>
  </r>
  <r>
    <x v="334"/>
    <x v="3"/>
    <d v="1899-12-30T13:00:00"/>
    <d v="1899-12-30T20:00:00"/>
    <n v="6.5000000000000018"/>
    <n v="0.5"/>
    <m/>
    <n v="6.5000000000000018"/>
    <x v="1"/>
    <x v="2"/>
    <m/>
    <m/>
    <n v="6.5000000000000018"/>
  </r>
  <r>
    <x v="334"/>
    <x v="0"/>
    <d v="1899-12-30T08:00:00"/>
    <d v="1899-12-30T13:00:00"/>
    <n v="5"/>
    <m/>
    <m/>
    <m/>
    <x v="1"/>
    <x v="14"/>
    <m/>
    <m/>
    <n v="3"/>
  </r>
  <r>
    <x v="27"/>
    <x v="13"/>
    <d v="1899-12-30T09:00:00"/>
    <d v="1899-12-30T14:00:00"/>
    <n v="5.0000000000000009"/>
    <m/>
    <n v="1235.5"/>
    <n v="7.0000000000000009"/>
    <x v="1"/>
    <x v="2"/>
    <m/>
    <m/>
    <n v="7.0000000000000009"/>
  </r>
  <r>
    <x v="27"/>
    <x v="13"/>
    <d v="1899-12-30T09:00:00"/>
    <d v="1899-12-30T14:00:00"/>
    <n v="5.0000000000000009"/>
    <m/>
    <m/>
    <n v="7.0000000000000009"/>
    <x v="1"/>
    <x v="2"/>
    <m/>
    <m/>
    <n v="7.0000000000000009"/>
  </r>
  <r>
    <x v="28"/>
    <x v="13"/>
    <d v="1899-12-30T09:00:00"/>
    <d v="1899-12-30T16:00:00"/>
    <n v="6.4999999999999991"/>
    <n v="0.5"/>
    <m/>
    <n v="8.5"/>
    <x v="1"/>
    <x v="2"/>
    <m/>
    <m/>
    <n v="8.5"/>
  </r>
  <r>
    <x v="28"/>
    <x v="13"/>
    <d v="1899-12-30T09:00:00"/>
    <d v="1899-12-30T16:00:00"/>
    <n v="6.4999999999999991"/>
    <n v="0.5"/>
    <m/>
    <n v="8.5"/>
    <x v="1"/>
    <x v="2"/>
    <m/>
    <m/>
    <n v="8.5"/>
  </r>
  <r>
    <x v="29"/>
    <x v="13"/>
    <d v="1899-12-30T11:00:00"/>
    <d v="1899-12-30T15:00:00"/>
    <n v="4"/>
    <m/>
    <m/>
    <n v="6"/>
    <x v="1"/>
    <x v="2"/>
    <m/>
    <m/>
    <n v="6"/>
  </r>
  <r>
    <x v="29"/>
    <x v="13"/>
    <d v="1899-12-30T11:00:00"/>
    <d v="1899-12-30T15:00:00"/>
    <n v="4"/>
    <m/>
    <m/>
    <n v="6"/>
    <x v="1"/>
    <x v="2"/>
    <m/>
    <m/>
    <n v="6"/>
  </r>
  <r>
    <x v="29"/>
    <x v="13"/>
    <d v="1899-12-30T16:00:00"/>
    <d v="1899-12-30T21:30:00"/>
    <n v="5.5000000000000018"/>
    <m/>
    <m/>
    <n v="7.5000000000000018"/>
    <x v="3"/>
    <x v="27"/>
    <m/>
    <m/>
    <n v="7.5000000000000018"/>
  </r>
  <r>
    <x v="29"/>
    <x v="13"/>
    <d v="1899-12-30T16:00:00"/>
    <d v="1899-12-30T21:30:00"/>
    <n v="5.5000000000000018"/>
    <m/>
    <m/>
    <n v="7.5000000000000018"/>
    <x v="3"/>
    <x v="27"/>
    <m/>
    <m/>
    <n v="7.5000000000000018"/>
  </r>
  <r>
    <x v="30"/>
    <x v="13"/>
    <d v="1899-12-30T09:00:00"/>
    <d v="1899-12-30T15:00:00"/>
    <n v="5.5"/>
    <n v="0.5"/>
    <m/>
    <n v="7.5"/>
    <x v="1"/>
    <x v="2"/>
    <m/>
    <m/>
    <n v="7.5"/>
  </r>
  <r>
    <x v="335"/>
    <x v="13"/>
    <d v="1899-12-30T14:00:00"/>
    <d v="1899-12-30T22:00:00"/>
    <n v="7.4999999999999982"/>
    <n v="0.5"/>
    <m/>
    <n v="7.4999999999999982"/>
    <x v="1"/>
    <x v="2"/>
    <m/>
    <m/>
    <n v="7.4999999999999982"/>
  </r>
  <r>
    <x v="335"/>
    <x v="13"/>
    <d v="1899-12-30T14:00:00"/>
    <d v="1899-12-30T22:00:00"/>
    <n v="7.4999999999999982"/>
    <n v="0.5"/>
    <m/>
    <n v="7.4999999999999982"/>
    <x v="1"/>
    <x v="2"/>
    <m/>
    <m/>
    <n v="7.4999999999999982"/>
  </r>
  <r>
    <x v="335"/>
    <x v="13"/>
    <d v="1899-12-30T14:00:00"/>
    <d v="1899-12-30T22:00:00"/>
    <n v="7.4999999999999982"/>
    <n v="0.5"/>
    <m/>
    <n v="7.4999999999999982"/>
    <x v="1"/>
    <x v="2"/>
    <m/>
    <m/>
    <n v="7.4999999999999982"/>
  </r>
  <r>
    <x v="335"/>
    <x v="13"/>
    <d v="1899-12-30T14:00:00"/>
    <d v="1899-12-30T22:00:00"/>
    <n v="7.4999999999999982"/>
    <n v="0.5"/>
    <m/>
    <n v="7.4999999999999982"/>
    <x v="1"/>
    <x v="2"/>
    <m/>
    <m/>
    <n v="7.4999999999999982"/>
  </r>
  <r>
    <x v="335"/>
    <x v="13"/>
    <d v="1899-12-30T14:00:00"/>
    <d v="1899-12-30T22:00:00"/>
    <n v="7.4999999999999982"/>
    <n v="0.5"/>
    <m/>
    <n v="7.4999999999999982"/>
    <x v="1"/>
    <x v="2"/>
    <m/>
    <m/>
    <n v="7.4999999999999982"/>
  </r>
  <r>
    <x v="335"/>
    <x v="13"/>
    <d v="1899-12-30T14:00:00"/>
    <d v="1899-12-30T22:00:00"/>
    <n v="7.4999999999999982"/>
    <n v="0.5"/>
    <m/>
    <n v="7.4999999999999982"/>
    <x v="1"/>
    <x v="2"/>
    <m/>
    <m/>
    <n v="7.4999999999999982"/>
  </r>
  <r>
    <x v="336"/>
    <x v="13"/>
    <d v="1899-12-30T10:00:00"/>
    <d v="1899-12-30T16:00:00"/>
    <n v="5.4999999999999982"/>
    <n v="0.5"/>
    <m/>
    <n v="5.4999999999999982"/>
    <x v="1"/>
    <x v="2"/>
    <m/>
    <m/>
    <n v="5.4999999999999982"/>
  </r>
  <r>
    <x v="336"/>
    <x v="13"/>
    <d v="1899-12-30T10:00:00"/>
    <d v="1899-12-30T16:00:00"/>
    <n v="5.4999999999999982"/>
    <n v="0.5"/>
    <m/>
    <n v="5.4999999999999982"/>
    <x v="1"/>
    <x v="2"/>
    <m/>
    <m/>
    <n v="5.4999999999999982"/>
  </r>
  <r>
    <x v="337"/>
    <x v="13"/>
    <d v="1899-12-30T08:00:00"/>
    <d v="1899-12-30T17:00:00"/>
    <n v="8.0000000000000018"/>
    <n v="1"/>
    <m/>
    <n v="10.000000000000002"/>
    <x v="1"/>
    <x v="2"/>
    <m/>
    <m/>
    <n v="10.000000000000002"/>
  </r>
  <r>
    <x v="338"/>
    <x v="13"/>
    <d v="1899-12-30T10:00:00"/>
    <d v="1899-12-30T16:00:00"/>
    <n v="5.4999999999999982"/>
    <n v="0.5"/>
    <m/>
    <n v="5.4999999999999982"/>
    <x v="1"/>
    <x v="2"/>
    <m/>
    <m/>
    <n v="5.4999999999999982"/>
  </r>
  <r>
    <x v="338"/>
    <x v="13"/>
    <d v="1899-12-30T10:00:00"/>
    <d v="1899-12-30T16:00:00"/>
    <n v="5.4999999999999982"/>
    <n v="0.5"/>
    <m/>
    <n v="5.4999999999999982"/>
    <x v="1"/>
    <x v="2"/>
    <m/>
    <m/>
    <n v="5.4999999999999982"/>
  </r>
  <r>
    <x v="338"/>
    <x v="13"/>
    <d v="1899-12-30T10:00:00"/>
    <d v="1899-12-30T13:00:00"/>
    <n v="2.9999999999999987"/>
    <m/>
    <m/>
    <n v="2.9999999999999987"/>
    <x v="1"/>
    <x v="2"/>
    <m/>
    <m/>
    <n v="2.9999999999999987"/>
  </r>
  <r>
    <x v="64"/>
    <x v="13"/>
    <d v="1899-12-30T10:00:00"/>
    <d v="1899-12-30T15:00:00"/>
    <n v="5"/>
    <m/>
    <m/>
    <n v="7"/>
    <x v="1"/>
    <x v="2"/>
    <m/>
    <m/>
    <n v="7"/>
  </r>
  <r>
    <x v="64"/>
    <x v="13"/>
    <d v="1899-12-30T10:00:00"/>
    <d v="1899-12-30T15:00:00"/>
    <n v="5"/>
    <m/>
    <m/>
    <n v="7"/>
    <x v="1"/>
    <x v="2"/>
    <m/>
    <m/>
    <n v="7"/>
  </r>
  <r>
    <x v="65"/>
    <x v="13"/>
    <d v="1899-12-30T10:00:00"/>
    <d v="1899-12-30T15:00:00"/>
    <n v="5"/>
    <m/>
    <m/>
    <n v="7"/>
    <x v="1"/>
    <x v="2"/>
    <m/>
    <m/>
    <n v="7"/>
  </r>
  <r>
    <x v="65"/>
    <x v="13"/>
    <d v="1899-12-30T10:00:00"/>
    <d v="1899-12-30T15:00:00"/>
    <n v="5"/>
    <m/>
    <m/>
    <n v="7"/>
    <x v="1"/>
    <x v="2"/>
    <m/>
    <m/>
    <n v="7"/>
  </r>
  <r>
    <x v="69"/>
    <x v="13"/>
    <d v="1899-12-30T07:00:00"/>
    <d v="1899-12-30T16:00:00"/>
    <n v="7.9999999999999982"/>
    <n v="1"/>
    <m/>
    <n v="7.9999999999999982"/>
    <x v="1"/>
    <x v="2"/>
    <m/>
    <m/>
    <n v="7.9999999999999982"/>
  </r>
  <r>
    <x v="69"/>
    <x v="13"/>
    <d v="1899-12-30T07:00:00"/>
    <d v="1899-12-30T12:00:00"/>
    <n v="5"/>
    <m/>
    <m/>
    <n v="5"/>
    <x v="1"/>
    <x v="2"/>
    <m/>
    <m/>
    <n v="5"/>
  </r>
  <r>
    <x v="69"/>
    <x v="13"/>
    <d v="1899-12-30T07:00:00"/>
    <d v="1899-12-30T12:00:00"/>
    <n v="5"/>
    <m/>
    <m/>
    <n v="5"/>
    <x v="1"/>
    <x v="2"/>
    <m/>
    <m/>
    <n v="5"/>
  </r>
  <r>
    <x v="69"/>
    <x v="13"/>
    <d v="1899-12-30T07:00:00"/>
    <d v="1899-12-30T10:00:00"/>
    <n v="3"/>
    <m/>
    <m/>
    <n v="3"/>
    <x v="1"/>
    <x v="2"/>
    <m/>
    <m/>
    <n v="3"/>
  </r>
  <r>
    <x v="69"/>
    <x v="13"/>
    <d v="1899-12-30T12:00:00"/>
    <d v="1899-12-30T16:00:00"/>
    <n v="3.9999999999999991"/>
    <m/>
    <m/>
    <n v="3.9999999999999991"/>
    <x v="1"/>
    <x v="2"/>
    <m/>
    <m/>
    <n v="3.9999999999999991"/>
  </r>
  <r>
    <x v="69"/>
    <x v="13"/>
    <d v="1899-12-30T12:00:00"/>
    <d v="1899-12-30T16:00:00"/>
    <n v="3.9999999999999991"/>
    <m/>
    <m/>
    <n v="3.9999999999999991"/>
    <x v="1"/>
    <x v="2"/>
    <m/>
    <m/>
    <n v="3.9999999999999991"/>
  </r>
  <r>
    <x v="76"/>
    <x v="13"/>
    <d v="1899-12-30T08:00:00"/>
    <d v="1899-12-30T15:00:00"/>
    <n v="6.5"/>
    <n v="0.5"/>
    <m/>
    <n v="6.5"/>
    <x v="1"/>
    <x v="2"/>
    <m/>
    <m/>
    <n v="6.5"/>
  </r>
  <r>
    <x v="76"/>
    <x v="13"/>
    <d v="1899-12-30T08:00:00"/>
    <d v="1899-12-30T15:00:00"/>
    <n v="6.5"/>
    <n v="0.5"/>
    <m/>
    <n v="6.5"/>
    <x v="1"/>
    <x v="2"/>
    <m/>
    <m/>
    <n v="6.5"/>
  </r>
  <r>
    <x v="76"/>
    <x v="13"/>
    <d v="1899-12-30T08:00:00"/>
    <d v="1899-12-30T15:00:00"/>
    <n v="6.5"/>
    <n v="0.5"/>
    <m/>
    <n v="6.5"/>
    <x v="1"/>
    <x v="2"/>
    <m/>
    <m/>
    <n v="6.5"/>
  </r>
  <r>
    <x v="76"/>
    <x v="13"/>
    <d v="1899-12-30T08:00:00"/>
    <d v="1899-12-30T15:00:00"/>
    <n v="6.5"/>
    <n v="0.5"/>
    <m/>
    <n v="6.5"/>
    <x v="1"/>
    <x v="2"/>
    <m/>
    <m/>
    <n v="6.5"/>
  </r>
  <r>
    <x v="96"/>
    <x v="13"/>
    <d v="1899-12-30T11:00:00"/>
    <d v="1899-12-30T17:30:00"/>
    <n v="6"/>
    <n v="0.5"/>
    <m/>
    <n v="6"/>
    <x v="1"/>
    <x v="2"/>
    <m/>
    <m/>
    <n v="6"/>
  </r>
  <r>
    <x v="101"/>
    <x v="13"/>
    <d v="1899-12-30T06:30:00"/>
    <d v="1899-12-30T14:00:00"/>
    <n v="7.0000000000000018"/>
    <n v="0.5"/>
    <m/>
    <n v="7.0000000000000018"/>
    <x v="1"/>
    <x v="2"/>
    <m/>
    <m/>
    <n v="7.0000000000000018"/>
  </r>
  <r>
    <x v="101"/>
    <x v="13"/>
    <d v="1899-12-30T07:00:00"/>
    <d v="1899-12-30T14:00:00"/>
    <n v="6.5"/>
    <n v="0.5"/>
    <m/>
    <n v="6.5"/>
    <x v="1"/>
    <x v="2"/>
    <m/>
    <m/>
    <n v="6.5"/>
  </r>
  <r>
    <x v="106"/>
    <x v="13"/>
    <d v="1899-12-30T16:00:00"/>
    <d v="1899-12-30T21:30:00"/>
    <n v="5.5000000000000018"/>
    <m/>
    <m/>
    <n v="7.5000000000000018"/>
    <x v="1"/>
    <x v="2"/>
    <m/>
    <m/>
    <n v="7.5000000000000018"/>
  </r>
  <r>
    <x v="126"/>
    <x v="13"/>
    <d v="1899-12-30T09:00:00"/>
    <d v="1899-12-30T13:00:00"/>
    <n v="3.9999999999999991"/>
    <m/>
    <m/>
    <n v="5.9999999999999991"/>
    <x v="1"/>
    <x v="2"/>
    <m/>
    <m/>
    <n v="5.9999999999999991"/>
  </r>
  <r>
    <x v="126"/>
    <x v="13"/>
    <d v="1899-12-30T09:00:00"/>
    <d v="1899-12-30T13:00:00"/>
    <n v="3.9999999999999991"/>
    <m/>
    <m/>
    <n v="5.9999999999999991"/>
    <x v="1"/>
    <x v="2"/>
    <m/>
    <m/>
    <n v="5.9999999999999991"/>
  </r>
  <r>
    <x v="126"/>
    <x v="13"/>
    <d v="1899-12-30T06:00:00"/>
    <d v="1899-12-30T10:00:00"/>
    <n v="4"/>
    <m/>
    <m/>
    <n v="6"/>
    <x v="1"/>
    <x v="2"/>
    <m/>
    <m/>
    <n v="6"/>
  </r>
  <r>
    <x v="132"/>
    <x v="13"/>
    <d v="1899-12-30T10:00:00"/>
    <d v="1899-12-30T14:00:00"/>
    <n v="4"/>
    <m/>
    <m/>
    <n v="6"/>
    <x v="1"/>
    <x v="2"/>
    <m/>
    <m/>
    <n v="6"/>
  </r>
  <r>
    <x v="132"/>
    <x v="13"/>
    <d v="1899-12-30T10:00:00"/>
    <d v="1899-12-30T14:00:00"/>
    <n v="4"/>
    <m/>
    <m/>
    <n v="6"/>
    <x v="1"/>
    <x v="2"/>
    <m/>
    <m/>
    <n v="6"/>
  </r>
  <r>
    <x v="132"/>
    <x v="13"/>
    <d v="1899-12-30T10:00:00"/>
    <d v="1899-12-30T14:00:00"/>
    <n v="4"/>
    <m/>
    <m/>
    <n v="6"/>
    <x v="1"/>
    <x v="2"/>
    <m/>
    <m/>
    <n v="6"/>
  </r>
  <r>
    <x v="133"/>
    <x v="13"/>
    <d v="1899-12-30T12:00:00"/>
    <d v="1899-12-30T17:00:00"/>
    <n v="5.0000000000000009"/>
    <m/>
    <m/>
    <n v="7.0000000000000009"/>
    <x v="1"/>
    <x v="2"/>
    <m/>
    <m/>
    <n v="7.0000000000000009"/>
  </r>
  <r>
    <x v="133"/>
    <x v="13"/>
    <d v="1899-12-30T17:00:00"/>
    <d v="1899-12-30T22:00:00"/>
    <n v="4.9999999999999982"/>
    <m/>
    <m/>
    <n v="6.9999999999999982"/>
    <x v="1"/>
    <x v="2"/>
    <m/>
    <m/>
    <n v="6.9999999999999982"/>
  </r>
  <r>
    <x v="133"/>
    <x v="13"/>
    <d v="1899-12-30T19:00:00"/>
    <d v="1899-12-30T22:00:00"/>
    <n v="3"/>
    <m/>
    <m/>
    <n v="5"/>
    <x v="1"/>
    <x v="2"/>
    <m/>
    <m/>
    <n v="5"/>
  </r>
  <r>
    <x v="133"/>
    <x v="13"/>
    <d v="1899-12-30T12:00:00"/>
    <d v="1899-12-30T15:00:00"/>
    <n v="3"/>
    <m/>
    <m/>
    <n v="5"/>
    <x v="1"/>
    <x v="2"/>
    <m/>
    <m/>
    <n v="5"/>
  </r>
  <r>
    <x v="134"/>
    <x v="13"/>
    <d v="1899-12-30T09:00:00"/>
    <d v="1899-12-30T13:30:00"/>
    <n v="4.5"/>
    <m/>
    <m/>
    <n v="6.5"/>
    <x v="1"/>
    <x v="2"/>
    <m/>
    <m/>
    <n v="6.5"/>
  </r>
  <r>
    <x v="134"/>
    <x v="13"/>
    <d v="1899-12-30T09:00:00"/>
    <d v="1899-12-30T13:00:00"/>
    <n v="3.9999999999999991"/>
    <m/>
    <m/>
    <n v="5.9999999999999991"/>
    <x v="1"/>
    <x v="2"/>
    <m/>
    <m/>
    <n v="5.9999999999999991"/>
  </r>
  <r>
    <x v="134"/>
    <x v="13"/>
    <d v="1899-12-30T12:00:00"/>
    <d v="1899-12-30T15:00:00"/>
    <n v="3"/>
    <m/>
    <m/>
    <n v="5"/>
    <x v="1"/>
    <x v="2"/>
    <m/>
    <m/>
    <n v="5"/>
  </r>
  <r>
    <x v="135"/>
    <x v="13"/>
    <d v="1899-12-30T09:00:00"/>
    <d v="1899-12-30T14:00:00"/>
    <n v="5.0000000000000009"/>
    <m/>
    <m/>
    <n v="5.0000000000000009"/>
    <x v="1"/>
    <x v="2"/>
    <m/>
    <m/>
    <n v="5.0000000000000009"/>
  </r>
  <r>
    <x v="135"/>
    <x v="13"/>
    <d v="1899-12-30T09:00:00"/>
    <d v="1899-12-30T14:00:00"/>
    <n v="5.0000000000000009"/>
    <m/>
    <m/>
    <n v="5.0000000000000009"/>
    <x v="1"/>
    <x v="2"/>
    <m/>
    <m/>
    <n v="5.0000000000000009"/>
  </r>
  <r>
    <x v="135"/>
    <x v="13"/>
    <d v="1899-12-30T09:00:00"/>
    <d v="1899-12-30T14:00:00"/>
    <n v="5.0000000000000009"/>
    <m/>
    <m/>
    <n v="5.0000000000000009"/>
    <x v="1"/>
    <x v="2"/>
    <m/>
    <m/>
    <n v="5.0000000000000009"/>
  </r>
  <r>
    <x v="339"/>
    <x v="13"/>
    <d v="1899-12-30T06:30:00"/>
    <d v="1899-12-30T11:00:00"/>
    <n v="4.5"/>
    <m/>
    <m/>
    <n v="6.5"/>
    <x v="1"/>
    <x v="2"/>
    <m/>
    <m/>
    <n v="6.5"/>
  </r>
  <r>
    <x v="339"/>
    <x v="13"/>
    <d v="1899-12-30T06:30:00"/>
    <d v="1899-12-30T11:00:00"/>
    <n v="4.5"/>
    <m/>
    <m/>
    <n v="6.5"/>
    <x v="1"/>
    <x v="2"/>
    <m/>
    <m/>
    <n v="6.5"/>
  </r>
  <r>
    <x v="339"/>
    <x v="13"/>
    <d v="1899-12-30T10:00:00"/>
    <d v="1899-12-30T15:00:00"/>
    <n v="5"/>
    <m/>
    <m/>
    <n v="7"/>
    <x v="1"/>
    <x v="2"/>
    <m/>
    <m/>
    <n v="7"/>
  </r>
  <r>
    <x v="339"/>
    <x v="13"/>
    <d v="1899-12-30T10:00:00"/>
    <d v="1899-12-30T15:00:00"/>
    <n v="5"/>
    <m/>
    <m/>
    <n v="7"/>
    <x v="1"/>
    <x v="2"/>
    <m/>
    <m/>
    <n v="7"/>
  </r>
  <r>
    <x v="147"/>
    <x v="13"/>
    <d v="1899-12-30T15:00:00"/>
    <d v="1899-12-30T20:00:00"/>
    <n v="5.0000000000000009"/>
    <m/>
    <m/>
    <n v="7.0000000000000009"/>
    <x v="1"/>
    <x v="2"/>
    <m/>
    <m/>
    <n v="7.0000000000000009"/>
  </r>
  <r>
    <x v="147"/>
    <x v="13"/>
    <d v="1899-12-30T15:00:00"/>
    <d v="1899-12-30T20:00:00"/>
    <n v="5.0000000000000009"/>
    <m/>
    <m/>
    <n v="7.0000000000000009"/>
    <x v="1"/>
    <x v="2"/>
    <m/>
    <m/>
    <n v="7.0000000000000009"/>
  </r>
  <r>
    <x v="147"/>
    <x v="13"/>
    <d v="1899-12-30T15:00:00"/>
    <d v="1899-12-30T20:00:00"/>
    <n v="5.0000000000000009"/>
    <m/>
    <m/>
    <n v="7.0000000000000009"/>
    <x v="1"/>
    <x v="2"/>
    <m/>
    <m/>
    <n v="7.0000000000000009"/>
  </r>
  <r>
    <x v="148"/>
    <x v="13"/>
    <d v="1899-12-30T12:00:00"/>
    <d v="1899-12-30T16:00:00"/>
    <n v="3.9999999999999991"/>
    <m/>
    <m/>
    <n v="3.9999999999999991"/>
    <x v="1"/>
    <x v="2"/>
    <m/>
    <m/>
    <n v="3.9999999999999991"/>
  </r>
  <r>
    <x v="148"/>
    <x v="13"/>
    <d v="1899-12-30T12:00:00"/>
    <d v="1899-12-30T16:00:00"/>
    <n v="3.9999999999999991"/>
    <m/>
    <m/>
    <n v="3.9999999999999991"/>
    <x v="1"/>
    <x v="2"/>
    <m/>
    <m/>
    <n v="3.9999999999999991"/>
  </r>
  <r>
    <x v="148"/>
    <x v="13"/>
    <d v="1899-12-30T16:00:00"/>
    <d v="1899-12-30T23:00:00"/>
    <n v="6.5000000000000018"/>
    <n v="0.5"/>
    <m/>
    <n v="6.5000000000000018"/>
    <x v="1"/>
    <x v="2"/>
    <m/>
    <m/>
    <n v="6.5000000000000018"/>
  </r>
  <r>
    <x v="148"/>
    <x v="13"/>
    <d v="1899-12-30T16:00:00"/>
    <d v="1899-12-30T23:00:00"/>
    <n v="6.5000000000000018"/>
    <n v="0.5"/>
    <m/>
    <n v="6.5000000000000018"/>
    <x v="1"/>
    <x v="2"/>
    <m/>
    <m/>
    <n v="6.5000000000000018"/>
  </r>
  <r>
    <x v="149"/>
    <x v="13"/>
    <d v="1899-12-30T06:00:00"/>
    <d v="1899-12-30T13:00:00"/>
    <n v="6.4999999999999991"/>
    <n v="0.5"/>
    <m/>
    <n v="6.4999999999999991"/>
    <x v="1"/>
    <x v="2"/>
    <m/>
    <m/>
    <n v="6.4999999999999991"/>
  </r>
  <r>
    <x v="149"/>
    <x v="13"/>
    <d v="1899-12-30T06:00:00"/>
    <d v="1899-12-30T13:00:00"/>
    <n v="6.4999999999999991"/>
    <n v="0.5"/>
    <m/>
    <n v="6.4999999999999991"/>
    <x v="1"/>
    <x v="2"/>
    <m/>
    <m/>
    <n v="6.4999999999999991"/>
  </r>
  <r>
    <x v="151"/>
    <x v="13"/>
    <d v="1899-12-30T16:00:00"/>
    <d v="1899-12-30T19:30:00"/>
    <n v="3.5000000000000009"/>
    <m/>
    <m/>
    <n v="5.5000000000000009"/>
    <x v="1"/>
    <x v="2"/>
    <m/>
    <m/>
    <n v="5.5000000000000009"/>
  </r>
  <r>
    <x v="154"/>
    <x v="13"/>
    <d v="1899-12-30T11:00:00"/>
    <d v="1899-12-30T17:00:00"/>
    <n v="5.5000000000000018"/>
    <n v="0.5"/>
    <m/>
    <n v="7.5000000000000018"/>
    <x v="1"/>
    <x v="2"/>
    <m/>
    <m/>
    <n v="7.5000000000000018"/>
  </r>
  <r>
    <x v="154"/>
    <x v="13"/>
    <d v="1899-12-30T11:30:00"/>
    <d v="1899-12-30T15:30:00"/>
    <n v="4"/>
    <m/>
    <m/>
    <n v="6"/>
    <x v="1"/>
    <x v="2"/>
    <m/>
    <m/>
    <n v="6"/>
  </r>
  <r>
    <x v="154"/>
    <x v="13"/>
    <d v="1899-12-30T17:00:00"/>
    <d v="1899-12-30T23:30:00"/>
    <n v="5.9999999999999982"/>
    <n v="0.5"/>
    <m/>
    <n v="7.9999999999999982"/>
    <x v="1"/>
    <x v="2"/>
    <m/>
    <m/>
    <n v="7.9999999999999982"/>
  </r>
  <r>
    <x v="155"/>
    <x v="13"/>
    <d v="1899-12-30T09:00:00"/>
    <d v="1899-12-30T14:00:00"/>
    <n v="5.0000000000000009"/>
    <m/>
    <m/>
    <n v="5.0000000000000009"/>
    <x v="1"/>
    <x v="2"/>
    <m/>
    <m/>
    <n v="5.0000000000000009"/>
  </r>
  <r>
    <x v="155"/>
    <x v="13"/>
    <d v="1899-12-30T09:00:00"/>
    <d v="1899-12-30T14:00:00"/>
    <n v="5.0000000000000009"/>
    <m/>
    <m/>
    <n v="5.0000000000000009"/>
    <x v="1"/>
    <x v="2"/>
    <m/>
    <m/>
    <n v="5.0000000000000009"/>
  </r>
  <r>
    <x v="167"/>
    <x v="13"/>
    <d v="1899-12-30T15:00:00"/>
    <d v="1899-12-30T20:30:00"/>
    <n v="5.4999999999999991"/>
    <m/>
    <m/>
    <n v="7.4999999999999991"/>
    <x v="1"/>
    <x v="2"/>
    <m/>
    <m/>
    <n v="7.4999999999999991"/>
  </r>
  <r>
    <x v="167"/>
    <x v="13"/>
    <d v="1899-12-30T15:00:00"/>
    <d v="1899-12-30T20:30:00"/>
    <n v="5.4999999999999991"/>
    <m/>
    <m/>
    <n v="7.4999999999999991"/>
    <x v="1"/>
    <x v="2"/>
    <m/>
    <m/>
    <n v="7.4999999999999991"/>
  </r>
  <r>
    <x v="168"/>
    <x v="13"/>
    <d v="1899-12-30T18:30:00"/>
    <d v="1899-12-30T00:00:00"/>
    <n v="5.4999999999999991"/>
    <m/>
    <m/>
    <n v="7.4999999999999991"/>
    <x v="1"/>
    <x v="2"/>
    <m/>
    <m/>
    <n v="7.4999999999999991"/>
  </r>
  <r>
    <x v="168"/>
    <x v="13"/>
    <d v="1899-12-30T19:30:00"/>
    <d v="1899-12-30T23:00:00"/>
    <n v="3.5000000000000009"/>
    <m/>
    <m/>
    <n v="5.5000000000000009"/>
    <x v="1"/>
    <x v="2"/>
    <m/>
    <m/>
    <n v="5.5000000000000009"/>
  </r>
  <r>
    <x v="170"/>
    <x v="13"/>
    <d v="1899-12-30T10:00:00"/>
    <d v="1899-12-30T16:00:00"/>
    <n v="5.4999999999999982"/>
    <n v="0.5"/>
    <m/>
    <n v="7.4999999999999982"/>
    <x v="1"/>
    <x v="2"/>
    <m/>
    <m/>
    <n v="7.4999999999999982"/>
  </r>
  <r>
    <x v="170"/>
    <x v="13"/>
    <d v="1899-12-30T10:00:00"/>
    <d v="1899-12-30T16:00:00"/>
    <n v="5.4999999999999982"/>
    <n v="0.5"/>
    <m/>
    <n v="7.4999999999999982"/>
    <x v="1"/>
    <x v="2"/>
    <m/>
    <m/>
    <n v="7.4999999999999982"/>
  </r>
  <r>
    <x v="171"/>
    <x v="13"/>
    <d v="1899-12-30T10:00:00"/>
    <d v="1899-12-30T16:00:00"/>
    <n v="5.4999999999999982"/>
    <n v="0.5"/>
    <m/>
    <n v="7.4999999999999982"/>
    <x v="1"/>
    <x v="2"/>
    <m/>
    <m/>
    <n v="7.4999999999999982"/>
  </r>
  <r>
    <x v="171"/>
    <x v="13"/>
    <d v="1899-12-30T10:00:00"/>
    <d v="1899-12-30T16:00:00"/>
    <n v="5.4999999999999982"/>
    <n v="0.5"/>
    <m/>
    <n v="7.4999999999999982"/>
    <x v="1"/>
    <x v="2"/>
    <m/>
    <m/>
    <n v="7.4999999999999982"/>
  </r>
  <r>
    <x v="172"/>
    <x v="13"/>
    <d v="1899-12-30T10:00:00"/>
    <d v="1899-12-30T16:00:00"/>
    <n v="5.4999999999999982"/>
    <n v="0.5"/>
    <m/>
    <n v="7.4999999999999982"/>
    <x v="1"/>
    <x v="2"/>
    <m/>
    <m/>
    <n v="7.4999999999999982"/>
  </r>
  <r>
    <x v="172"/>
    <x v="13"/>
    <d v="1899-12-30T10:00:00"/>
    <d v="1899-12-30T16:00:00"/>
    <n v="5.4999999999999982"/>
    <n v="0.5"/>
    <m/>
    <n v="7.4999999999999982"/>
    <x v="1"/>
    <x v="2"/>
    <m/>
    <m/>
    <n v="7.4999999999999982"/>
  </r>
  <r>
    <x v="172"/>
    <x v="13"/>
    <d v="1899-12-30T10:00:00"/>
    <d v="1899-12-30T16:00:00"/>
    <n v="5.4999999999999982"/>
    <n v="0.5"/>
    <m/>
    <n v="7.4999999999999982"/>
    <x v="1"/>
    <x v="2"/>
    <m/>
    <m/>
    <n v="7.4999999999999982"/>
  </r>
  <r>
    <x v="172"/>
    <x v="13"/>
    <d v="1899-12-30T10:00:00"/>
    <d v="1899-12-30T14:00:00"/>
    <n v="4"/>
    <m/>
    <m/>
    <n v="6"/>
    <x v="1"/>
    <x v="2"/>
    <m/>
    <m/>
    <n v="6"/>
  </r>
  <r>
    <x v="340"/>
    <x v="13"/>
    <d v="1899-12-30T08:00:00"/>
    <d v="1899-12-30T20:00:00"/>
    <n v="11"/>
    <n v="1"/>
    <m/>
    <n v="13"/>
    <x v="1"/>
    <x v="2"/>
    <m/>
    <m/>
    <n v="13"/>
  </r>
  <r>
    <x v="340"/>
    <x v="13"/>
    <d v="1899-12-30T08:00:00"/>
    <d v="1899-12-30T16:00:00"/>
    <n v="7.5"/>
    <n v="0.5"/>
    <m/>
    <n v="9.5"/>
    <x v="1"/>
    <x v="2"/>
    <m/>
    <m/>
    <n v="9.5"/>
  </r>
  <r>
    <x v="340"/>
    <x v="13"/>
    <d v="1899-12-30T08:00:00"/>
    <d v="1899-12-30T00:00:00"/>
    <n v="15"/>
    <n v="1"/>
    <m/>
    <n v="17"/>
    <x v="1"/>
    <x v="2"/>
    <m/>
    <m/>
    <n v="17"/>
  </r>
  <r>
    <x v="340"/>
    <x v="13"/>
    <d v="1899-12-30T08:00:00"/>
    <d v="1899-12-30T00:00:00"/>
    <n v="15"/>
    <n v="1"/>
    <m/>
    <n v="17"/>
    <x v="1"/>
    <x v="2"/>
    <m/>
    <m/>
    <n v="17"/>
  </r>
  <r>
    <x v="340"/>
    <x v="13"/>
    <d v="1899-12-30T08:00:00"/>
    <d v="1899-12-30T00:00:00"/>
    <n v="15"/>
    <n v="1"/>
    <m/>
    <n v="17"/>
    <x v="1"/>
    <x v="2"/>
    <m/>
    <m/>
    <n v="17"/>
  </r>
  <r>
    <x v="340"/>
    <x v="13"/>
    <d v="1899-12-30T08:00:00"/>
    <d v="1899-12-30T00:00:00"/>
    <n v="15"/>
    <n v="1"/>
    <m/>
    <n v="17"/>
    <x v="1"/>
    <x v="2"/>
    <m/>
    <m/>
    <n v="17"/>
  </r>
  <r>
    <x v="340"/>
    <x v="13"/>
    <d v="1899-12-30T08:00:00"/>
    <d v="1899-12-30T00:00:00"/>
    <n v="15"/>
    <n v="1"/>
    <m/>
    <n v="17"/>
    <x v="1"/>
    <x v="2"/>
    <m/>
    <m/>
    <n v="17"/>
  </r>
  <r>
    <x v="340"/>
    <x v="13"/>
    <d v="1899-12-30T08:00:00"/>
    <d v="1899-12-30T00:00:00"/>
    <n v="15"/>
    <n v="1"/>
    <m/>
    <n v="17"/>
    <x v="1"/>
    <x v="2"/>
    <m/>
    <m/>
    <n v="17"/>
  </r>
  <r>
    <x v="340"/>
    <x v="13"/>
    <d v="1899-12-30T08:00:00"/>
    <d v="1899-12-30T00:00:00"/>
    <n v="15"/>
    <n v="1"/>
    <m/>
    <n v="17"/>
    <x v="1"/>
    <x v="2"/>
    <m/>
    <m/>
    <n v="17"/>
  </r>
  <r>
    <x v="340"/>
    <x v="13"/>
    <d v="1899-12-30T08:00:00"/>
    <d v="1899-12-30T00:00:00"/>
    <n v="15"/>
    <n v="1"/>
    <m/>
    <n v="17"/>
    <x v="1"/>
    <x v="2"/>
    <m/>
    <m/>
    <n v="17"/>
  </r>
  <r>
    <x v="340"/>
    <x v="13"/>
    <d v="1899-12-30T08:00:00"/>
    <d v="1899-12-30T00:00:00"/>
    <n v="15"/>
    <n v="1"/>
    <m/>
    <n v="17"/>
    <x v="1"/>
    <x v="2"/>
    <m/>
    <m/>
    <n v="17"/>
  </r>
  <r>
    <x v="340"/>
    <x v="13"/>
    <d v="1899-12-30T08:00:00"/>
    <d v="1899-12-30T00:00:00"/>
    <n v="15"/>
    <n v="1"/>
    <m/>
    <n v="17"/>
    <x v="1"/>
    <x v="2"/>
    <m/>
    <m/>
    <n v="17"/>
  </r>
  <r>
    <x v="340"/>
    <x v="13"/>
    <d v="1899-12-30T08:00:00"/>
    <d v="1899-12-30T00:00:00"/>
    <n v="15"/>
    <n v="1"/>
    <m/>
    <n v="17"/>
    <x v="1"/>
    <x v="2"/>
    <m/>
    <m/>
    <n v="17"/>
  </r>
  <r>
    <x v="173"/>
    <x v="13"/>
    <d v="1899-12-30T10:00:00"/>
    <d v="1899-12-30T16:00:00"/>
    <n v="5.4999999999999982"/>
    <n v="0.5"/>
    <m/>
    <n v="7.4999999999999982"/>
    <x v="1"/>
    <x v="2"/>
    <m/>
    <m/>
    <n v="7.4999999999999982"/>
  </r>
  <r>
    <x v="173"/>
    <x v="13"/>
    <d v="1899-12-30T10:00:00"/>
    <d v="1899-12-30T14:00:00"/>
    <n v="4"/>
    <m/>
    <m/>
    <n v="6"/>
    <x v="1"/>
    <x v="2"/>
    <m/>
    <m/>
    <n v="6"/>
  </r>
  <r>
    <x v="173"/>
    <x v="13"/>
    <d v="1899-12-30T10:00:00"/>
    <d v="1899-12-30T14:00:00"/>
    <n v="4"/>
    <m/>
    <m/>
    <n v="6"/>
    <x v="1"/>
    <x v="2"/>
    <m/>
    <m/>
    <n v="6"/>
  </r>
  <r>
    <x v="180"/>
    <x v="13"/>
    <d v="1899-12-30T17:30:00"/>
    <d v="1899-12-30T00:00:00"/>
    <n v="6.0000000000000009"/>
    <n v="0.5"/>
    <m/>
    <n v="8"/>
    <x v="1"/>
    <x v="2"/>
    <m/>
    <m/>
    <n v="8"/>
  </r>
  <r>
    <x v="180"/>
    <x v="13"/>
    <d v="1899-12-30T17:30:00"/>
    <d v="1899-12-30T00:00:00"/>
    <n v="6.0000000000000009"/>
    <n v="0.5"/>
    <m/>
    <n v="8"/>
    <x v="1"/>
    <x v="2"/>
    <m/>
    <m/>
    <n v="8"/>
  </r>
  <r>
    <x v="187"/>
    <x v="13"/>
    <d v="1899-12-30T19:00:00"/>
    <d v="1899-12-30T23:00:00"/>
    <n v="4.0000000000000018"/>
    <m/>
    <m/>
    <n v="6.0000000000000018"/>
    <x v="1"/>
    <x v="2"/>
    <m/>
    <m/>
    <n v="6.0000000000000018"/>
  </r>
  <r>
    <x v="187"/>
    <x v="13"/>
    <d v="1899-12-30T17:00:00"/>
    <d v="1899-12-30T23:00:00"/>
    <n v="5.5"/>
    <n v="0.5"/>
    <m/>
    <n v="7.5"/>
    <x v="1"/>
    <x v="2"/>
    <m/>
    <m/>
    <n v="7.5"/>
  </r>
  <r>
    <x v="193"/>
    <x v="13"/>
    <d v="1899-12-30T10:00:00"/>
    <d v="1899-12-30T16:00:00"/>
    <n v="5.4999999999999982"/>
    <n v="0.5"/>
    <m/>
    <n v="7.4999999999999982"/>
    <x v="1"/>
    <x v="2"/>
    <m/>
    <m/>
    <n v="7.4999999999999982"/>
  </r>
  <r>
    <x v="193"/>
    <x v="13"/>
    <d v="1899-12-30T10:00:00"/>
    <d v="1899-12-30T16:00:00"/>
    <n v="5.4999999999999982"/>
    <n v="0.5"/>
    <m/>
    <n v="7.4999999999999982"/>
    <x v="1"/>
    <x v="2"/>
    <m/>
    <m/>
    <n v="7.4999999999999982"/>
  </r>
  <r>
    <x v="193"/>
    <x v="13"/>
    <d v="1899-12-30T10:00:00"/>
    <d v="1899-12-30T16:00:00"/>
    <n v="5.4999999999999982"/>
    <n v="0.5"/>
    <m/>
    <n v="7.4999999999999982"/>
    <x v="1"/>
    <x v="2"/>
    <m/>
    <m/>
    <n v="7.4999999999999982"/>
  </r>
  <r>
    <x v="193"/>
    <x v="13"/>
    <d v="1899-12-30T10:00:00"/>
    <d v="1899-12-30T16:00:00"/>
    <n v="5.4999999999999982"/>
    <n v="0.5"/>
    <m/>
    <n v="7.4999999999999982"/>
    <x v="1"/>
    <x v="2"/>
    <m/>
    <m/>
    <n v="7.4999999999999982"/>
  </r>
  <r>
    <x v="194"/>
    <x v="13"/>
    <d v="1899-12-30T18:00:00"/>
    <d v="1899-12-30T00:00:00"/>
    <n v="5.5"/>
    <n v="0.5"/>
    <m/>
    <n v="7.5"/>
    <x v="1"/>
    <x v="2"/>
    <m/>
    <m/>
    <n v="7.5"/>
  </r>
  <r>
    <x v="194"/>
    <x v="13"/>
    <d v="1899-12-30T18:00:00"/>
    <d v="1899-12-30T00:00:00"/>
    <n v="5.5"/>
    <n v="0.5"/>
    <m/>
    <n v="7.5"/>
    <x v="1"/>
    <x v="2"/>
    <m/>
    <m/>
    <n v="7.5"/>
  </r>
  <r>
    <x v="194"/>
    <x v="13"/>
    <d v="1899-12-30T18:00:00"/>
    <d v="1899-12-30T00:00:00"/>
    <n v="5.5"/>
    <n v="0.5"/>
    <m/>
    <n v="7.5"/>
    <x v="1"/>
    <x v="2"/>
    <m/>
    <m/>
    <n v="7.5"/>
  </r>
  <r>
    <x v="194"/>
    <x v="13"/>
    <d v="1899-12-30T18:00:00"/>
    <d v="1899-12-30T00:00:00"/>
    <n v="5.5"/>
    <n v="0.5"/>
    <m/>
    <n v="7.5"/>
    <x v="1"/>
    <x v="2"/>
    <m/>
    <m/>
    <n v="7.5"/>
  </r>
  <r>
    <x v="194"/>
    <x v="13"/>
    <d v="1899-12-30T15:00:00"/>
    <d v="1899-12-30T17:30:00"/>
    <n v="2.4999999999999991"/>
    <m/>
    <m/>
    <n v="4.4999999999999991"/>
    <x v="1"/>
    <x v="2"/>
    <m/>
    <m/>
    <n v="4.4999999999999991"/>
  </r>
  <r>
    <x v="195"/>
    <x v="13"/>
    <d v="1899-12-30T09:00:00"/>
    <d v="1899-12-30T14:30:00"/>
    <n v="4.9999999999999991"/>
    <n v="0.5"/>
    <m/>
    <n v="4.9999999999999991"/>
    <x v="1"/>
    <x v="2"/>
    <m/>
    <m/>
    <n v="4.9999999999999991"/>
  </r>
  <r>
    <x v="195"/>
    <x v="13"/>
    <d v="1899-12-30T09:00:00"/>
    <d v="1899-12-30T14:30:00"/>
    <n v="4.9999999999999991"/>
    <n v="0.5"/>
    <m/>
    <n v="4.9999999999999991"/>
    <x v="1"/>
    <x v="2"/>
    <m/>
    <m/>
    <n v="4.9999999999999991"/>
  </r>
  <r>
    <x v="341"/>
    <x v="13"/>
    <d v="1899-12-30T18:00:00"/>
    <d v="1899-12-30T01:00:00"/>
    <n v="6.4999999999999991"/>
    <n v="0.5"/>
    <m/>
    <n v="6.4999999999999991"/>
    <x v="1"/>
    <x v="2"/>
    <m/>
    <m/>
    <n v="6.4999999999999991"/>
  </r>
  <r>
    <x v="341"/>
    <x v="13"/>
    <d v="1899-12-30T18:00:00"/>
    <d v="1899-12-30T01:00:00"/>
    <n v="6.4999999999999991"/>
    <n v="0.5"/>
    <m/>
    <n v="6.4999999999999991"/>
    <x v="1"/>
    <x v="2"/>
    <m/>
    <m/>
    <n v="6.4999999999999991"/>
  </r>
  <r>
    <x v="341"/>
    <x v="13"/>
    <d v="1899-12-30T18:00:00"/>
    <d v="1899-12-30T01:00:00"/>
    <n v="6.4999999999999991"/>
    <n v="0.5"/>
    <m/>
    <n v="6.4999999999999991"/>
    <x v="1"/>
    <x v="2"/>
    <m/>
    <m/>
    <n v="6.4999999999999991"/>
  </r>
  <r>
    <x v="341"/>
    <x v="13"/>
    <d v="1899-12-30T18:00:00"/>
    <d v="1899-12-30T01:00:00"/>
    <n v="6.4999999999999991"/>
    <n v="0.5"/>
    <m/>
    <n v="6.4999999999999991"/>
    <x v="1"/>
    <x v="2"/>
    <m/>
    <m/>
    <n v="6.4999999999999991"/>
  </r>
  <r>
    <x v="341"/>
    <x v="13"/>
    <d v="1899-12-30T18:00:00"/>
    <d v="1899-12-30T01:00:00"/>
    <n v="6.4999999999999991"/>
    <n v="0.5"/>
    <m/>
    <n v="6.4999999999999991"/>
    <x v="1"/>
    <x v="2"/>
    <m/>
    <m/>
    <n v="6.4999999999999991"/>
  </r>
  <r>
    <x v="207"/>
    <x v="13"/>
    <d v="1899-12-30T18:00:00"/>
    <d v="1899-12-30T00:00:00"/>
    <n v="5.5"/>
    <n v="0.5"/>
    <m/>
    <n v="7.5"/>
    <x v="1"/>
    <x v="2"/>
    <m/>
    <m/>
    <n v="7.5"/>
  </r>
  <r>
    <x v="207"/>
    <x v="13"/>
    <d v="1899-12-30T18:00:00"/>
    <d v="1899-12-30T00:00:00"/>
    <n v="5.5"/>
    <n v="0.5"/>
    <m/>
    <n v="7.5"/>
    <x v="1"/>
    <x v="2"/>
    <m/>
    <m/>
    <n v="7.5"/>
  </r>
  <r>
    <x v="207"/>
    <x v="13"/>
    <d v="1899-12-30T18:00:00"/>
    <d v="1899-12-30T00:00:00"/>
    <n v="5.5"/>
    <n v="0.5"/>
    <m/>
    <n v="7.5"/>
    <x v="1"/>
    <x v="2"/>
    <m/>
    <m/>
    <n v="7.5"/>
  </r>
  <r>
    <x v="212"/>
    <x v="13"/>
    <d v="1899-12-30T16:00:00"/>
    <d v="1899-12-30T20:30:00"/>
    <n v="4.5"/>
    <m/>
    <m/>
    <n v="6.5"/>
    <x v="1"/>
    <x v="2"/>
    <m/>
    <m/>
    <n v="6.5"/>
  </r>
  <r>
    <x v="212"/>
    <x v="13"/>
    <d v="1899-12-30T16:00:00"/>
    <d v="1899-12-30T20:30:00"/>
    <n v="4.5"/>
    <m/>
    <m/>
    <n v="6.5"/>
    <x v="1"/>
    <x v="2"/>
    <m/>
    <m/>
    <n v="6.5"/>
  </r>
  <r>
    <x v="212"/>
    <x v="13"/>
    <d v="1899-12-30T16:00:00"/>
    <d v="1899-12-30T20:30:00"/>
    <n v="4.5"/>
    <m/>
    <m/>
    <n v="6.5"/>
    <x v="1"/>
    <x v="2"/>
    <m/>
    <m/>
    <n v="6.5"/>
  </r>
  <r>
    <x v="213"/>
    <x v="13"/>
    <d v="1899-12-30T17:30:00"/>
    <d v="1899-12-30T00:00:00"/>
    <n v="6.0000000000000009"/>
    <n v="0.5"/>
    <m/>
    <n v="8"/>
    <x v="1"/>
    <x v="2"/>
    <m/>
    <m/>
    <n v="8"/>
  </r>
  <r>
    <x v="213"/>
    <x v="13"/>
    <d v="1899-12-30T17:30:00"/>
    <d v="1899-12-30T00:00:00"/>
    <n v="6.0000000000000009"/>
    <n v="0.5"/>
    <m/>
    <n v="8"/>
    <x v="1"/>
    <x v="2"/>
    <m/>
    <m/>
    <n v="8"/>
  </r>
  <r>
    <x v="216"/>
    <x v="13"/>
    <d v="1899-12-30T10:00:00"/>
    <d v="1899-12-30T14:00:00"/>
    <n v="4"/>
    <m/>
    <m/>
    <n v="6"/>
    <x v="1"/>
    <x v="2"/>
    <m/>
    <m/>
    <n v="6"/>
  </r>
  <r>
    <x v="216"/>
    <x v="13"/>
    <d v="1899-12-30T10:00:00"/>
    <d v="1899-12-30T15:00:00"/>
    <n v="5"/>
    <m/>
    <m/>
    <n v="7"/>
    <x v="1"/>
    <x v="2"/>
    <m/>
    <m/>
    <n v="7"/>
  </r>
  <r>
    <x v="216"/>
    <x v="13"/>
    <d v="1899-12-30T10:00:00"/>
    <d v="1899-12-30T15:00:00"/>
    <n v="5"/>
    <m/>
    <m/>
    <n v="7"/>
    <x v="1"/>
    <x v="2"/>
    <m/>
    <m/>
    <n v="7"/>
  </r>
  <r>
    <x v="217"/>
    <x v="13"/>
    <d v="1899-12-30T15:00:00"/>
    <d v="1899-12-30T23:00:00"/>
    <n v="7.5"/>
    <n v="0.5"/>
    <m/>
    <n v="9.5"/>
    <x v="1"/>
    <x v="2"/>
    <m/>
    <m/>
    <n v="9.5"/>
  </r>
  <r>
    <x v="217"/>
    <x v="13"/>
    <d v="1899-12-30T15:00:00"/>
    <d v="1899-12-30T23:00:00"/>
    <n v="7.5"/>
    <n v="0.5"/>
    <m/>
    <n v="9.5"/>
    <x v="1"/>
    <x v="2"/>
    <m/>
    <m/>
    <n v="9.5"/>
  </r>
  <r>
    <x v="217"/>
    <x v="13"/>
    <d v="1899-12-30T15:00:00"/>
    <d v="1899-12-30T23:00:00"/>
    <n v="7.5"/>
    <n v="0.5"/>
    <m/>
    <n v="9.5"/>
    <x v="1"/>
    <x v="2"/>
    <m/>
    <m/>
    <n v="9.5"/>
  </r>
  <r>
    <x v="217"/>
    <x v="13"/>
    <d v="1899-12-30T15:00:00"/>
    <d v="1899-12-30T23:00:00"/>
    <n v="7.5"/>
    <n v="0.5"/>
    <m/>
    <n v="9.5"/>
    <x v="1"/>
    <x v="2"/>
    <m/>
    <m/>
    <n v="9.5"/>
  </r>
  <r>
    <x v="217"/>
    <x v="13"/>
    <d v="1899-12-30T15:00:00"/>
    <d v="1899-12-30T23:00:00"/>
    <n v="7.5"/>
    <n v="0.5"/>
    <m/>
    <n v="9.5"/>
    <x v="1"/>
    <x v="2"/>
    <m/>
    <m/>
    <n v="9.5"/>
  </r>
  <r>
    <x v="217"/>
    <x v="13"/>
    <d v="1899-12-30T15:00:00"/>
    <d v="1899-12-30T17:00:00"/>
    <n v="2.0000000000000009"/>
    <m/>
    <m/>
    <n v="4.0000000000000009"/>
    <x v="1"/>
    <x v="2"/>
    <m/>
    <m/>
    <n v="4.0000000000000009"/>
  </r>
  <r>
    <x v="223"/>
    <x v="13"/>
    <d v="1899-12-30T15:30:00"/>
    <d v="1899-12-30T17:00:00"/>
    <n v="1.5"/>
    <m/>
    <m/>
    <n v="3.5"/>
    <x v="1"/>
    <x v="2"/>
    <m/>
    <m/>
    <n v="3.5"/>
  </r>
  <r>
    <x v="223"/>
    <x v="13"/>
    <d v="1899-12-30T15:30:00"/>
    <d v="1899-12-30T20:00:00"/>
    <n v="4.5"/>
    <m/>
    <m/>
    <n v="6.5"/>
    <x v="1"/>
    <x v="2"/>
    <m/>
    <m/>
    <n v="6.5"/>
  </r>
  <r>
    <x v="223"/>
    <x v="13"/>
    <d v="1899-12-30T15:30:00"/>
    <d v="1899-12-30T20:00:00"/>
    <n v="4.5"/>
    <m/>
    <m/>
    <n v="6.5"/>
    <x v="1"/>
    <x v="2"/>
    <m/>
    <m/>
    <n v="6.5"/>
  </r>
  <r>
    <x v="265"/>
    <x v="13"/>
    <d v="1899-12-30T10:00:00"/>
    <d v="1899-12-30T14:00:00"/>
    <n v="4"/>
    <m/>
    <m/>
    <n v="6"/>
    <x v="1"/>
    <x v="2"/>
    <m/>
    <m/>
    <n v="6"/>
  </r>
  <r>
    <x v="268"/>
    <x v="13"/>
    <d v="1899-12-30T10:00:00"/>
    <d v="1899-12-30T12:00:00"/>
    <n v="1.9999999999999996"/>
    <m/>
    <m/>
    <n v="1.9999999999999996"/>
    <x v="1"/>
    <x v="2"/>
    <m/>
    <m/>
    <n v="1.9999999999999996"/>
  </r>
  <r>
    <x v="268"/>
    <x v="13"/>
    <d v="1899-12-30T09:00:00"/>
    <d v="1899-12-30T16:00:00"/>
    <n v="6.4999999999999991"/>
    <n v="0.5"/>
    <m/>
    <n v="6.4999999999999991"/>
    <x v="1"/>
    <x v="2"/>
    <m/>
    <m/>
    <n v="6.4999999999999991"/>
  </r>
  <r>
    <x v="268"/>
    <x v="13"/>
    <d v="1899-12-30T09:00:00"/>
    <d v="1899-12-30T16:00:00"/>
    <n v="6.4999999999999991"/>
    <n v="0.5"/>
    <m/>
    <n v="6.4999999999999991"/>
    <x v="1"/>
    <x v="2"/>
    <m/>
    <m/>
    <n v="6.4999999999999991"/>
  </r>
  <r>
    <x v="269"/>
    <x v="13"/>
    <d v="1899-12-30T10:00:00"/>
    <d v="1899-12-30T16:00:00"/>
    <n v="5.4999999999999982"/>
    <n v="0.5"/>
    <m/>
    <n v="5.4999999999999982"/>
    <x v="1"/>
    <x v="2"/>
    <m/>
    <m/>
    <n v="5.4999999999999982"/>
  </r>
  <r>
    <x v="269"/>
    <x v="13"/>
    <d v="1899-12-30T10:00:00"/>
    <d v="1899-12-30T16:00:00"/>
    <n v="5.4999999999999982"/>
    <n v="0.5"/>
    <m/>
    <n v="5.4999999999999982"/>
    <x v="1"/>
    <x v="2"/>
    <m/>
    <m/>
    <n v="5.4999999999999982"/>
  </r>
  <r>
    <x v="269"/>
    <x v="13"/>
    <d v="1899-12-30T10:00:00"/>
    <d v="1899-12-30T16:00:00"/>
    <n v="5.4999999999999982"/>
    <n v="0.5"/>
    <m/>
    <n v="5.4999999999999982"/>
    <x v="1"/>
    <x v="2"/>
    <m/>
    <m/>
    <n v="5.4999999999999982"/>
  </r>
  <r>
    <x v="270"/>
    <x v="13"/>
    <d v="1899-12-30T09:00:00"/>
    <d v="1899-12-30T15:00:00"/>
    <n v="5.5"/>
    <n v="0.5"/>
    <m/>
    <n v="7.5"/>
    <x v="1"/>
    <x v="2"/>
    <m/>
    <m/>
    <n v="7.5"/>
  </r>
  <r>
    <x v="270"/>
    <x v="13"/>
    <d v="1899-12-30T09:00:00"/>
    <d v="1899-12-30T15:00:00"/>
    <n v="5.5"/>
    <n v="0.5"/>
    <m/>
    <n v="7.5"/>
    <x v="1"/>
    <x v="2"/>
    <m/>
    <m/>
    <n v="7.5"/>
  </r>
  <r>
    <x v="270"/>
    <x v="13"/>
    <d v="1899-12-30T09:00:00"/>
    <d v="1899-12-30T15:00:00"/>
    <n v="5.5"/>
    <n v="0.5"/>
    <m/>
    <n v="7.5"/>
    <x v="1"/>
    <x v="2"/>
    <m/>
    <m/>
    <n v="7.5"/>
  </r>
  <r>
    <x v="270"/>
    <x v="13"/>
    <d v="1899-12-30T09:00:00"/>
    <d v="1899-12-30T15:00:00"/>
    <n v="5.5"/>
    <n v="0.5"/>
    <m/>
    <n v="7.5"/>
    <x v="1"/>
    <x v="2"/>
    <m/>
    <m/>
    <n v="7.5"/>
  </r>
  <r>
    <x v="270"/>
    <x v="13"/>
    <d v="1899-12-30T09:00:00"/>
    <d v="1899-12-30T15:00:00"/>
    <n v="5.5"/>
    <n v="0.5"/>
    <m/>
    <n v="7.5"/>
    <x v="1"/>
    <x v="2"/>
    <m/>
    <m/>
    <n v="7.5"/>
  </r>
  <r>
    <x v="271"/>
    <x v="13"/>
    <d v="1899-12-30T10:00:00"/>
    <d v="1899-12-30T15:00:00"/>
    <n v="5"/>
    <m/>
    <m/>
    <n v="7"/>
    <x v="1"/>
    <x v="2"/>
    <m/>
    <m/>
    <n v="7"/>
  </r>
  <r>
    <x v="271"/>
    <x v="13"/>
    <d v="1899-12-30T10:00:00"/>
    <d v="1899-12-30T15:00:00"/>
    <n v="5"/>
    <m/>
    <m/>
    <n v="7"/>
    <x v="1"/>
    <x v="2"/>
    <m/>
    <m/>
    <n v="7"/>
  </r>
  <r>
    <x v="271"/>
    <x v="13"/>
    <d v="1899-12-30T10:00:00"/>
    <d v="1899-12-30T15:00:00"/>
    <n v="5"/>
    <m/>
    <m/>
    <n v="7"/>
    <x v="1"/>
    <x v="2"/>
    <m/>
    <m/>
    <n v="7"/>
  </r>
  <r>
    <x v="276"/>
    <x v="13"/>
    <d v="1899-12-30T18:30:00"/>
    <d v="1899-12-30T22:30:00"/>
    <n v="3.9999999999999991"/>
    <m/>
    <m/>
    <n v="3.9999999999999991"/>
    <x v="1"/>
    <x v="2"/>
    <m/>
    <m/>
    <n v="3.9999999999999991"/>
  </r>
  <r>
    <x v="276"/>
    <x v="13"/>
    <d v="1899-12-30T18:30:00"/>
    <d v="1899-12-30T22:30:00"/>
    <n v="3.9999999999999991"/>
    <m/>
    <m/>
    <n v="3.9999999999999991"/>
    <x v="1"/>
    <x v="2"/>
    <m/>
    <m/>
    <n v="3.9999999999999991"/>
  </r>
  <r>
    <x v="277"/>
    <x v="13"/>
    <d v="1899-12-30T09:00:00"/>
    <d v="1899-12-30T15:00:00"/>
    <n v="5.5"/>
    <n v="0.5"/>
    <m/>
    <n v="7.5"/>
    <x v="1"/>
    <x v="2"/>
    <m/>
    <m/>
    <n v="7.5"/>
  </r>
  <r>
    <x v="277"/>
    <x v="13"/>
    <d v="1899-12-30T09:00:00"/>
    <d v="1899-12-30T15:00:00"/>
    <n v="5.5"/>
    <n v="0.5"/>
    <m/>
    <n v="7.5"/>
    <x v="1"/>
    <x v="2"/>
    <m/>
    <m/>
    <n v="7.5"/>
  </r>
  <r>
    <x v="277"/>
    <x v="13"/>
    <d v="1899-12-30T09:00:00"/>
    <d v="1899-12-30T15:00:00"/>
    <n v="5.5"/>
    <n v="0.5"/>
    <m/>
    <n v="7.5"/>
    <x v="1"/>
    <x v="2"/>
    <m/>
    <m/>
    <n v="7.5"/>
  </r>
  <r>
    <x v="277"/>
    <x v="13"/>
    <d v="1899-12-30T09:00:00"/>
    <d v="1899-12-30T15:00:00"/>
    <n v="5.5"/>
    <n v="0.5"/>
    <m/>
    <n v="7.5"/>
    <x v="1"/>
    <x v="2"/>
    <m/>
    <m/>
    <n v="7.5"/>
  </r>
  <r>
    <x v="278"/>
    <x v="13"/>
    <d v="1899-12-30T09:00:00"/>
    <d v="1899-12-30T15:00:00"/>
    <n v="5.5"/>
    <n v="0.5"/>
    <m/>
    <n v="7.5"/>
    <x v="1"/>
    <x v="2"/>
    <m/>
    <m/>
    <n v="7.5"/>
  </r>
  <r>
    <x v="278"/>
    <x v="13"/>
    <d v="1899-12-30T09:00:00"/>
    <d v="1899-12-30T15:00:00"/>
    <n v="5.5"/>
    <n v="0.5"/>
    <m/>
    <n v="7.5"/>
    <x v="1"/>
    <x v="2"/>
    <m/>
    <m/>
    <n v="7.5"/>
  </r>
  <r>
    <x v="282"/>
    <x v="13"/>
    <d v="1899-12-30T07:00:00"/>
    <d v="1899-12-30T16:00:00"/>
    <n v="7.9999999999999982"/>
    <n v="1"/>
    <m/>
    <n v="7.9999999999999982"/>
    <x v="1"/>
    <x v="2"/>
    <m/>
    <m/>
    <n v="7.9999999999999982"/>
  </r>
  <r>
    <x v="282"/>
    <x v="13"/>
    <d v="1899-12-30T07:00:00"/>
    <d v="1899-12-30T16:00:00"/>
    <n v="7.9999999999999982"/>
    <n v="1"/>
    <m/>
    <n v="7.9999999999999982"/>
    <x v="1"/>
    <x v="2"/>
    <m/>
    <m/>
    <n v="7.9999999999999982"/>
  </r>
  <r>
    <x v="282"/>
    <x v="13"/>
    <d v="1899-12-30T07:00:00"/>
    <d v="1899-12-30T16:00:00"/>
    <n v="7.9999999999999982"/>
    <n v="1"/>
    <m/>
    <n v="7.9999999999999982"/>
    <x v="1"/>
    <x v="2"/>
    <m/>
    <m/>
    <n v="7.9999999999999982"/>
  </r>
  <r>
    <x v="282"/>
    <x v="13"/>
    <d v="1899-12-30T07:00:00"/>
    <d v="1899-12-30T16:00:00"/>
    <n v="7.9999999999999982"/>
    <n v="1"/>
    <m/>
    <n v="7.9999999999999982"/>
    <x v="1"/>
    <x v="2"/>
    <m/>
    <m/>
    <n v="7.9999999999999982"/>
  </r>
  <r>
    <x v="282"/>
    <x v="13"/>
    <d v="1899-12-30T07:00:00"/>
    <d v="1899-12-30T16:00:00"/>
    <n v="7.9999999999999982"/>
    <n v="1"/>
    <m/>
    <n v="7.9999999999999982"/>
    <x v="1"/>
    <x v="2"/>
    <m/>
    <m/>
    <n v="7.9999999999999982"/>
  </r>
  <r>
    <x v="284"/>
    <x v="13"/>
    <d v="1899-12-30T16:00:00"/>
    <d v="1899-12-30T20:00:00"/>
    <n v="4.0000000000000018"/>
    <m/>
    <m/>
    <n v="6.0000000000000018"/>
    <x v="1"/>
    <x v="2"/>
    <m/>
    <m/>
    <n v="6.0000000000000018"/>
  </r>
  <r>
    <x v="285"/>
    <x v="13"/>
    <d v="1899-12-30T16:00:00"/>
    <d v="1899-12-30T20:00:00"/>
    <n v="4.0000000000000018"/>
    <m/>
    <m/>
    <n v="6.0000000000000018"/>
    <x v="1"/>
    <x v="2"/>
    <m/>
    <m/>
    <n v="6.0000000000000018"/>
  </r>
  <r>
    <x v="285"/>
    <x v="13"/>
    <d v="1899-12-30T16:00:00"/>
    <d v="1899-12-30T20:00:00"/>
    <n v="4.0000000000000018"/>
    <m/>
    <m/>
    <n v="6.0000000000000018"/>
    <x v="1"/>
    <x v="2"/>
    <m/>
    <m/>
    <n v="6.0000000000000018"/>
  </r>
  <r>
    <x v="286"/>
    <x v="13"/>
    <d v="1899-12-30T16:00:00"/>
    <d v="1899-12-30T20:00:00"/>
    <n v="4.0000000000000018"/>
    <m/>
    <m/>
    <n v="6.0000000000000018"/>
    <x v="1"/>
    <x v="2"/>
    <m/>
    <m/>
    <n v="6.0000000000000018"/>
  </r>
  <r>
    <x v="287"/>
    <x v="13"/>
    <d v="1899-12-30T16:00:00"/>
    <d v="1899-12-30T21:30:00"/>
    <n v="5.0000000000000018"/>
    <n v="0.5"/>
    <m/>
    <n v="7.0000000000000018"/>
    <x v="1"/>
    <x v="2"/>
    <m/>
    <m/>
    <n v="7.0000000000000018"/>
  </r>
  <r>
    <x v="287"/>
    <x v="13"/>
    <d v="1899-12-30T16:00:00"/>
    <d v="1899-12-30T21:30:00"/>
    <n v="5.0000000000000018"/>
    <n v="0.5"/>
    <m/>
    <n v="7.0000000000000018"/>
    <x v="1"/>
    <x v="2"/>
    <m/>
    <m/>
    <n v="7.0000000000000018"/>
  </r>
  <r>
    <x v="288"/>
    <x v="13"/>
    <d v="1899-12-30T18:30:00"/>
    <d v="1899-12-30T22:30:00"/>
    <n v="3.9999999999999991"/>
    <m/>
    <m/>
    <n v="5.9999999999999991"/>
    <x v="1"/>
    <x v="2"/>
    <m/>
    <m/>
    <n v="5.9999999999999991"/>
  </r>
  <r>
    <x v="288"/>
    <x v="13"/>
    <d v="1899-12-30T16:00:00"/>
    <d v="1899-12-30T21:00:00"/>
    <n v="5.0000000000000009"/>
    <m/>
    <m/>
    <n v="7.0000000000000009"/>
    <x v="1"/>
    <x v="2"/>
    <m/>
    <m/>
    <n v="7.0000000000000009"/>
  </r>
  <r>
    <x v="288"/>
    <x v="13"/>
    <d v="1899-12-30T16:00:00"/>
    <d v="1899-12-30T22:30:00"/>
    <n v="6.0000000000000009"/>
    <n v="0.5"/>
    <m/>
    <n v="8"/>
    <x v="1"/>
    <x v="2"/>
    <m/>
    <m/>
    <n v="8"/>
  </r>
  <r>
    <x v="289"/>
    <x v="13"/>
    <d v="1899-12-30T07:00:00"/>
    <d v="1899-12-30T14:00:00"/>
    <n v="6.5"/>
    <n v="0.5"/>
    <m/>
    <n v="6.5"/>
    <x v="1"/>
    <x v="2"/>
    <m/>
    <m/>
    <n v="6.5"/>
  </r>
  <r>
    <x v="289"/>
    <x v="13"/>
    <d v="1899-12-30T07:00:00"/>
    <d v="1899-12-30T13:00:00"/>
    <n v="5.4999999999999982"/>
    <n v="0.5"/>
    <m/>
    <n v="5.4999999999999982"/>
    <x v="1"/>
    <x v="2"/>
    <m/>
    <m/>
    <n v="5.4999999999999982"/>
  </r>
  <r>
    <x v="289"/>
    <x v="13"/>
    <d v="1899-12-30T07:00:00"/>
    <d v="1899-12-30T14:00:00"/>
    <n v="6.5"/>
    <n v="0.5"/>
    <m/>
    <n v="6.5"/>
    <x v="1"/>
    <x v="2"/>
    <m/>
    <m/>
    <n v="6.5"/>
  </r>
  <r>
    <x v="289"/>
    <x v="13"/>
    <d v="1899-12-30T08:00:00"/>
    <d v="1899-12-30T14:00:00"/>
    <n v="5.5000000000000018"/>
    <n v="0.5"/>
    <m/>
    <n v="5.5000000000000018"/>
    <x v="1"/>
    <x v="2"/>
    <m/>
    <m/>
    <n v="5.5000000000000018"/>
  </r>
  <r>
    <x v="290"/>
    <x v="13"/>
    <d v="1899-12-30T10:00:00"/>
    <d v="1899-12-30T14:00:00"/>
    <n v="4"/>
    <m/>
    <m/>
    <n v="4"/>
    <x v="1"/>
    <x v="2"/>
    <m/>
    <m/>
    <n v="4"/>
  </r>
  <r>
    <x v="290"/>
    <x v="13"/>
    <d v="1899-12-30T10:00:00"/>
    <d v="1899-12-30T14:00:00"/>
    <n v="4"/>
    <m/>
    <m/>
    <n v="4"/>
    <x v="1"/>
    <x v="2"/>
    <m/>
    <m/>
    <n v="4"/>
  </r>
  <r>
    <x v="290"/>
    <x v="13"/>
    <d v="1899-12-30T10:00:00"/>
    <d v="1899-12-30T14:00:00"/>
    <n v="4"/>
    <m/>
    <m/>
    <n v="4"/>
    <x v="1"/>
    <x v="2"/>
    <m/>
    <m/>
    <n v="4"/>
  </r>
  <r>
    <x v="292"/>
    <x v="13"/>
    <d v="1899-12-30T15:30:00"/>
    <d v="1899-12-30T20:00:00"/>
    <n v="4.5"/>
    <m/>
    <m/>
    <n v="6.5"/>
    <x v="1"/>
    <x v="2"/>
    <m/>
    <m/>
    <n v="6.5"/>
  </r>
  <r>
    <x v="292"/>
    <x v="13"/>
    <d v="1899-12-30T15:30:00"/>
    <d v="1899-12-30T20:00:00"/>
    <n v="4.5"/>
    <m/>
    <m/>
    <n v="6.5"/>
    <x v="1"/>
    <x v="2"/>
    <m/>
    <m/>
    <n v="6.5"/>
  </r>
  <r>
    <x v="342"/>
    <x v="13"/>
    <d v="1899-12-30T07:00:00"/>
    <d v="1899-12-30T12:00:00"/>
    <n v="5"/>
    <m/>
    <m/>
    <n v="7"/>
    <x v="1"/>
    <x v="2"/>
    <m/>
    <m/>
    <n v="7"/>
  </r>
  <r>
    <x v="342"/>
    <x v="13"/>
    <d v="1899-12-30T07:00:00"/>
    <d v="1899-12-30T12:00:00"/>
    <n v="5"/>
    <m/>
    <m/>
    <n v="7"/>
    <x v="1"/>
    <x v="2"/>
    <m/>
    <m/>
    <n v="7"/>
  </r>
  <r>
    <x v="343"/>
    <x v="13"/>
    <d v="1899-12-30T10:00:00"/>
    <d v="1899-12-30T16:00:00"/>
    <n v="5.4999999999999982"/>
    <n v="0.5"/>
    <m/>
    <n v="5.4999999999999982"/>
    <x v="1"/>
    <x v="2"/>
    <m/>
    <m/>
    <n v="5.4999999999999982"/>
  </r>
  <r>
    <x v="343"/>
    <x v="13"/>
    <d v="1899-12-30T10:00:00"/>
    <d v="1899-12-30T16:00:00"/>
    <n v="5.4999999999999982"/>
    <n v="0.5"/>
    <m/>
    <n v="5.4999999999999982"/>
    <x v="1"/>
    <x v="2"/>
    <m/>
    <m/>
    <n v="5.4999999999999982"/>
  </r>
  <r>
    <x v="343"/>
    <x v="13"/>
    <d v="1899-12-30T10:00:00"/>
    <d v="1899-12-30T16:00:00"/>
    <n v="5.4999999999999982"/>
    <n v="0.5"/>
    <m/>
    <n v="5.4999999999999982"/>
    <x v="1"/>
    <x v="2"/>
    <m/>
    <m/>
    <n v="5.4999999999999982"/>
  </r>
  <r>
    <x v="316"/>
    <x v="13"/>
    <d v="1899-12-30T10:00:00"/>
    <d v="1899-12-30T15:00:00"/>
    <n v="5"/>
    <m/>
    <m/>
    <n v="7"/>
    <x v="1"/>
    <x v="2"/>
    <m/>
    <m/>
    <n v="7"/>
  </r>
  <r>
    <x v="316"/>
    <x v="13"/>
    <d v="1899-12-30T10:00:00"/>
    <d v="1899-12-30T15:00:00"/>
    <n v="5"/>
    <m/>
    <m/>
    <n v="7"/>
    <x v="1"/>
    <x v="2"/>
    <m/>
    <m/>
    <n v="7"/>
  </r>
  <r>
    <x v="317"/>
    <x v="13"/>
    <d v="1899-12-30T10:00:00"/>
    <d v="1899-12-30T15:00:00"/>
    <n v="5"/>
    <m/>
    <m/>
    <n v="7"/>
    <x v="1"/>
    <x v="2"/>
    <m/>
    <m/>
    <n v="7"/>
  </r>
  <r>
    <x v="317"/>
    <x v="13"/>
    <d v="1899-12-30T10:00:00"/>
    <d v="1899-12-30T15:00:00"/>
    <n v="5"/>
    <m/>
    <m/>
    <n v="7"/>
    <x v="1"/>
    <x v="2"/>
    <m/>
    <m/>
    <n v="7"/>
  </r>
  <r>
    <x v="317"/>
    <x v="13"/>
    <d v="1899-12-30T12:00:00"/>
    <d v="1899-12-30T17:00:00"/>
    <n v="5.0000000000000009"/>
    <m/>
    <m/>
    <n v="7.0000000000000009"/>
    <x v="1"/>
    <x v="2"/>
    <m/>
    <m/>
    <n v="7.0000000000000009"/>
  </r>
  <r>
    <x v="318"/>
    <x v="13"/>
    <d v="1899-12-30T15:00:00"/>
    <d v="1899-12-30T23:30:00"/>
    <n v="8"/>
    <n v="0.5"/>
    <m/>
    <n v="10"/>
    <x v="1"/>
    <x v="2"/>
    <m/>
    <m/>
    <n v="10"/>
  </r>
  <r>
    <x v="318"/>
    <x v="13"/>
    <d v="1899-12-30T15:00:00"/>
    <d v="1899-12-30T23:30:00"/>
    <n v="8"/>
    <n v="0.5"/>
    <m/>
    <n v="10"/>
    <x v="1"/>
    <x v="2"/>
    <m/>
    <m/>
    <n v="10"/>
  </r>
  <r>
    <x v="318"/>
    <x v="13"/>
    <d v="1899-12-30T15:00:00"/>
    <d v="1899-12-30T23:30:00"/>
    <n v="8"/>
    <n v="0.5"/>
    <m/>
    <n v="10"/>
    <x v="1"/>
    <x v="2"/>
    <m/>
    <m/>
    <n v="10"/>
  </r>
  <r>
    <x v="318"/>
    <x v="13"/>
    <d v="1899-12-30T15:00:00"/>
    <d v="1899-12-30T23:30:00"/>
    <n v="8"/>
    <n v="0.5"/>
    <m/>
    <n v="10"/>
    <x v="1"/>
    <x v="2"/>
    <m/>
    <m/>
    <n v="10"/>
  </r>
  <r>
    <x v="318"/>
    <x v="13"/>
    <d v="1899-12-30T15:00:00"/>
    <d v="1899-12-30T23:30:00"/>
    <n v="8"/>
    <n v="0.5"/>
    <m/>
    <n v="10"/>
    <x v="1"/>
    <x v="2"/>
    <m/>
    <m/>
    <n v="10"/>
  </r>
  <r>
    <x v="318"/>
    <x v="13"/>
    <d v="1899-12-30T19:30:00"/>
    <d v="1899-12-30T23:30:00"/>
    <n v="3.9999999999999991"/>
    <m/>
    <m/>
    <n v="5.9999999999999991"/>
    <x v="1"/>
    <x v="2"/>
    <m/>
    <m/>
    <n v="5.9999999999999991"/>
  </r>
  <r>
    <x v="318"/>
    <x v="13"/>
    <d v="1899-12-30T19:30:00"/>
    <d v="1899-12-30T23:30:00"/>
    <n v="3.9999999999999991"/>
    <m/>
    <m/>
    <n v="5.9999999999999991"/>
    <x v="1"/>
    <x v="2"/>
    <m/>
    <m/>
    <n v="5.9999999999999991"/>
  </r>
  <r>
    <x v="319"/>
    <x v="13"/>
    <d v="1899-12-30T10:00:00"/>
    <d v="1899-12-30T15:00:00"/>
    <n v="5"/>
    <m/>
    <m/>
    <n v="7"/>
    <x v="1"/>
    <x v="2"/>
    <m/>
    <m/>
    <n v="7"/>
  </r>
  <r>
    <x v="319"/>
    <x v="13"/>
    <d v="1899-12-30T10:00:00"/>
    <d v="1899-12-30T15:00:00"/>
    <n v="5"/>
    <m/>
    <m/>
    <n v="7"/>
    <x v="1"/>
    <x v="2"/>
    <m/>
    <m/>
    <n v="7"/>
  </r>
  <r>
    <x v="323"/>
    <x v="13"/>
    <d v="1899-12-30T15:30:00"/>
    <d v="1899-12-30T19:30:00"/>
    <n v="3.9999999999999991"/>
    <m/>
    <m/>
    <n v="5.9999999999999991"/>
    <x v="1"/>
    <x v="2"/>
    <m/>
    <m/>
    <n v="5.9999999999999991"/>
  </r>
  <r>
    <x v="324"/>
    <x v="13"/>
    <d v="1899-12-30T10:00:00"/>
    <d v="1899-12-30T14:00:00"/>
    <n v="4"/>
    <m/>
    <m/>
    <n v="6"/>
    <x v="1"/>
    <x v="2"/>
    <m/>
    <m/>
    <n v="6"/>
  </r>
  <r>
    <x v="324"/>
    <x v="13"/>
    <d v="1899-12-30T10:00:00"/>
    <d v="1899-12-30T14:00:00"/>
    <n v="4"/>
    <m/>
    <m/>
    <n v="6"/>
    <x v="1"/>
    <x v="2"/>
    <m/>
    <m/>
    <n v="6"/>
  </r>
  <r>
    <x v="324"/>
    <x v="13"/>
    <d v="1899-12-30T10:00:00"/>
    <d v="1899-12-30T14:00:00"/>
    <n v="4"/>
    <m/>
    <m/>
    <n v="6"/>
    <x v="1"/>
    <x v="2"/>
    <m/>
    <m/>
    <n v="6"/>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8">
  <r>
    <x v="0"/>
    <x v="0"/>
    <x v="0"/>
    <x v="0"/>
    <x v="0"/>
    <n v="0.5"/>
    <m/>
    <x v="0"/>
    <n v="3.75"/>
  </r>
  <r>
    <x v="1"/>
    <x v="0"/>
    <x v="0"/>
    <x v="0"/>
    <x v="0"/>
    <n v="0.5"/>
    <m/>
    <x v="0"/>
    <n v="3.75"/>
  </r>
  <r>
    <x v="1"/>
    <x v="0"/>
    <x v="1"/>
    <x v="1"/>
    <x v="1"/>
    <m/>
    <m/>
    <x v="1"/>
    <n v="2.5"/>
  </r>
  <r>
    <x v="2"/>
    <x v="0"/>
    <x v="0"/>
    <x v="0"/>
    <x v="0"/>
    <n v="0.5"/>
    <m/>
    <x v="0"/>
    <n v="3.75"/>
  </r>
  <r>
    <x v="3"/>
    <x v="0"/>
    <x v="0"/>
    <x v="0"/>
    <x v="0"/>
    <n v="0.5"/>
    <m/>
    <x v="0"/>
    <n v="3.75"/>
  </r>
  <r>
    <x v="4"/>
    <x v="1"/>
    <x v="2"/>
    <x v="2"/>
    <x v="2"/>
    <m/>
    <n v="3"/>
    <x v="2"/>
    <n v="3"/>
  </r>
  <r>
    <x v="4"/>
    <x v="0"/>
    <x v="2"/>
    <x v="3"/>
    <x v="3"/>
    <m/>
    <m/>
    <x v="3"/>
    <n v="4"/>
  </r>
  <r>
    <x v="4"/>
    <x v="2"/>
    <x v="3"/>
    <x v="4"/>
    <x v="4"/>
    <n v="1"/>
    <n v="9.5"/>
    <x v="2"/>
    <n v="9.5"/>
  </r>
  <r>
    <x v="4"/>
    <x v="3"/>
    <x v="3"/>
    <x v="5"/>
    <x v="5"/>
    <n v="0.5"/>
    <n v="7.4999999999999982"/>
    <x v="2"/>
    <n v="7.4999999999999982"/>
  </r>
  <r>
    <x v="5"/>
    <x v="3"/>
    <x v="4"/>
    <x v="6"/>
    <x v="6"/>
    <n v="0.5"/>
    <n v="6.5"/>
    <x v="2"/>
    <n v="6.5"/>
  </r>
  <r>
    <x v="6"/>
    <x v="0"/>
    <x v="0"/>
    <x v="0"/>
    <x v="0"/>
    <n v="0.5"/>
    <m/>
    <x v="0"/>
    <n v="3.75"/>
  </r>
  <r>
    <x v="7"/>
    <x v="0"/>
    <x v="0"/>
    <x v="0"/>
    <x v="0"/>
    <n v="0.5"/>
    <m/>
    <x v="0"/>
    <n v="3.75"/>
  </r>
  <r>
    <x v="8"/>
    <x v="0"/>
    <x v="0"/>
    <x v="0"/>
    <x v="0"/>
    <n v="0.5"/>
    <m/>
    <x v="0"/>
    <n v="3.75"/>
  </r>
  <r>
    <x v="8"/>
    <x v="0"/>
    <x v="1"/>
    <x v="1"/>
    <x v="1"/>
    <m/>
    <m/>
    <x v="1"/>
    <n v="2.5"/>
  </r>
  <r>
    <x v="9"/>
    <x v="0"/>
    <x v="0"/>
    <x v="0"/>
    <x v="0"/>
    <n v="0.5"/>
    <m/>
    <x v="0"/>
    <n v="3.75"/>
  </r>
  <r>
    <x v="9"/>
    <x v="0"/>
    <x v="5"/>
    <x v="7"/>
    <x v="7"/>
    <m/>
    <m/>
    <x v="4"/>
    <n v="3.0000000000000009"/>
  </r>
  <r>
    <x v="10"/>
    <x v="0"/>
    <x v="0"/>
    <x v="0"/>
    <x v="0"/>
    <n v="0.5"/>
    <m/>
    <x v="0"/>
    <n v="3.75"/>
  </r>
  <r>
    <x v="10"/>
    <x v="4"/>
    <x v="3"/>
    <x v="8"/>
    <x v="8"/>
    <n v="1"/>
    <n v="11"/>
    <x v="2"/>
    <n v="11"/>
  </r>
  <r>
    <x v="11"/>
    <x v="0"/>
    <x v="2"/>
    <x v="3"/>
    <x v="3"/>
    <m/>
    <m/>
    <x v="3"/>
    <n v="4"/>
  </r>
  <r>
    <x v="11"/>
    <x v="2"/>
    <x v="6"/>
    <x v="9"/>
    <x v="9"/>
    <n v="0.5"/>
    <n v="7.5"/>
    <x v="2"/>
    <n v="7.5"/>
  </r>
  <r>
    <x v="11"/>
    <x v="5"/>
    <x v="7"/>
    <x v="5"/>
    <x v="10"/>
    <n v="1"/>
    <n v="10"/>
    <x v="2"/>
    <n v="10"/>
  </r>
  <r>
    <x v="11"/>
    <x v="3"/>
    <x v="8"/>
    <x v="10"/>
    <x v="11"/>
    <n v="0.5"/>
    <n v="5.9999999999999982"/>
    <x v="2"/>
    <n v="5.9999999999999982"/>
  </r>
  <r>
    <x v="12"/>
    <x v="3"/>
    <x v="2"/>
    <x v="11"/>
    <x v="9"/>
    <n v="0.5"/>
    <n v="7.5"/>
    <x v="2"/>
    <n v="7.5"/>
  </r>
  <r>
    <x v="12"/>
    <x v="2"/>
    <x v="7"/>
    <x v="12"/>
    <x v="6"/>
    <n v="0.5"/>
    <n v="6.5"/>
    <x v="2"/>
    <n v="6.5"/>
  </r>
  <r>
    <x v="13"/>
    <x v="0"/>
    <x v="0"/>
    <x v="0"/>
    <x v="0"/>
    <n v="0.5"/>
    <m/>
    <x v="0"/>
    <n v="3.75"/>
  </r>
  <r>
    <x v="14"/>
    <x v="0"/>
    <x v="0"/>
    <x v="0"/>
    <x v="0"/>
    <n v="0.5"/>
    <m/>
    <x v="0"/>
    <n v="3.75"/>
  </r>
  <r>
    <x v="14"/>
    <x v="3"/>
    <x v="9"/>
    <x v="1"/>
    <x v="12"/>
    <m/>
    <n v="7.5000000000000018"/>
    <x v="2"/>
    <n v="7.5000000000000018"/>
  </r>
  <r>
    <x v="14"/>
    <x v="2"/>
    <x v="1"/>
    <x v="13"/>
    <x v="13"/>
    <m/>
    <n v="5.9999999999999991"/>
    <x v="2"/>
    <n v="5.9999999999999991"/>
  </r>
  <r>
    <x v="15"/>
    <x v="0"/>
    <x v="0"/>
    <x v="0"/>
    <x v="0"/>
    <n v="0.5"/>
    <m/>
    <x v="0"/>
    <n v="3.75"/>
  </r>
  <r>
    <x v="15"/>
    <x v="0"/>
    <x v="5"/>
    <x v="14"/>
    <x v="1"/>
    <m/>
    <m/>
    <x v="1"/>
    <n v="2.5"/>
  </r>
  <r>
    <x v="16"/>
    <x v="0"/>
    <x v="0"/>
    <x v="0"/>
    <x v="0"/>
    <n v="0.5"/>
    <m/>
    <x v="0"/>
    <n v="3.75"/>
  </r>
  <r>
    <x v="17"/>
    <x v="0"/>
    <x v="2"/>
    <x v="3"/>
    <x v="3"/>
    <m/>
    <m/>
    <x v="3"/>
    <n v="4"/>
  </r>
  <r>
    <x v="17"/>
    <x v="2"/>
    <x v="7"/>
    <x v="12"/>
    <x v="6"/>
    <n v="0.5"/>
    <n v="6.5"/>
    <x v="2"/>
    <n v="6.5"/>
  </r>
  <r>
    <x v="17"/>
    <x v="3"/>
    <x v="10"/>
    <x v="5"/>
    <x v="14"/>
    <n v="1"/>
    <n v="8"/>
    <x v="2"/>
    <n v="8"/>
  </r>
  <r>
    <x v="18"/>
    <x v="3"/>
    <x v="11"/>
    <x v="0"/>
    <x v="6"/>
    <n v="0.5"/>
    <n v="6.5"/>
    <x v="2"/>
    <n v="6.5"/>
  </r>
  <r>
    <x v="19"/>
    <x v="0"/>
    <x v="0"/>
    <x v="0"/>
    <x v="0"/>
    <n v="0.5"/>
    <m/>
    <x v="0"/>
    <n v="3.75"/>
  </r>
  <r>
    <x v="20"/>
    <x v="0"/>
    <x v="0"/>
    <x v="0"/>
    <x v="0"/>
    <n v="0.5"/>
    <m/>
    <x v="0"/>
    <n v="3.75"/>
  </r>
  <r>
    <x v="21"/>
    <x v="0"/>
    <x v="0"/>
    <x v="0"/>
    <x v="0"/>
    <n v="0.5"/>
    <m/>
    <x v="0"/>
    <n v="3.75"/>
  </r>
  <r>
    <x v="21"/>
    <x v="0"/>
    <x v="1"/>
    <x v="1"/>
    <x v="1"/>
    <m/>
    <m/>
    <x v="1"/>
    <n v="2.5"/>
  </r>
  <r>
    <x v="22"/>
    <x v="0"/>
    <x v="0"/>
    <x v="0"/>
    <x v="0"/>
    <n v="0.5"/>
    <m/>
    <x v="0"/>
    <n v="3.75"/>
  </r>
  <r>
    <x v="22"/>
    <x v="0"/>
    <x v="5"/>
    <x v="14"/>
    <x v="1"/>
    <m/>
    <m/>
    <x v="1"/>
    <n v="2.5"/>
  </r>
  <r>
    <x v="23"/>
    <x v="0"/>
    <x v="0"/>
    <x v="0"/>
    <x v="0"/>
    <n v="0.5"/>
    <m/>
    <x v="0"/>
    <n v="3.75"/>
  </r>
  <r>
    <x v="23"/>
    <x v="2"/>
    <x v="12"/>
    <x v="5"/>
    <x v="15"/>
    <n v="0.5"/>
    <n v="8.5"/>
    <x v="2"/>
    <n v="8.5"/>
  </r>
  <r>
    <x v="23"/>
    <x v="3"/>
    <x v="13"/>
    <x v="15"/>
    <x v="16"/>
    <n v="1"/>
    <n v="10.25"/>
    <x v="2"/>
    <n v="10.25"/>
  </r>
  <r>
    <x v="24"/>
    <x v="0"/>
    <x v="2"/>
    <x v="3"/>
    <x v="3"/>
    <m/>
    <m/>
    <x v="3"/>
    <n v="4"/>
  </r>
  <r>
    <x v="24"/>
    <x v="3"/>
    <x v="10"/>
    <x v="16"/>
    <x v="17"/>
    <n v="0.5"/>
    <n v="7"/>
    <x v="2"/>
    <n v="7"/>
  </r>
  <r>
    <x v="25"/>
    <x v="3"/>
    <x v="4"/>
    <x v="6"/>
    <x v="6"/>
    <n v="0.5"/>
    <n v="6.5"/>
    <x v="2"/>
    <n v="6.5"/>
  </r>
  <r>
    <x v="26"/>
    <x v="0"/>
    <x v="0"/>
    <x v="0"/>
    <x v="0"/>
    <n v="0.5"/>
    <m/>
    <x v="0"/>
    <n v="3.75"/>
  </r>
  <r>
    <x v="26"/>
    <x v="1"/>
    <x v="14"/>
    <x v="16"/>
    <x v="13"/>
    <m/>
    <n v="5.9999999999999991"/>
    <x v="2"/>
    <n v="5.9999999999999991"/>
  </r>
  <r>
    <x v="27"/>
    <x v="0"/>
    <x v="0"/>
    <x v="0"/>
    <x v="0"/>
    <n v="0.5"/>
    <m/>
    <x v="0"/>
    <n v="3.75"/>
  </r>
  <r>
    <x v="27"/>
    <x v="0"/>
    <x v="1"/>
    <x v="14"/>
    <x v="18"/>
    <m/>
    <m/>
    <x v="5"/>
    <n v="3.4999999999999991"/>
  </r>
  <r>
    <x v="28"/>
    <x v="0"/>
    <x v="0"/>
    <x v="0"/>
    <x v="0"/>
    <n v="0.5"/>
    <m/>
    <x v="0"/>
    <n v="3.75"/>
  </r>
  <r>
    <x v="28"/>
    <x v="0"/>
    <x v="1"/>
    <x v="1"/>
    <x v="1"/>
    <m/>
    <m/>
    <x v="1"/>
    <n v="2.5"/>
  </r>
  <r>
    <x v="29"/>
    <x v="0"/>
    <x v="0"/>
    <x v="0"/>
    <x v="0"/>
    <n v="0.5"/>
    <m/>
    <x v="0"/>
    <n v="3.75"/>
  </r>
  <r>
    <x v="29"/>
    <x v="0"/>
    <x v="15"/>
    <x v="14"/>
    <x v="13"/>
    <m/>
    <m/>
    <x v="6"/>
    <n v="1.9999999999999991"/>
  </r>
  <r>
    <x v="30"/>
    <x v="0"/>
    <x v="0"/>
    <x v="0"/>
    <x v="0"/>
    <n v="0.5"/>
    <m/>
    <x v="0"/>
    <n v="3.75"/>
  </r>
  <r>
    <x v="31"/>
    <x v="0"/>
    <x v="0"/>
    <x v="0"/>
    <x v="0"/>
    <n v="0.5"/>
    <m/>
    <x v="0"/>
    <n v="3.75"/>
  </r>
  <r>
    <x v="32"/>
    <x v="0"/>
    <x v="0"/>
    <x v="0"/>
    <x v="0"/>
    <n v="0.5"/>
    <m/>
    <x v="0"/>
    <n v="3.75"/>
  </r>
  <r>
    <x v="33"/>
    <x v="0"/>
    <x v="0"/>
    <x v="0"/>
    <x v="0"/>
    <n v="0.5"/>
    <m/>
    <x v="0"/>
    <n v="3.75"/>
  </r>
  <r>
    <x v="33"/>
    <x v="0"/>
    <x v="14"/>
    <x v="13"/>
    <x v="1"/>
    <m/>
    <m/>
    <x v="1"/>
    <n v="2.5"/>
  </r>
  <r>
    <x v="33"/>
    <x v="1"/>
    <x v="1"/>
    <x v="1"/>
    <x v="1"/>
    <m/>
    <n v="6.5"/>
    <x v="2"/>
    <n v="6.5"/>
  </r>
  <r>
    <x v="34"/>
    <x v="0"/>
    <x v="0"/>
    <x v="0"/>
    <x v="0"/>
    <n v="0.5"/>
    <m/>
    <x v="0"/>
    <n v="3.75"/>
  </r>
  <r>
    <x v="34"/>
    <x v="0"/>
    <x v="15"/>
    <x v="5"/>
    <x v="19"/>
    <m/>
    <m/>
    <x v="7"/>
    <n v="1.4999999999999982"/>
  </r>
  <r>
    <x v="35"/>
    <x v="0"/>
    <x v="0"/>
    <x v="0"/>
    <x v="0"/>
    <n v="0.5"/>
    <m/>
    <x v="0"/>
    <n v="3.75"/>
  </r>
  <r>
    <x v="35"/>
    <x v="2"/>
    <x v="5"/>
    <x v="5"/>
    <x v="13"/>
    <m/>
    <n v="5.9999999999999991"/>
    <x v="2"/>
    <n v="5.9999999999999991"/>
  </r>
  <r>
    <x v="35"/>
    <x v="3"/>
    <x v="5"/>
    <x v="7"/>
    <x v="7"/>
    <m/>
    <n v="7.0000000000000009"/>
    <x v="2"/>
    <n v="7.0000000000000009"/>
  </r>
  <r>
    <x v="36"/>
    <x v="1"/>
    <x v="2"/>
    <x v="0"/>
    <x v="12"/>
    <n v="0.5"/>
    <n v="5.5000000000000018"/>
    <x v="2"/>
    <n v="5.5000000000000018"/>
  </r>
  <r>
    <x v="36"/>
    <x v="0"/>
    <x v="2"/>
    <x v="6"/>
    <x v="20"/>
    <n v="1"/>
    <m/>
    <x v="8"/>
    <n v="8.0000000000000018"/>
  </r>
  <r>
    <x v="36"/>
    <x v="6"/>
    <x v="2"/>
    <x v="3"/>
    <x v="3"/>
    <m/>
    <n v="4"/>
    <x v="2"/>
    <n v="4"/>
  </r>
  <r>
    <x v="36"/>
    <x v="2"/>
    <x v="12"/>
    <x v="15"/>
    <x v="8"/>
    <n v="1"/>
    <n v="9"/>
    <x v="2"/>
    <n v="9"/>
  </r>
  <r>
    <x v="36"/>
    <x v="3"/>
    <x v="1"/>
    <x v="8"/>
    <x v="15"/>
    <n v="0.5"/>
    <n v="6.4999999999999991"/>
    <x v="2"/>
    <n v="6.4999999999999991"/>
  </r>
  <r>
    <x v="37"/>
    <x v="2"/>
    <x v="16"/>
    <x v="10"/>
    <x v="21"/>
    <n v="1"/>
    <n v="10.5"/>
    <x v="2"/>
    <n v="10.5"/>
  </r>
  <r>
    <x v="38"/>
    <x v="0"/>
    <x v="0"/>
    <x v="0"/>
    <x v="0"/>
    <n v="0.5"/>
    <m/>
    <x v="0"/>
    <n v="3.75"/>
  </r>
  <r>
    <x v="39"/>
    <x v="0"/>
    <x v="0"/>
    <x v="0"/>
    <x v="0"/>
    <n v="0.5"/>
    <m/>
    <x v="0"/>
    <n v="3.75"/>
  </r>
  <r>
    <x v="39"/>
    <x v="7"/>
    <x v="12"/>
    <x v="9"/>
    <x v="22"/>
    <m/>
    <n v="4.4999999999999991"/>
    <x v="2"/>
    <n v="4.4999999999999991"/>
  </r>
  <r>
    <x v="40"/>
    <x v="0"/>
    <x v="0"/>
    <x v="0"/>
    <x v="0"/>
    <n v="0.5"/>
    <m/>
    <x v="0"/>
    <n v="3.75"/>
  </r>
  <r>
    <x v="40"/>
    <x v="1"/>
    <x v="1"/>
    <x v="1"/>
    <x v="1"/>
    <m/>
    <n v="6.5"/>
    <x v="2"/>
    <n v="6.5"/>
  </r>
  <r>
    <x v="41"/>
    <x v="0"/>
    <x v="0"/>
    <x v="0"/>
    <x v="0"/>
    <n v="0.5"/>
    <m/>
    <x v="0"/>
    <n v="3.75"/>
  </r>
  <r>
    <x v="41"/>
    <x v="0"/>
    <x v="5"/>
    <x v="5"/>
    <x v="13"/>
    <m/>
    <m/>
    <x v="6"/>
    <n v="1.9999999999999991"/>
  </r>
  <r>
    <x v="42"/>
    <x v="0"/>
    <x v="0"/>
    <x v="0"/>
    <x v="0"/>
    <n v="0.5"/>
    <m/>
    <x v="0"/>
    <n v="3.75"/>
  </r>
  <r>
    <x v="42"/>
    <x v="3"/>
    <x v="5"/>
    <x v="7"/>
    <x v="7"/>
    <m/>
    <n v="7.0000000000000009"/>
    <x v="2"/>
    <n v="7.0000000000000009"/>
  </r>
  <r>
    <x v="43"/>
    <x v="0"/>
    <x v="2"/>
    <x v="3"/>
    <x v="3"/>
    <m/>
    <m/>
    <x v="3"/>
    <n v="4"/>
  </r>
  <r>
    <x v="43"/>
    <x v="1"/>
    <x v="17"/>
    <x v="17"/>
    <x v="13"/>
    <m/>
    <n v="3.9999999999999991"/>
    <x v="2"/>
    <n v="3.9999999999999991"/>
  </r>
  <r>
    <x v="43"/>
    <x v="3"/>
    <x v="18"/>
    <x v="18"/>
    <x v="17"/>
    <n v="0.5"/>
    <n v="7"/>
    <x v="2"/>
    <n v="7"/>
  </r>
  <r>
    <x v="43"/>
    <x v="8"/>
    <x v="10"/>
    <x v="19"/>
    <x v="23"/>
    <n v="0.5"/>
    <n v="6.5000000000000018"/>
    <x v="2"/>
    <n v="6.5000000000000018"/>
  </r>
  <r>
    <x v="43"/>
    <x v="2"/>
    <x v="12"/>
    <x v="7"/>
    <x v="9"/>
    <n v="0.5"/>
    <n v="7.5"/>
    <x v="2"/>
    <n v="7.5"/>
  </r>
  <r>
    <x v="44"/>
    <x v="2"/>
    <x v="7"/>
    <x v="13"/>
    <x v="8"/>
    <n v="1"/>
    <n v="9"/>
    <x v="2"/>
    <n v="9"/>
  </r>
  <r>
    <x v="44"/>
    <x v="3"/>
    <x v="9"/>
    <x v="16"/>
    <x v="1"/>
    <m/>
    <n v="4.5"/>
    <x v="2"/>
    <n v="4.5"/>
  </r>
  <r>
    <x v="45"/>
    <x v="0"/>
    <x v="0"/>
    <x v="0"/>
    <x v="0"/>
    <n v="0.5"/>
    <m/>
    <x v="0"/>
    <n v="3.75"/>
  </r>
  <r>
    <x v="46"/>
    <x v="0"/>
    <x v="0"/>
    <x v="0"/>
    <x v="0"/>
    <n v="0.5"/>
    <m/>
    <x v="0"/>
    <n v="3.75"/>
  </r>
  <r>
    <x v="46"/>
    <x v="1"/>
    <x v="1"/>
    <x v="1"/>
    <x v="1"/>
    <m/>
    <n v="6.5"/>
    <x v="2"/>
    <n v="6.5"/>
  </r>
  <r>
    <x v="47"/>
    <x v="0"/>
    <x v="0"/>
    <x v="0"/>
    <x v="0"/>
    <n v="0.5"/>
    <m/>
    <x v="0"/>
    <n v="3.75"/>
  </r>
  <r>
    <x v="47"/>
    <x v="0"/>
    <x v="12"/>
    <x v="7"/>
    <x v="17"/>
    <n v="1"/>
    <m/>
    <x v="9"/>
    <n v="5"/>
  </r>
  <r>
    <x v="47"/>
    <x v="1"/>
    <x v="15"/>
    <x v="14"/>
    <x v="13"/>
    <m/>
    <n v="5.9999999999999991"/>
    <x v="2"/>
    <n v="5.9999999999999991"/>
  </r>
  <r>
    <x v="48"/>
    <x v="0"/>
    <x v="0"/>
    <x v="0"/>
    <x v="0"/>
    <n v="0.5"/>
    <m/>
    <x v="0"/>
    <n v="3.75"/>
  </r>
  <r>
    <x v="48"/>
    <x v="3"/>
    <x v="5"/>
    <x v="7"/>
    <x v="7"/>
    <m/>
    <n v="7.0000000000000009"/>
    <x v="2"/>
    <n v="7.0000000000000009"/>
  </r>
  <r>
    <x v="49"/>
    <x v="0"/>
    <x v="2"/>
    <x v="3"/>
    <x v="3"/>
    <m/>
    <m/>
    <x v="3"/>
    <n v="4"/>
  </r>
  <r>
    <x v="49"/>
    <x v="2"/>
    <x v="6"/>
    <x v="20"/>
    <x v="12"/>
    <n v="0.5"/>
    <n v="5.5000000000000018"/>
    <x v="2"/>
    <n v="5.5000000000000018"/>
  </r>
  <r>
    <x v="49"/>
    <x v="3"/>
    <x v="14"/>
    <x v="14"/>
    <x v="24"/>
    <n v="0.5"/>
    <n v="5.5"/>
    <x v="2"/>
    <n v="5.5"/>
  </r>
  <r>
    <x v="50"/>
    <x v="2"/>
    <x v="10"/>
    <x v="8"/>
    <x v="10"/>
    <n v="1"/>
    <n v="10"/>
    <x v="2"/>
    <n v="10"/>
  </r>
  <r>
    <x v="51"/>
    <x v="0"/>
    <x v="0"/>
    <x v="0"/>
    <x v="0"/>
    <n v="0.5"/>
    <m/>
    <x v="0"/>
    <n v="3.75"/>
  </r>
  <r>
    <x v="51"/>
    <x v="0"/>
    <x v="19"/>
    <x v="5"/>
    <x v="1"/>
    <m/>
    <m/>
    <x v="1"/>
    <n v="2.5"/>
  </r>
  <r>
    <x v="52"/>
    <x v="0"/>
    <x v="0"/>
    <x v="0"/>
    <x v="0"/>
    <n v="0.5"/>
    <m/>
    <x v="0"/>
    <n v="3.75"/>
  </r>
  <r>
    <x v="52"/>
    <x v="7"/>
    <x v="12"/>
    <x v="9"/>
    <x v="22"/>
    <m/>
    <n v="4.4999999999999991"/>
    <x v="2"/>
    <n v="4.4999999999999991"/>
  </r>
  <r>
    <x v="53"/>
    <x v="0"/>
    <x v="0"/>
    <x v="0"/>
    <x v="0"/>
    <n v="0.5"/>
    <m/>
    <x v="0"/>
    <n v="3.75"/>
  </r>
  <r>
    <x v="53"/>
    <x v="1"/>
    <x v="14"/>
    <x v="1"/>
    <x v="7"/>
    <m/>
    <n v="7.0000000000000009"/>
    <x v="2"/>
    <n v="7.0000000000000009"/>
  </r>
  <r>
    <x v="54"/>
    <x v="1"/>
    <x v="1"/>
    <x v="7"/>
    <x v="24"/>
    <n v="0.5"/>
    <n v="7.5"/>
    <x v="2"/>
    <n v="7.5"/>
  </r>
  <r>
    <x v="54"/>
    <x v="0"/>
    <x v="15"/>
    <x v="14"/>
    <x v="13"/>
    <m/>
    <m/>
    <x v="6"/>
    <n v="1.9999999999999991"/>
  </r>
  <r>
    <x v="55"/>
    <x v="0"/>
    <x v="0"/>
    <x v="0"/>
    <x v="0"/>
    <n v="0.5"/>
    <m/>
    <x v="0"/>
    <n v="3.75"/>
  </r>
  <r>
    <x v="55"/>
    <x v="1"/>
    <x v="14"/>
    <x v="21"/>
    <x v="15"/>
    <n v="0.5"/>
    <n v="8.5"/>
    <x v="2"/>
    <n v="8.5"/>
  </r>
  <r>
    <x v="55"/>
    <x v="0"/>
    <x v="15"/>
    <x v="7"/>
    <x v="1"/>
    <m/>
    <m/>
    <x v="1"/>
    <n v="2.5"/>
  </r>
  <r>
    <x v="56"/>
    <x v="0"/>
    <x v="2"/>
    <x v="3"/>
    <x v="3"/>
    <m/>
    <m/>
    <x v="3"/>
    <n v="4"/>
  </r>
  <r>
    <x v="56"/>
    <x v="8"/>
    <x v="7"/>
    <x v="6"/>
    <x v="12"/>
    <n v="0.5"/>
    <n v="5.5000000000000018"/>
    <x v="2"/>
    <n v="5.5000000000000018"/>
  </r>
  <r>
    <x v="56"/>
    <x v="3"/>
    <x v="18"/>
    <x v="10"/>
    <x v="15"/>
    <n v="0.5"/>
    <n v="6.4999999999999991"/>
    <x v="2"/>
    <n v="6.4999999999999991"/>
  </r>
  <r>
    <x v="57"/>
    <x v="0"/>
    <x v="0"/>
    <x v="0"/>
    <x v="0"/>
    <n v="0.5"/>
    <m/>
    <x v="0"/>
    <n v="3.75"/>
  </r>
  <r>
    <x v="58"/>
    <x v="0"/>
    <x v="0"/>
    <x v="0"/>
    <x v="0"/>
    <n v="0.5"/>
    <m/>
    <x v="0"/>
    <n v="3.75"/>
  </r>
  <r>
    <x v="58"/>
    <x v="0"/>
    <x v="1"/>
    <x v="13"/>
    <x v="13"/>
    <m/>
    <m/>
    <x v="6"/>
    <n v="1.9999999999999991"/>
  </r>
  <r>
    <x v="59"/>
    <x v="0"/>
    <x v="17"/>
    <x v="0"/>
    <x v="7"/>
    <m/>
    <m/>
    <x v="4"/>
    <n v="3.0000000000000009"/>
  </r>
  <r>
    <x v="59"/>
    <x v="0"/>
    <x v="14"/>
    <x v="1"/>
    <x v="7"/>
    <m/>
    <m/>
    <x v="4"/>
    <n v="3.0000000000000009"/>
  </r>
  <r>
    <x v="60"/>
    <x v="0"/>
    <x v="0"/>
    <x v="0"/>
    <x v="0"/>
    <n v="0.5"/>
    <m/>
    <x v="0"/>
    <n v="3.75"/>
  </r>
  <r>
    <x v="60"/>
    <x v="0"/>
    <x v="15"/>
    <x v="14"/>
    <x v="13"/>
    <m/>
    <m/>
    <x v="6"/>
    <n v="1.9999999999999991"/>
  </r>
  <r>
    <x v="61"/>
    <x v="0"/>
    <x v="0"/>
    <x v="0"/>
    <x v="0"/>
    <n v="0.5"/>
    <m/>
    <x v="0"/>
    <n v="3.75"/>
  </r>
  <r>
    <x v="61"/>
    <x v="3"/>
    <x v="5"/>
    <x v="7"/>
    <x v="7"/>
    <m/>
    <n v="7.0000000000000009"/>
    <x v="2"/>
    <n v="7.0000000000000009"/>
  </r>
  <r>
    <x v="62"/>
    <x v="0"/>
    <x v="2"/>
    <x v="3"/>
    <x v="3"/>
    <m/>
    <m/>
    <x v="3"/>
    <n v="4"/>
  </r>
  <r>
    <x v="62"/>
    <x v="8"/>
    <x v="18"/>
    <x v="10"/>
    <x v="15"/>
    <n v="0.5"/>
    <n v="6.4999999999999991"/>
    <x v="2"/>
    <n v="6.4999999999999991"/>
  </r>
  <r>
    <x v="62"/>
    <x v="3"/>
    <x v="18"/>
    <x v="15"/>
    <x v="25"/>
    <n v="1"/>
    <n v="12.000000000000002"/>
    <x v="2"/>
    <n v="12.000000000000002"/>
  </r>
  <r>
    <x v="62"/>
    <x v="2"/>
    <x v="3"/>
    <x v="19"/>
    <x v="24"/>
    <n v="0.5"/>
    <n v="5.5"/>
    <x v="2"/>
    <n v="5.5"/>
  </r>
  <r>
    <x v="62"/>
    <x v="5"/>
    <x v="12"/>
    <x v="15"/>
    <x v="8"/>
    <n v="1"/>
    <n v="9"/>
    <x v="2"/>
    <n v="9"/>
  </r>
  <r>
    <x v="63"/>
    <x v="3"/>
    <x v="4"/>
    <x v="16"/>
    <x v="26"/>
    <n v="0.5"/>
    <n v="6"/>
    <x v="2"/>
    <n v="6"/>
  </r>
  <r>
    <x v="64"/>
    <x v="0"/>
    <x v="7"/>
    <x v="0"/>
    <x v="27"/>
    <m/>
    <m/>
    <x v="10"/>
    <n v="1.0000000000000013"/>
  </r>
  <r>
    <x v="64"/>
    <x v="4"/>
    <x v="14"/>
    <x v="5"/>
    <x v="18"/>
    <m/>
    <n v="7.4999999999999991"/>
    <x v="2"/>
    <n v="7.4999999999999991"/>
  </r>
  <r>
    <x v="65"/>
    <x v="0"/>
    <x v="17"/>
    <x v="0"/>
    <x v="7"/>
    <m/>
    <m/>
    <x v="4"/>
    <n v="3.0000000000000009"/>
  </r>
  <r>
    <x v="66"/>
    <x v="0"/>
    <x v="0"/>
    <x v="0"/>
    <x v="0"/>
    <n v="0.5"/>
    <m/>
    <x v="0"/>
    <n v="3.75"/>
  </r>
  <r>
    <x v="66"/>
    <x v="1"/>
    <x v="14"/>
    <x v="1"/>
    <x v="7"/>
    <m/>
    <n v="7.0000000000000009"/>
    <x v="2"/>
    <n v="7.0000000000000009"/>
  </r>
  <r>
    <x v="67"/>
    <x v="2"/>
    <x v="11"/>
    <x v="0"/>
    <x v="17"/>
    <m/>
    <n v="9"/>
    <x v="2"/>
    <n v="9"/>
  </r>
  <r>
    <x v="67"/>
    <x v="0"/>
    <x v="0"/>
    <x v="0"/>
    <x v="0"/>
    <n v="0.5"/>
    <m/>
    <x v="0"/>
    <n v="3.75"/>
  </r>
  <r>
    <x v="67"/>
    <x v="2"/>
    <x v="1"/>
    <x v="18"/>
    <x v="22"/>
    <m/>
    <n v="4.4999999999999991"/>
    <x v="2"/>
    <n v="4.4999999999999991"/>
  </r>
  <r>
    <x v="67"/>
    <x v="0"/>
    <x v="15"/>
    <x v="14"/>
    <x v="13"/>
    <m/>
    <m/>
    <x v="6"/>
    <n v="1.9999999999999991"/>
  </r>
  <r>
    <x v="68"/>
    <x v="0"/>
    <x v="0"/>
    <x v="0"/>
    <x v="0"/>
    <n v="0.5"/>
    <m/>
    <x v="0"/>
    <n v="3.75"/>
  </r>
  <r>
    <x v="68"/>
    <x v="4"/>
    <x v="10"/>
    <x v="5"/>
    <x v="14"/>
    <n v="1"/>
    <n v="10"/>
    <x v="2"/>
    <n v="10"/>
  </r>
  <r>
    <x v="68"/>
    <x v="3"/>
    <x v="5"/>
    <x v="7"/>
    <x v="7"/>
    <m/>
    <n v="7.0000000000000009"/>
    <x v="2"/>
    <n v="7.0000000000000009"/>
  </r>
  <r>
    <x v="69"/>
    <x v="0"/>
    <x v="2"/>
    <x v="3"/>
    <x v="3"/>
    <m/>
    <m/>
    <x v="3"/>
    <n v="4"/>
  </r>
  <r>
    <x v="69"/>
    <x v="2"/>
    <x v="7"/>
    <x v="15"/>
    <x v="28"/>
    <n v="1"/>
    <n v="13"/>
    <x v="2"/>
    <n v="13"/>
  </r>
  <r>
    <x v="69"/>
    <x v="5"/>
    <x v="18"/>
    <x v="10"/>
    <x v="15"/>
    <n v="0.5"/>
    <n v="6.4999999999999991"/>
    <x v="2"/>
    <n v="6.4999999999999991"/>
  </r>
  <r>
    <x v="69"/>
    <x v="3"/>
    <x v="3"/>
    <x v="7"/>
    <x v="14"/>
    <n v="1"/>
    <n v="8"/>
    <x v="2"/>
    <n v="8"/>
  </r>
  <r>
    <x v="70"/>
    <x v="3"/>
    <x v="4"/>
    <x v="5"/>
    <x v="29"/>
    <n v="1"/>
    <n v="10.999999999999998"/>
    <x v="2"/>
    <n v="10.999999999999998"/>
  </r>
  <r>
    <x v="70"/>
    <x v="2"/>
    <x v="7"/>
    <x v="13"/>
    <x v="8"/>
    <n v="1"/>
    <n v="9"/>
    <x v="2"/>
    <n v="9"/>
  </r>
  <r>
    <x v="71"/>
    <x v="0"/>
    <x v="0"/>
    <x v="0"/>
    <x v="0"/>
    <n v="0.5"/>
    <m/>
    <x v="0"/>
    <n v="3.75"/>
  </r>
  <r>
    <x v="72"/>
    <x v="0"/>
    <x v="0"/>
    <x v="0"/>
    <x v="0"/>
    <n v="0.5"/>
    <m/>
    <x v="0"/>
    <n v="3.75"/>
  </r>
  <r>
    <x v="73"/>
    <x v="0"/>
    <x v="0"/>
    <x v="0"/>
    <x v="0"/>
    <n v="0.5"/>
    <m/>
    <x v="0"/>
    <n v="3.75"/>
  </r>
  <r>
    <x v="73"/>
    <x v="2"/>
    <x v="1"/>
    <x v="5"/>
    <x v="30"/>
    <m/>
    <n v="6.9999999999999982"/>
    <x v="2"/>
    <n v="6.9999999999999982"/>
  </r>
  <r>
    <x v="74"/>
    <x v="0"/>
    <x v="0"/>
    <x v="0"/>
    <x v="0"/>
    <n v="0.5"/>
    <m/>
    <x v="0"/>
    <n v="3.75"/>
  </r>
  <r>
    <x v="74"/>
    <x v="1"/>
    <x v="14"/>
    <x v="22"/>
    <x v="31"/>
    <m/>
    <n v="4.0000000000000009"/>
    <x v="2"/>
    <n v="4.0000000000000009"/>
  </r>
  <r>
    <x v="74"/>
    <x v="0"/>
    <x v="15"/>
    <x v="14"/>
    <x v="13"/>
    <m/>
    <m/>
    <x v="6"/>
    <n v="1.9999999999999991"/>
  </r>
  <r>
    <x v="75"/>
    <x v="0"/>
    <x v="0"/>
    <x v="0"/>
    <x v="0"/>
    <n v="0.5"/>
    <m/>
    <x v="0"/>
    <n v="3.75"/>
  </r>
  <r>
    <x v="75"/>
    <x v="3"/>
    <x v="5"/>
    <x v="7"/>
    <x v="7"/>
    <m/>
    <n v="7.0000000000000009"/>
    <x v="2"/>
    <n v="7.0000000000000009"/>
  </r>
  <r>
    <x v="76"/>
    <x v="0"/>
    <x v="2"/>
    <x v="3"/>
    <x v="3"/>
    <m/>
    <m/>
    <x v="3"/>
    <n v="4"/>
  </r>
  <r>
    <x v="76"/>
    <x v="8"/>
    <x v="20"/>
    <x v="16"/>
    <x v="24"/>
    <n v="0.5"/>
    <n v="5.5"/>
    <x v="2"/>
    <n v="5.5"/>
  </r>
  <r>
    <x v="76"/>
    <x v="3"/>
    <x v="5"/>
    <x v="7"/>
    <x v="7"/>
    <m/>
    <n v="5.0000000000000009"/>
    <x v="2"/>
    <n v="5.0000000000000009"/>
  </r>
  <r>
    <x v="77"/>
    <x v="2"/>
    <x v="2"/>
    <x v="11"/>
    <x v="14"/>
    <m/>
    <n v="8"/>
    <x v="2"/>
    <n v="8"/>
  </r>
  <r>
    <x v="78"/>
    <x v="0"/>
    <x v="0"/>
    <x v="0"/>
    <x v="0"/>
    <n v="0.5"/>
    <m/>
    <x v="0"/>
    <n v="3.75"/>
  </r>
  <r>
    <x v="79"/>
    <x v="0"/>
    <x v="0"/>
    <x v="0"/>
    <x v="0"/>
    <n v="0.5"/>
    <m/>
    <x v="0"/>
    <n v="3.75"/>
  </r>
  <r>
    <x v="79"/>
    <x v="0"/>
    <x v="1"/>
    <x v="13"/>
    <x v="13"/>
    <m/>
    <m/>
    <x v="6"/>
    <n v="1.9999999999999991"/>
  </r>
  <r>
    <x v="80"/>
    <x v="0"/>
    <x v="0"/>
    <x v="0"/>
    <x v="0"/>
    <n v="0.5"/>
    <m/>
    <x v="0"/>
    <n v="3.75"/>
  </r>
  <r>
    <x v="80"/>
    <x v="1"/>
    <x v="1"/>
    <x v="1"/>
    <x v="1"/>
    <m/>
    <n v="6.5"/>
    <x v="2"/>
    <n v="6.5"/>
  </r>
  <r>
    <x v="81"/>
    <x v="0"/>
    <x v="0"/>
    <x v="0"/>
    <x v="0"/>
    <n v="0.5"/>
    <m/>
    <x v="0"/>
    <n v="3.75"/>
  </r>
  <r>
    <x v="81"/>
    <x v="2"/>
    <x v="14"/>
    <x v="8"/>
    <x v="17"/>
    <n v="0.5"/>
    <n v="9"/>
    <x v="2"/>
    <n v="9"/>
  </r>
  <r>
    <x v="81"/>
    <x v="0"/>
    <x v="15"/>
    <x v="14"/>
    <x v="13"/>
    <m/>
    <m/>
    <x v="6"/>
    <n v="1.9999999999999991"/>
  </r>
  <r>
    <x v="82"/>
    <x v="0"/>
    <x v="0"/>
    <x v="0"/>
    <x v="0"/>
    <n v="0.5"/>
    <m/>
    <x v="0"/>
    <n v="3.75"/>
  </r>
  <r>
    <x v="82"/>
    <x v="3"/>
    <x v="14"/>
    <x v="7"/>
    <x v="32"/>
    <n v="0.5"/>
    <n v="8"/>
    <x v="2"/>
    <n v="8"/>
  </r>
  <r>
    <x v="83"/>
    <x v="0"/>
    <x v="2"/>
    <x v="3"/>
    <x v="3"/>
    <m/>
    <m/>
    <x v="3"/>
    <n v="4"/>
  </r>
  <r>
    <x v="83"/>
    <x v="5"/>
    <x v="7"/>
    <x v="6"/>
    <x v="12"/>
    <n v="0.5"/>
    <n v="5.5000000000000018"/>
    <x v="2"/>
    <n v="5.5000000000000018"/>
  </r>
  <r>
    <x v="83"/>
    <x v="3"/>
    <x v="18"/>
    <x v="5"/>
    <x v="8"/>
    <n v="1"/>
    <n v="9"/>
    <x v="2"/>
    <n v="9"/>
  </r>
  <r>
    <x v="84"/>
    <x v="0"/>
    <x v="17"/>
    <x v="23"/>
    <x v="1"/>
    <m/>
    <m/>
    <x v="1"/>
    <n v="2.5"/>
  </r>
  <r>
    <x v="85"/>
    <x v="0"/>
    <x v="2"/>
    <x v="0"/>
    <x v="12"/>
    <n v="0.5"/>
    <m/>
    <x v="11"/>
    <n v="3.5000000000000018"/>
  </r>
  <r>
    <x v="85"/>
    <x v="0"/>
    <x v="9"/>
    <x v="13"/>
    <x v="7"/>
    <m/>
    <m/>
    <x v="4"/>
    <n v="3.0000000000000009"/>
  </r>
  <r>
    <x v="86"/>
    <x v="0"/>
    <x v="2"/>
    <x v="0"/>
    <x v="12"/>
    <n v="0.5"/>
    <m/>
    <x v="11"/>
    <n v="3.5000000000000018"/>
  </r>
  <r>
    <x v="86"/>
    <x v="0"/>
    <x v="5"/>
    <x v="14"/>
    <x v="1"/>
    <m/>
    <m/>
    <x v="1"/>
    <n v="2.5"/>
  </r>
  <r>
    <x v="87"/>
    <x v="0"/>
    <x v="2"/>
    <x v="0"/>
    <x v="12"/>
    <n v="0.5"/>
    <m/>
    <x v="11"/>
    <n v="3.5000000000000018"/>
  </r>
  <r>
    <x v="87"/>
    <x v="2"/>
    <x v="21"/>
    <x v="21"/>
    <x v="5"/>
    <n v="0.5"/>
    <n v="9.4999999999999982"/>
    <x v="2"/>
    <n v="9.4999999999999982"/>
  </r>
  <r>
    <x v="87"/>
    <x v="3"/>
    <x v="5"/>
    <x v="7"/>
    <x v="7"/>
    <m/>
    <n v="7.0000000000000009"/>
    <x v="2"/>
    <n v="7.0000000000000009"/>
  </r>
  <r>
    <x v="88"/>
    <x v="0"/>
    <x v="2"/>
    <x v="24"/>
    <x v="33"/>
    <m/>
    <m/>
    <x v="12"/>
    <n v="4.5000000000000018"/>
  </r>
  <r>
    <x v="88"/>
    <x v="1"/>
    <x v="2"/>
    <x v="2"/>
    <x v="2"/>
    <m/>
    <n v="3"/>
    <x v="2"/>
    <n v="3"/>
  </r>
  <r>
    <x v="88"/>
    <x v="3"/>
    <x v="8"/>
    <x v="19"/>
    <x v="17"/>
    <n v="0.5"/>
    <n v="7"/>
    <x v="2"/>
    <n v="7"/>
  </r>
  <r>
    <x v="88"/>
    <x v="5"/>
    <x v="3"/>
    <x v="8"/>
    <x v="8"/>
    <n v="1"/>
    <n v="9"/>
    <x v="2"/>
    <n v="9"/>
  </r>
  <r>
    <x v="88"/>
    <x v="2"/>
    <x v="12"/>
    <x v="4"/>
    <x v="34"/>
    <n v="1"/>
    <n v="8.5"/>
    <x v="2"/>
    <n v="8.5"/>
  </r>
  <r>
    <x v="89"/>
    <x v="8"/>
    <x v="9"/>
    <x v="5"/>
    <x v="24"/>
    <n v="0.5"/>
    <n v="5.5"/>
    <x v="2"/>
    <n v="5.5"/>
  </r>
  <r>
    <x v="90"/>
    <x v="0"/>
    <x v="2"/>
    <x v="0"/>
    <x v="12"/>
    <n v="0.5"/>
    <m/>
    <x v="11"/>
    <n v="3.5000000000000018"/>
  </r>
  <r>
    <x v="91"/>
    <x v="0"/>
    <x v="2"/>
    <x v="23"/>
    <x v="24"/>
    <m/>
    <m/>
    <x v="13"/>
    <n v="3.5"/>
  </r>
  <r>
    <x v="92"/>
    <x v="0"/>
    <x v="2"/>
    <x v="0"/>
    <x v="12"/>
    <n v="0.5"/>
    <m/>
    <x v="11"/>
    <n v="3.5000000000000018"/>
  </r>
  <r>
    <x v="92"/>
    <x v="1"/>
    <x v="14"/>
    <x v="1"/>
    <x v="7"/>
    <m/>
    <n v="7.0000000000000009"/>
    <x v="2"/>
    <n v="7.0000000000000009"/>
  </r>
  <r>
    <x v="93"/>
    <x v="0"/>
    <x v="2"/>
    <x v="0"/>
    <x v="12"/>
    <n v="0.5"/>
    <m/>
    <x v="11"/>
    <n v="3.5000000000000018"/>
  </r>
  <r>
    <x v="93"/>
    <x v="0"/>
    <x v="5"/>
    <x v="14"/>
    <x v="1"/>
    <m/>
    <m/>
    <x v="1"/>
    <n v="2.5"/>
  </r>
  <r>
    <x v="94"/>
    <x v="0"/>
    <x v="2"/>
    <x v="0"/>
    <x v="12"/>
    <n v="0.5"/>
    <m/>
    <x v="11"/>
    <n v="3.5000000000000018"/>
  </r>
  <r>
    <x v="94"/>
    <x v="2"/>
    <x v="1"/>
    <x v="15"/>
    <x v="5"/>
    <n v="0.5"/>
    <n v="9.4999999999999982"/>
    <x v="2"/>
    <n v="9.4999999999999982"/>
  </r>
  <r>
    <x v="94"/>
    <x v="3"/>
    <x v="5"/>
    <x v="7"/>
    <x v="7"/>
    <m/>
    <n v="7.0000000000000009"/>
    <x v="2"/>
    <n v="7.0000000000000009"/>
  </r>
  <r>
    <x v="95"/>
    <x v="3"/>
    <x v="22"/>
    <x v="24"/>
    <x v="32"/>
    <n v="0.5"/>
    <n v="6.0000000000000009"/>
    <x v="2"/>
    <n v="6.0000000000000009"/>
  </r>
  <r>
    <x v="95"/>
    <x v="0"/>
    <x v="8"/>
    <x v="22"/>
    <x v="24"/>
    <n v="0.5"/>
    <m/>
    <x v="14"/>
    <n v="5.5"/>
  </r>
  <r>
    <x v="95"/>
    <x v="8"/>
    <x v="10"/>
    <x v="12"/>
    <x v="7"/>
    <m/>
    <n v="5.0000000000000009"/>
    <x v="2"/>
    <n v="5.0000000000000009"/>
  </r>
  <r>
    <x v="95"/>
    <x v="2"/>
    <x v="10"/>
    <x v="10"/>
    <x v="24"/>
    <n v="0.5"/>
    <n v="5.5"/>
    <x v="2"/>
    <n v="5.5"/>
  </r>
  <r>
    <x v="96"/>
    <x v="2"/>
    <x v="7"/>
    <x v="9"/>
    <x v="26"/>
    <n v="0.5"/>
    <n v="6"/>
    <x v="2"/>
    <n v="6"/>
  </r>
  <r>
    <x v="97"/>
    <x v="0"/>
    <x v="2"/>
    <x v="0"/>
    <x v="12"/>
    <n v="0.5"/>
    <m/>
    <x v="11"/>
    <n v="3.5000000000000018"/>
  </r>
  <r>
    <x v="98"/>
    <x v="0"/>
    <x v="2"/>
    <x v="0"/>
    <x v="12"/>
    <n v="0.5"/>
    <m/>
    <x v="11"/>
    <n v="3.5000000000000018"/>
  </r>
  <r>
    <x v="98"/>
    <x v="1"/>
    <x v="14"/>
    <x v="13"/>
    <x v="1"/>
    <m/>
    <n v="6.5"/>
    <x v="2"/>
    <n v="6.5"/>
  </r>
  <r>
    <x v="98"/>
    <x v="3"/>
    <x v="1"/>
    <x v="13"/>
    <x v="13"/>
    <m/>
    <n v="5.9999999999999991"/>
    <x v="2"/>
    <n v="5.9999999999999991"/>
  </r>
  <r>
    <x v="99"/>
    <x v="0"/>
    <x v="7"/>
    <x v="0"/>
    <x v="27"/>
    <m/>
    <m/>
    <x v="10"/>
    <n v="1.0000000000000013"/>
  </r>
  <r>
    <x v="99"/>
    <x v="0"/>
    <x v="15"/>
    <x v="14"/>
    <x v="13"/>
    <m/>
    <m/>
    <x v="6"/>
    <n v="1.9999999999999991"/>
  </r>
  <r>
    <x v="100"/>
    <x v="0"/>
    <x v="2"/>
    <x v="0"/>
    <x v="12"/>
    <n v="0.5"/>
    <m/>
    <x v="11"/>
    <n v="3.5000000000000018"/>
  </r>
  <r>
    <x v="100"/>
    <x v="0"/>
    <x v="5"/>
    <x v="7"/>
    <x v="7"/>
    <m/>
    <m/>
    <x v="4"/>
    <n v="3.0000000000000009"/>
  </r>
  <r>
    <x v="101"/>
    <x v="0"/>
    <x v="2"/>
    <x v="3"/>
    <x v="3"/>
    <m/>
    <m/>
    <x v="3"/>
    <n v="4"/>
  </r>
  <r>
    <x v="101"/>
    <x v="8"/>
    <x v="4"/>
    <x v="11"/>
    <x v="35"/>
    <n v="0.5"/>
    <n v="5.4999999999999982"/>
    <x v="2"/>
    <n v="5.4999999999999982"/>
  </r>
  <r>
    <x v="101"/>
    <x v="2"/>
    <x v="8"/>
    <x v="12"/>
    <x v="18"/>
    <m/>
    <n v="5.4999999999999991"/>
    <x v="2"/>
    <n v="5.4999999999999991"/>
  </r>
  <r>
    <x v="102"/>
    <x v="2"/>
    <x v="11"/>
    <x v="6"/>
    <x v="8"/>
    <n v="1"/>
    <n v="9"/>
    <x v="2"/>
    <n v="9"/>
  </r>
  <r>
    <x v="102"/>
    <x v="3"/>
    <x v="4"/>
    <x v="25"/>
    <x v="36"/>
    <m/>
    <n v="5"/>
    <x v="2"/>
    <n v="5"/>
  </r>
  <r>
    <x v="103"/>
    <x v="0"/>
    <x v="2"/>
    <x v="0"/>
    <x v="12"/>
    <n v="0.5"/>
    <m/>
    <x v="11"/>
    <n v="3.5000000000000018"/>
  </r>
  <r>
    <x v="104"/>
    <x v="0"/>
    <x v="2"/>
    <x v="0"/>
    <x v="12"/>
    <n v="0.5"/>
    <m/>
    <x v="11"/>
    <n v="3.5000000000000018"/>
  </r>
  <r>
    <x v="105"/>
    <x v="0"/>
    <x v="2"/>
    <x v="0"/>
    <x v="12"/>
    <n v="0.5"/>
    <m/>
    <x v="11"/>
    <n v="3.5000000000000018"/>
  </r>
  <r>
    <x v="105"/>
    <x v="1"/>
    <x v="14"/>
    <x v="13"/>
    <x v="1"/>
    <m/>
    <n v="6.5"/>
    <x v="2"/>
    <n v="6.5"/>
  </r>
  <r>
    <x v="106"/>
    <x v="0"/>
    <x v="2"/>
    <x v="0"/>
    <x v="12"/>
    <n v="0.5"/>
    <m/>
    <x v="11"/>
    <n v="3.5000000000000018"/>
  </r>
  <r>
    <x v="106"/>
    <x v="0"/>
    <x v="15"/>
    <x v="14"/>
    <x v="13"/>
    <m/>
    <m/>
    <x v="6"/>
    <n v="1.9999999999999991"/>
  </r>
  <r>
    <x v="107"/>
    <x v="0"/>
    <x v="17"/>
    <x v="0"/>
    <x v="7"/>
    <m/>
    <m/>
    <x v="4"/>
    <n v="3.0000000000000009"/>
  </r>
  <r>
    <x v="107"/>
    <x v="0"/>
    <x v="5"/>
    <x v="7"/>
    <x v="7"/>
    <m/>
    <m/>
    <x v="4"/>
    <n v="3.0000000000000009"/>
  </r>
  <r>
    <x v="108"/>
    <x v="2"/>
    <x v="23"/>
    <x v="25"/>
    <x v="26"/>
    <n v="0.5"/>
    <n v="6"/>
    <x v="2"/>
    <n v="6"/>
  </r>
  <r>
    <x v="108"/>
    <x v="0"/>
    <x v="17"/>
    <x v="17"/>
    <x v="13"/>
    <m/>
    <m/>
    <x v="15"/>
    <n v="3.9999999999999991"/>
  </r>
  <r>
    <x v="108"/>
    <x v="8"/>
    <x v="17"/>
    <x v="6"/>
    <x v="9"/>
    <n v="0.5"/>
    <n v="7.5"/>
    <x v="2"/>
    <n v="7.5"/>
  </r>
  <r>
    <x v="108"/>
    <x v="0"/>
    <x v="18"/>
    <x v="12"/>
    <x v="24"/>
    <n v="0.5"/>
    <m/>
    <x v="14"/>
    <n v="5.5"/>
  </r>
  <r>
    <x v="108"/>
    <x v="5"/>
    <x v="12"/>
    <x v="12"/>
    <x v="2"/>
    <m/>
    <n v="3"/>
    <x v="2"/>
    <n v="3"/>
  </r>
  <r>
    <x v="109"/>
    <x v="2"/>
    <x v="18"/>
    <x v="10"/>
    <x v="15"/>
    <n v="0.5"/>
    <n v="6.4999999999999991"/>
    <x v="2"/>
    <n v="6.4999999999999991"/>
  </r>
  <r>
    <x v="109"/>
    <x v="3"/>
    <x v="12"/>
    <x v="19"/>
    <x v="7"/>
    <m/>
    <n v="5.0000000000000009"/>
    <x v="2"/>
    <n v="5.0000000000000009"/>
  </r>
  <r>
    <x v="110"/>
    <x v="0"/>
    <x v="2"/>
    <x v="0"/>
    <x v="12"/>
    <n v="0.5"/>
    <m/>
    <x v="11"/>
    <n v="3.5000000000000018"/>
  </r>
  <r>
    <x v="111"/>
    <x v="0"/>
    <x v="2"/>
    <x v="17"/>
    <x v="36"/>
    <m/>
    <m/>
    <x v="16"/>
    <n v="3"/>
  </r>
  <r>
    <x v="112"/>
    <x v="0"/>
    <x v="2"/>
    <x v="0"/>
    <x v="12"/>
    <n v="0.5"/>
    <m/>
    <x v="11"/>
    <n v="3.5000000000000018"/>
  </r>
  <r>
    <x v="112"/>
    <x v="1"/>
    <x v="14"/>
    <x v="13"/>
    <x v="1"/>
    <m/>
    <n v="6.5"/>
    <x v="2"/>
    <n v="6.5"/>
  </r>
  <r>
    <x v="113"/>
    <x v="0"/>
    <x v="15"/>
    <x v="14"/>
    <x v="13"/>
    <m/>
    <m/>
    <x v="6"/>
    <n v="1.9999999999999991"/>
  </r>
  <r>
    <x v="113"/>
    <x v="0"/>
    <x v="2"/>
    <x v="0"/>
    <x v="12"/>
    <n v="0.5"/>
    <m/>
    <x v="11"/>
    <n v="3.5000000000000018"/>
  </r>
  <r>
    <x v="114"/>
    <x v="0"/>
    <x v="2"/>
    <x v="0"/>
    <x v="12"/>
    <n v="0.5"/>
    <m/>
    <x v="11"/>
    <n v="3.5000000000000018"/>
  </r>
  <r>
    <x v="115"/>
    <x v="0"/>
    <x v="8"/>
    <x v="12"/>
    <x v="18"/>
    <m/>
    <m/>
    <x v="17"/>
    <n v="5.4999999999999991"/>
  </r>
  <r>
    <x v="115"/>
    <x v="3"/>
    <x v="12"/>
    <x v="13"/>
    <x v="24"/>
    <n v="0.5"/>
    <n v="5.5"/>
    <x v="2"/>
    <n v="5.5"/>
  </r>
  <r>
    <x v="115"/>
    <x v="2"/>
    <x v="12"/>
    <x v="19"/>
    <x v="7"/>
    <m/>
    <n v="5.0000000000000009"/>
    <x v="2"/>
    <n v="5.0000000000000009"/>
  </r>
  <r>
    <x v="116"/>
    <x v="0"/>
    <x v="2"/>
    <x v="0"/>
    <x v="12"/>
    <n v="0.5"/>
    <m/>
    <x v="11"/>
    <n v="3.5000000000000018"/>
  </r>
  <r>
    <x v="117"/>
    <x v="0"/>
    <x v="17"/>
    <x v="23"/>
    <x v="1"/>
    <m/>
    <m/>
    <x v="1"/>
    <n v="2.5"/>
  </r>
  <r>
    <x v="118"/>
    <x v="0"/>
    <x v="2"/>
    <x v="17"/>
    <x v="36"/>
    <m/>
    <m/>
    <x v="16"/>
    <n v="3"/>
  </r>
  <r>
    <x v="118"/>
    <x v="0"/>
    <x v="9"/>
    <x v="9"/>
    <x v="37"/>
    <m/>
    <m/>
    <x v="18"/>
    <n v="-0.5"/>
  </r>
  <r>
    <x v="118"/>
    <x v="1"/>
    <x v="14"/>
    <x v="13"/>
    <x v="1"/>
    <m/>
    <n v="6.5"/>
    <x v="2"/>
    <n v="6.5"/>
  </r>
  <r>
    <x v="119"/>
    <x v="1"/>
    <x v="15"/>
    <x v="7"/>
    <x v="1"/>
    <m/>
    <n v="6.5"/>
    <x v="2"/>
    <n v="6.5"/>
  </r>
  <r>
    <x v="119"/>
    <x v="0"/>
    <x v="2"/>
    <x v="0"/>
    <x v="12"/>
    <n v="0.5"/>
    <m/>
    <x v="11"/>
    <n v="3.5000000000000018"/>
  </r>
  <r>
    <x v="119"/>
    <x v="0"/>
    <x v="15"/>
    <x v="14"/>
    <x v="13"/>
    <m/>
    <m/>
    <x v="6"/>
    <n v="1.9999999999999991"/>
  </r>
  <r>
    <x v="120"/>
    <x v="1"/>
    <x v="5"/>
    <x v="21"/>
    <x v="38"/>
    <n v="0.5"/>
    <n v="6.9999999999999991"/>
    <x v="2"/>
    <n v="6.9999999999999991"/>
  </r>
  <r>
    <x v="120"/>
    <x v="0"/>
    <x v="2"/>
    <x v="0"/>
    <x v="12"/>
    <n v="0.5"/>
    <m/>
    <x v="11"/>
    <n v="3.5000000000000018"/>
  </r>
  <r>
    <x v="121"/>
    <x v="2"/>
    <x v="8"/>
    <x v="26"/>
    <x v="13"/>
    <m/>
    <n v="3.9999999999999991"/>
    <x v="2"/>
    <n v="3.9999999999999991"/>
  </r>
  <r>
    <x v="121"/>
    <x v="3"/>
    <x v="3"/>
    <x v="16"/>
    <x v="11"/>
    <n v="0.5"/>
    <n v="5.9999999999999982"/>
    <x v="2"/>
    <n v="5.9999999999999982"/>
  </r>
  <r>
    <x v="121"/>
    <x v="2"/>
    <x v="16"/>
    <x v="24"/>
    <x v="7"/>
    <m/>
    <n v="5.0000000000000009"/>
    <x v="2"/>
    <n v="5.0000000000000009"/>
  </r>
  <r>
    <x v="121"/>
    <x v="8"/>
    <x v="4"/>
    <x v="6"/>
    <x v="6"/>
    <n v="0.5"/>
    <n v="6.5"/>
    <x v="2"/>
    <n v="6.5"/>
  </r>
  <r>
    <x v="122"/>
    <x v="1"/>
    <x v="12"/>
    <x v="10"/>
    <x v="13"/>
    <m/>
    <n v="3.9999999999999991"/>
    <x v="2"/>
    <n v="3.9999999999999991"/>
  </r>
  <r>
    <x v="123"/>
    <x v="0"/>
    <x v="2"/>
    <x v="0"/>
    <x v="12"/>
    <n v="0.5"/>
    <m/>
    <x v="11"/>
    <n v="3.5000000000000018"/>
  </r>
  <r>
    <x v="124"/>
    <x v="0"/>
    <x v="2"/>
    <x v="0"/>
    <x v="12"/>
    <n v="0.5"/>
    <m/>
    <x v="11"/>
    <n v="3.5000000000000018"/>
  </r>
  <r>
    <x v="125"/>
    <x v="0"/>
    <x v="2"/>
    <x v="0"/>
    <x v="12"/>
    <n v="0.5"/>
    <m/>
    <x v="11"/>
    <n v="3.5000000000000018"/>
  </r>
  <r>
    <x v="125"/>
    <x v="0"/>
    <x v="9"/>
    <x v="13"/>
    <x v="7"/>
    <m/>
    <m/>
    <x v="4"/>
    <n v="3.0000000000000009"/>
  </r>
  <r>
    <x v="125"/>
    <x v="1"/>
    <x v="14"/>
    <x v="13"/>
    <x v="1"/>
    <m/>
    <n v="6.5"/>
    <x v="2"/>
    <n v="6.5"/>
  </r>
  <r>
    <x v="126"/>
    <x v="0"/>
    <x v="2"/>
    <x v="0"/>
    <x v="12"/>
    <n v="0.5"/>
    <m/>
    <x v="11"/>
    <n v="3.5000000000000018"/>
  </r>
  <r>
    <x v="126"/>
    <x v="9"/>
    <x v="11"/>
    <x v="2"/>
    <x v="13"/>
    <m/>
    <n v="5.9999999999999991"/>
    <x v="2"/>
    <n v="5.9999999999999991"/>
  </r>
  <r>
    <x v="126"/>
    <x v="0"/>
    <x v="5"/>
    <x v="7"/>
    <x v="7"/>
    <m/>
    <m/>
    <x v="4"/>
    <n v="3.0000000000000009"/>
  </r>
  <r>
    <x v="126"/>
    <x v="7"/>
    <x v="24"/>
    <x v="5"/>
    <x v="2"/>
    <m/>
    <n v="5"/>
    <x v="2"/>
    <n v="5"/>
  </r>
  <r>
    <x v="127"/>
    <x v="0"/>
    <x v="17"/>
    <x v="0"/>
    <x v="7"/>
    <m/>
    <m/>
    <x v="4"/>
    <n v="3.0000000000000009"/>
  </r>
  <r>
    <x v="128"/>
    <x v="3"/>
    <x v="21"/>
    <x v="14"/>
    <x v="15"/>
    <n v="0.5"/>
    <n v="6.4999999999999991"/>
    <x v="2"/>
    <n v="6.4999999999999991"/>
  </r>
  <r>
    <x v="128"/>
    <x v="0"/>
    <x v="2"/>
    <x v="24"/>
    <x v="33"/>
    <m/>
    <m/>
    <x v="12"/>
    <n v="4.5000000000000018"/>
  </r>
  <r>
    <x v="129"/>
    <x v="5"/>
    <x v="3"/>
    <x v="10"/>
    <x v="30"/>
    <m/>
    <n v="4.9999999999999982"/>
    <x v="2"/>
    <n v="4.9999999999999982"/>
  </r>
  <r>
    <x v="129"/>
    <x v="3"/>
    <x v="12"/>
    <x v="14"/>
    <x v="17"/>
    <n v="0.5"/>
    <n v="7"/>
    <x v="2"/>
    <n v="7"/>
  </r>
  <r>
    <x v="130"/>
    <x v="0"/>
    <x v="2"/>
    <x v="0"/>
    <x v="12"/>
    <n v="0.5"/>
    <m/>
    <x v="11"/>
    <n v="3.5000000000000018"/>
  </r>
  <r>
    <x v="130"/>
    <x v="3"/>
    <x v="5"/>
    <x v="1"/>
    <x v="39"/>
    <m/>
    <n v="5.5000000000000009"/>
    <x v="2"/>
    <n v="5.5000000000000009"/>
  </r>
  <r>
    <x v="131"/>
    <x v="0"/>
    <x v="2"/>
    <x v="0"/>
    <x v="12"/>
    <n v="0.5"/>
    <m/>
    <x v="11"/>
    <n v="3.5000000000000018"/>
  </r>
  <r>
    <x v="132"/>
    <x v="0"/>
    <x v="14"/>
    <x v="13"/>
    <x v="1"/>
    <m/>
    <m/>
    <x v="1"/>
    <n v="2.5"/>
  </r>
  <r>
    <x v="132"/>
    <x v="0"/>
    <x v="2"/>
    <x v="17"/>
    <x v="36"/>
    <m/>
    <m/>
    <x v="16"/>
    <n v="3"/>
  </r>
  <r>
    <x v="133"/>
    <x v="0"/>
    <x v="2"/>
    <x v="0"/>
    <x v="12"/>
    <n v="0.5"/>
    <m/>
    <x v="11"/>
    <n v="3.5000000000000018"/>
  </r>
  <r>
    <x v="133"/>
    <x v="0"/>
    <x v="15"/>
    <x v="14"/>
    <x v="13"/>
    <m/>
    <m/>
    <x v="6"/>
    <n v="1.9999999999999991"/>
  </r>
  <r>
    <x v="133"/>
    <x v="4"/>
    <x v="1"/>
    <x v="5"/>
    <x v="40"/>
    <n v="0.5"/>
    <n v="6.4999999999999982"/>
    <x v="2"/>
    <n v="6.4999999999999982"/>
  </r>
  <r>
    <x v="134"/>
    <x v="0"/>
    <x v="2"/>
    <x v="0"/>
    <x v="12"/>
    <n v="0.5"/>
    <m/>
    <x v="11"/>
    <n v="3.5000000000000018"/>
  </r>
  <r>
    <x v="134"/>
    <x v="4"/>
    <x v="15"/>
    <x v="21"/>
    <x v="30"/>
    <m/>
    <n v="6.9999999999999982"/>
    <x v="2"/>
    <n v="6.9999999999999982"/>
  </r>
  <r>
    <x v="135"/>
    <x v="3"/>
    <x v="18"/>
    <x v="1"/>
    <x v="34"/>
    <n v="1"/>
    <n v="8.5"/>
    <x v="2"/>
    <n v="8.5"/>
  </r>
  <r>
    <x v="135"/>
    <x v="2"/>
    <x v="24"/>
    <x v="13"/>
    <x v="31"/>
    <m/>
    <n v="2.0000000000000009"/>
    <x v="2"/>
    <n v="2.0000000000000009"/>
  </r>
  <r>
    <x v="135"/>
    <x v="8"/>
    <x v="8"/>
    <x v="10"/>
    <x v="11"/>
    <n v="0.5"/>
    <n v="5.9999999999999982"/>
    <x v="2"/>
    <n v="5.9999999999999982"/>
  </r>
  <r>
    <x v="136"/>
    <x v="4"/>
    <x v="9"/>
    <x v="7"/>
    <x v="23"/>
    <n v="0.5"/>
    <n v="6.5000000000000018"/>
    <x v="2"/>
    <n v="6.5000000000000018"/>
  </r>
  <r>
    <x v="137"/>
    <x v="0"/>
    <x v="2"/>
    <x v="0"/>
    <x v="12"/>
    <n v="0.5"/>
    <m/>
    <x v="11"/>
    <n v="3.5000000000000018"/>
  </r>
  <r>
    <x v="138"/>
    <x v="1"/>
    <x v="14"/>
    <x v="13"/>
    <x v="1"/>
    <m/>
    <n v="6.5"/>
    <x v="2"/>
    <n v="6.5"/>
  </r>
  <r>
    <x v="139"/>
    <x v="0"/>
    <x v="5"/>
    <x v="7"/>
    <x v="7"/>
    <m/>
    <m/>
    <x v="4"/>
    <n v="3.0000000000000009"/>
  </r>
  <r>
    <x v="139"/>
    <x v="7"/>
    <x v="24"/>
    <x v="5"/>
    <x v="2"/>
    <m/>
    <n v="5"/>
    <x v="2"/>
    <n v="5"/>
  </r>
  <r>
    <x v="139"/>
    <x v="2"/>
    <x v="21"/>
    <x v="5"/>
    <x v="11"/>
    <n v="0.5"/>
    <n v="7.9999999999999982"/>
    <x v="2"/>
    <n v="7.9999999999999982"/>
  </r>
  <r>
    <x v="139"/>
    <x v="0"/>
    <x v="17"/>
    <x v="0"/>
    <x v="7"/>
    <m/>
    <m/>
    <x v="4"/>
    <n v="3.0000000000000009"/>
  </r>
  <r>
    <x v="140"/>
    <x v="0"/>
    <x v="2"/>
    <x v="0"/>
    <x v="12"/>
    <n v="0.5"/>
    <m/>
    <x v="11"/>
    <n v="3.5000000000000018"/>
  </r>
  <r>
    <x v="141"/>
    <x v="2"/>
    <x v="17"/>
    <x v="17"/>
    <x v="13"/>
    <m/>
    <n v="3.9999999999999991"/>
    <x v="2"/>
    <n v="3.9999999999999991"/>
  </r>
  <r>
    <x v="141"/>
    <x v="8"/>
    <x v="17"/>
    <x v="6"/>
    <x v="9"/>
    <n v="0.5"/>
    <n v="7.5"/>
    <x v="2"/>
    <n v="7.5"/>
  </r>
  <r>
    <x v="141"/>
    <x v="3"/>
    <x v="10"/>
    <x v="13"/>
    <x v="9"/>
    <n v="0.5"/>
    <n v="7.5"/>
    <x v="2"/>
    <n v="7.5"/>
  </r>
  <r>
    <x v="141"/>
    <x v="2"/>
    <x v="9"/>
    <x v="13"/>
    <x v="7"/>
    <m/>
    <n v="5.0000000000000009"/>
    <x v="2"/>
    <n v="5.0000000000000009"/>
  </r>
  <r>
    <x v="142"/>
    <x v="2"/>
    <x v="9"/>
    <x v="7"/>
    <x v="23"/>
    <n v="0.5"/>
    <n v="6.5000000000000018"/>
    <x v="2"/>
    <n v="6.5000000000000018"/>
  </r>
  <r>
    <x v="143"/>
    <x v="0"/>
    <x v="2"/>
    <x v="0"/>
    <x v="12"/>
    <n v="0.5"/>
    <m/>
    <x v="11"/>
    <n v="3.5000000000000018"/>
  </r>
  <r>
    <x v="144"/>
    <x v="0"/>
    <x v="2"/>
    <x v="0"/>
    <x v="12"/>
    <n v="0.5"/>
    <m/>
    <x v="11"/>
    <n v="3.5000000000000018"/>
  </r>
  <r>
    <x v="144"/>
    <x v="2"/>
    <x v="1"/>
    <x v="7"/>
    <x v="24"/>
    <n v="0.5"/>
    <n v="7.5"/>
    <x v="2"/>
    <n v="7.5"/>
  </r>
  <r>
    <x v="145"/>
    <x v="0"/>
    <x v="2"/>
    <x v="0"/>
    <x v="12"/>
    <n v="0.5"/>
    <m/>
    <x v="11"/>
    <n v="3.5000000000000018"/>
  </r>
  <r>
    <x v="145"/>
    <x v="3"/>
    <x v="9"/>
    <x v="13"/>
    <x v="7"/>
    <m/>
    <n v="7.0000000000000009"/>
    <x v="2"/>
    <n v="7.0000000000000009"/>
  </r>
  <r>
    <x v="145"/>
    <x v="1"/>
    <x v="9"/>
    <x v="1"/>
    <x v="12"/>
    <m/>
    <n v="7.5000000000000018"/>
    <x v="2"/>
    <n v="7.5000000000000018"/>
  </r>
  <r>
    <x v="146"/>
    <x v="2"/>
    <x v="11"/>
    <x v="0"/>
    <x v="6"/>
    <n v="0.5"/>
    <n v="8.5"/>
    <x v="2"/>
    <n v="8.5"/>
  </r>
  <r>
    <x v="146"/>
    <x v="0"/>
    <x v="2"/>
    <x v="0"/>
    <x v="12"/>
    <n v="0.5"/>
    <m/>
    <x v="11"/>
    <n v="3.5000000000000018"/>
  </r>
  <r>
    <x v="146"/>
    <x v="0"/>
    <x v="5"/>
    <x v="7"/>
    <x v="7"/>
    <m/>
    <m/>
    <x v="4"/>
    <n v="3.0000000000000009"/>
  </r>
  <r>
    <x v="146"/>
    <x v="1"/>
    <x v="24"/>
    <x v="14"/>
    <x v="39"/>
    <m/>
    <n v="5.5000000000000009"/>
    <x v="2"/>
    <n v="5.5000000000000009"/>
  </r>
  <r>
    <x v="147"/>
    <x v="0"/>
    <x v="2"/>
    <x v="0"/>
    <x v="12"/>
    <n v="0.5"/>
    <m/>
    <x v="11"/>
    <n v="3.5000000000000018"/>
  </r>
  <r>
    <x v="148"/>
    <x v="0"/>
    <x v="2"/>
    <x v="24"/>
    <x v="33"/>
    <m/>
    <m/>
    <x v="12"/>
    <n v="4.5000000000000018"/>
  </r>
  <r>
    <x v="148"/>
    <x v="2"/>
    <x v="17"/>
    <x v="19"/>
    <x v="10"/>
    <n v="1"/>
    <n v="10"/>
    <x v="2"/>
    <n v="10"/>
  </r>
  <r>
    <x v="148"/>
    <x v="3"/>
    <x v="10"/>
    <x v="14"/>
    <x v="34"/>
    <n v="1"/>
    <n v="8.5"/>
    <x v="2"/>
    <n v="8.5"/>
  </r>
  <r>
    <x v="149"/>
    <x v="3"/>
    <x v="25"/>
    <x v="22"/>
    <x v="6"/>
    <n v="0.5"/>
    <n v="6.5"/>
    <x v="2"/>
    <n v="6.5"/>
  </r>
  <r>
    <x v="150"/>
    <x v="0"/>
    <x v="2"/>
    <x v="0"/>
    <x v="12"/>
    <n v="0.5"/>
    <m/>
    <x v="11"/>
    <n v="3.5000000000000018"/>
  </r>
  <r>
    <x v="150"/>
    <x v="7"/>
    <x v="2"/>
    <x v="17"/>
    <x v="36"/>
    <m/>
    <n v="7"/>
    <x v="2"/>
    <n v="7"/>
  </r>
  <r>
    <x v="150"/>
    <x v="6"/>
    <x v="8"/>
    <x v="26"/>
    <x v="13"/>
    <m/>
    <n v="5.9999999999999991"/>
    <x v="2"/>
    <n v="5.9999999999999991"/>
  </r>
  <r>
    <x v="151"/>
    <x v="0"/>
    <x v="2"/>
    <x v="0"/>
    <x v="12"/>
    <n v="0.5"/>
    <m/>
    <x v="11"/>
    <n v="3.5000000000000018"/>
  </r>
  <r>
    <x v="151"/>
    <x v="6"/>
    <x v="8"/>
    <x v="26"/>
    <x v="13"/>
    <m/>
    <n v="5.9999999999999991"/>
    <x v="2"/>
    <n v="5.9999999999999991"/>
  </r>
  <r>
    <x v="152"/>
    <x v="0"/>
    <x v="2"/>
    <x v="0"/>
    <x v="12"/>
    <n v="0.5"/>
    <m/>
    <x v="11"/>
    <n v="3.5000000000000018"/>
  </r>
  <r>
    <x v="152"/>
    <x v="10"/>
    <x v="18"/>
    <x v="11"/>
    <x v="13"/>
    <m/>
    <n v="5.9999999999999991"/>
    <x v="2"/>
    <n v="5.9999999999999991"/>
  </r>
  <r>
    <x v="152"/>
    <x v="6"/>
    <x v="8"/>
    <x v="26"/>
    <x v="13"/>
    <m/>
    <n v="5.9999999999999991"/>
    <x v="2"/>
    <n v="5.9999999999999991"/>
  </r>
  <r>
    <x v="152"/>
    <x v="1"/>
    <x v="9"/>
    <x v="1"/>
    <x v="12"/>
    <m/>
    <n v="7.5000000000000018"/>
    <x v="2"/>
    <n v="7.5000000000000018"/>
  </r>
  <r>
    <x v="153"/>
    <x v="0"/>
    <x v="2"/>
    <x v="0"/>
    <x v="12"/>
    <n v="0.5"/>
    <m/>
    <x v="11"/>
    <n v="3.5000000000000018"/>
  </r>
  <r>
    <x v="153"/>
    <x v="6"/>
    <x v="8"/>
    <x v="26"/>
    <x v="13"/>
    <m/>
    <n v="5.9999999999999991"/>
    <x v="2"/>
    <n v="5.9999999999999991"/>
  </r>
  <r>
    <x v="153"/>
    <x v="1"/>
    <x v="5"/>
    <x v="14"/>
    <x v="1"/>
    <m/>
    <n v="6.5"/>
    <x v="2"/>
    <n v="6.5"/>
  </r>
  <r>
    <x v="153"/>
    <x v="0"/>
    <x v="5"/>
    <x v="7"/>
    <x v="7"/>
    <m/>
    <m/>
    <x v="4"/>
    <n v="3.0000000000000009"/>
  </r>
  <r>
    <x v="154"/>
    <x v="0"/>
    <x v="2"/>
    <x v="0"/>
    <x v="12"/>
    <n v="0.5"/>
    <m/>
    <x v="11"/>
    <n v="3.5000000000000018"/>
  </r>
  <r>
    <x v="154"/>
    <x v="6"/>
    <x v="8"/>
    <x v="26"/>
    <x v="13"/>
    <m/>
    <n v="5.9999999999999991"/>
    <x v="2"/>
    <n v="5.9999999999999991"/>
  </r>
  <r>
    <x v="154"/>
    <x v="8"/>
    <x v="3"/>
    <x v="7"/>
    <x v="14"/>
    <n v="1"/>
    <n v="10"/>
    <x v="2"/>
    <n v="10"/>
  </r>
  <r>
    <x v="155"/>
    <x v="0"/>
    <x v="2"/>
    <x v="24"/>
    <x v="33"/>
    <m/>
    <m/>
    <x v="12"/>
    <n v="4.5000000000000018"/>
  </r>
  <r>
    <x v="155"/>
    <x v="2"/>
    <x v="2"/>
    <x v="27"/>
    <x v="41"/>
    <n v="1.5"/>
    <n v="16"/>
    <x v="2"/>
    <n v="16"/>
  </r>
  <r>
    <x v="155"/>
    <x v="8"/>
    <x v="3"/>
    <x v="7"/>
    <x v="14"/>
    <n v="1"/>
    <n v="8"/>
    <x v="2"/>
    <n v="8"/>
  </r>
  <r>
    <x v="156"/>
    <x v="8"/>
    <x v="4"/>
    <x v="25"/>
    <x v="36"/>
    <m/>
    <n v="5"/>
    <x v="2"/>
    <n v="5"/>
  </r>
  <r>
    <x v="156"/>
    <x v="2"/>
    <x v="3"/>
    <x v="5"/>
    <x v="5"/>
    <n v="0.5"/>
    <n v="7.4999999999999982"/>
    <x v="2"/>
    <n v="7.4999999999999982"/>
  </r>
  <r>
    <x v="157"/>
    <x v="0"/>
    <x v="2"/>
    <x v="0"/>
    <x v="12"/>
    <n v="0.5"/>
    <m/>
    <x v="11"/>
    <n v="3.5000000000000018"/>
  </r>
  <r>
    <x v="157"/>
    <x v="6"/>
    <x v="2"/>
    <x v="26"/>
    <x v="14"/>
    <n v="0.5"/>
    <n v="10"/>
    <x v="2"/>
    <n v="10"/>
  </r>
  <r>
    <x v="158"/>
    <x v="0"/>
    <x v="2"/>
    <x v="0"/>
    <x v="12"/>
    <n v="0.5"/>
    <m/>
    <x v="11"/>
    <n v="3.5000000000000018"/>
  </r>
  <r>
    <x v="158"/>
    <x v="6"/>
    <x v="18"/>
    <x v="26"/>
    <x v="1"/>
    <m/>
    <n v="6.5"/>
    <x v="2"/>
    <n v="6.5"/>
  </r>
  <r>
    <x v="159"/>
    <x v="0"/>
    <x v="2"/>
    <x v="0"/>
    <x v="12"/>
    <n v="0.5"/>
    <m/>
    <x v="11"/>
    <n v="3.5000000000000018"/>
  </r>
  <r>
    <x v="159"/>
    <x v="6"/>
    <x v="18"/>
    <x v="26"/>
    <x v="1"/>
    <m/>
    <n v="6.5"/>
    <x v="2"/>
    <n v="6.5"/>
  </r>
  <r>
    <x v="159"/>
    <x v="8"/>
    <x v="9"/>
    <x v="5"/>
    <x v="24"/>
    <n v="0.5"/>
    <n v="7.5"/>
    <x v="2"/>
    <n v="7.5"/>
  </r>
  <r>
    <x v="159"/>
    <x v="3"/>
    <x v="1"/>
    <x v="13"/>
    <x v="13"/>
    <m/>
    <n v="5.9999999999999991"/>
    <x v="2"/>
    <n v="5.9999999999999991"/>
  </r>
  <r>
    <x v="160"/>
    <x v="0"/>
    <x v="2"/>
    <x v="0"/>
    <x v="12"/>
    <n v="0.5"/>
    <m/>
    <x v="11"/>
    <n v="3.5000000000000018"/>
  </r>
  <r>
    <x v="160"/>
    <x v="6"/>
    <x v="18"/>
    <x v="26"/>
    <x v="1"/>
    <m/>
    <n v="6.5"/>
    <x v="2"/>
    <n v="6.5"/>
  </r>
  <r>
    <x v="160"/>
    <x v="1"/>
    <x v="5"/>
    <x v="14"/>
    <x v="1"/>
    <m/>
    <n v="6.5"/>
    <x v="2"/>
    <n v="6.5"/>
  </r>
  <r>
    <x v="160"/>
    <x v="0"/>
    <x v="5"/>
    <x v="7"/>
    <x v="7"/>
    <m/>
    <m/>
    <x v="4"/>
    <n v="3.0000000000000009"/>
  </r>
  <r>
    <x v="161"/>
    <x v="0"/>
    <x v="2"/>
    <x v="0"/>
    <x v="12"/>
    <n v="0.5"/>
    <m/>
    <x v="11"/>
    <n v="3.5000000000000018"/>
  </r>
  <r>
    <x v="161"/>
    <x v="6"/>
    <x v="18"/>
    <x v="26"/>
    <x v="1"/>
    <m/>
    <n v="6.5"/>
    <x v="2"/>
    <n v="6.5"/>
  </r>
  <r>
    <x v="161"/>
    <x v="2"/>
    <x v="10"/>
    <x v="15"/>
    <x v="42"/>
    <n v="1"/>
    <n v="13"/>
    <x v="2"/>
    <n v="13"/>
  </r>
  <r>
    <x v="161"/>
    <x v="3"/>
    <x v="1"/>
    <x v="7"/>
    <x v="24"/>
    <n v="0.5"/>
    <n v="7.5"/>
    <x v="2"/>
    <n v="7.5"/>
  </r>
  <r>
    <x v="162"/>
    <x v="0"/>
    <x v="2"/>
    <x v="24"/>
    <x v="33"/>
    <m/>
    <m/>
    <x v="12"/>
    <n v="4.5000000000000018"/>
  </r>
  <r>
    <x v="162"/>
    <x v="5"/>
    <x v="23"/>
    <x v="6"/>
    <x v="14"/>
    <n v="0.5"/>
    <n v="8"/>
    <x v="2"/>
    <n v="8"/>
  </r>
  <r>
    <x v="162"/>
    <x v="2"/>
    <x v="2"/>
    <x v="5"/>
    <x v="43"/>
    <n v="1"/>
    <n v="12.999999999999998"/>
    <x v="2"/>
    <n v="12.999999999999998"/>
  </r>
  <r>
    <x v="162"/>
    <x v="3"/>
    <x v="3"/>
    <x v="8"/>
    <x v="8"/>
    <n v="1"/>
    <n v="9"/>
    <x v="2"/>
    <n v="9"/>
  </r>
  <r>
    <x v="162"/>
    <x v="8"/>
    <x v="7"/>
    <x v="13"/>
    <x v="8"/>
    <n v="1"/>
    <n v="9"/>
    <x v="2"/>
    <n v="9"/>
  </r>
  <r>
    <x v="163"/>
    <x v="8"/>
    <x v="7"/>
    <x v="12"/>
    <x v="6"/>
    <n v="0.5"/>
    <n v="6.5"/>
    <x v="2"/>
    <n v="6.5"/>
  </r>
  <r>
    <x v="163"/>
    <x v="2"/>
    <x v="3"/>
    <x v="5"/>
    <x v="5"/>
    <n v="0.5"/>
    <n v="7.4999999999999982"/>
    <x v="2"/>
    <n v="7.4999999999999982"/>
  </r>
  <r>
    <x v="164"/>
    <x v="0"/>
    <x v="2"/>
    <x v="0"/>
    <x v="12"/>
    <n v="0.5"/>
    <m/>
    <x v="11"/>
    <n v="3.5000000000000018"/>
  </r>
  <r>
    <x v="164"/>
    <x v="6"/>
    <x v="2"/>
    <x v="26"/>
    <x v="14"/>
    <n v="0.5"/>
    <n v="10"/>
    <x v="2"/>
    <n v="10"/>
  </r>
  <r>
    <x v="165"/>
    <x v="0"/>
    <x v="2"/>
    <x v="0"/>
    <x v="12"/>
    <n v="0.5"/>
    <m/>
    <x v="11"/>
    <n v="3.5000000000000018"/>
  </r>
  <r>
    <x v="165"/>
    <x v="6"/>
    <x v="2"/>
    <x v="26"/>
    <x v="14"/>
    <n v="0.5"/>
    <n v="10"/>
    <x v="2"/>
    <n v="10"/>
  </r>
  <r>
    <x v="166"/>
    <x v="0"/>
    <x v="2"/>
    <x v="0"/>
    <x v="12"/>
    <n v="0.5"/>
    <m/>
    <x v="11"/>
    <n v="3.5000000000000018"/>
  </r>
  <r>
    <x v="166"/>
    <x v="6"/>
    <x v="2"/>
    <x v="26"/>
    <x v="14"/>
    <n v="0.5"/>
    <n v="10"/>
    <x v="2"/>
    <n v="10"/>
  </r>
  <r>
    <x v="166"/>
    <x v="1"/>
    <x v="9"/>
    <x v="1"/>
    <x v="12"/>
    <m/>
    <n v="7.5000000000000018"/>
    <x v="2"/>
    <n v="7.5000000000000018"/>
  </r>
  <r>
    <x v="167"/>
    <x v="0"/>
    <x v="2"/>
    <x v="0"/>
    <x v="12"/>
    <n v="0.5"/>
    <m/>
    <x v="11"/>
    <n v="3.5000000000000018"/>
  </r>
  <r>
    <x v="167"/>
    <x v="6"/>
    <x v="18"/>
    <x v="26"/>
    <x v="1"/>
    <m/>
    <n v="6.5"/>
    <x v="2"/>
    <n v="6.5"/>
  </r>
  <r>
    <x v="167"/>
    <x v="1"/>
    <x v="5"/>
    <x v="14"/>
    <x v="1"/>
    <m/>
    <n v="6.5"/>
    <x v="2"/>
    <n v="6.5"/>
  </r>
  <r>
    <x v="167"/>
    <x v="0"/>
    <x v="5"/>
    <x v="7"/>
    <x v="7"/>
    <m/>
    <m/>
    <x v="4"/>
    <n v="3.0000000000000009"/>
  </r>
  <r>
    <x v="168"/>
    <x v="0"/>
    <x v="2"/>
    <x v="0"/>
    <x v="12"/>
    <n v="0.5"/>
    <m/>
    <x v="11"/>
    <n v="3.5000000000000018"/>
  </r>
  <r>
    <x v="168"/>
    <x v="6"/>
    <x v="18"/>
    <x v="26"/>
    <x v="1"/>
    <m/>
    <n v="6.5"/>
    <x v="2"/>
    <n v="6.5"/>
  </r>
  <r>
    <x v="169"/>
    <x v="0"/>
    <x v="2"/>
    <x v="24"/>
    <x v="33"/>
    <m/>
    <m/>
    <x v="12"/>
    <n v="4.5000000000000018"/>
  </r>
  <r>
    <x v="169"/>
    <x v="1"/>
    <x v="2"/>
    <x v="8"/>
    <x v="44"/>
    <n v="1"/>
    <n v="15"/>
    <x v="2"/>
    <n v="15"/>
  </r>
  <r>
    <x v="169"/>
    <x v="5"/>
    <x v="23"/>
    <x v="26"/>
    <x v="9"/>
    <n v="0.5"/>
    <n v="7.5"/>
    <x v="2"/>
    <n v="7.5"/>
  </r>
  <r>
    <x v="169"/>
    <x v="3"/>
    <x v="10"/>
    <x v="19"/>
    <x v="23"/>
    <n v="0.5"/>
    <n v="6.5000000000000018"/>
    <x v="2"/>
    <n v="6.5000000000000018"/>
  </r>
  <r>
    <x v="169"/>
    <x v="8"/>
    <x v="7"/>
    <x v="19"/>
    <x v="20"/>
    <n v="1"/>
    <n v="8.0000000000000018"/>
    <x v="2"/>
    <n v="8.0000000000000018"/>
  </r>
  <r>
    <x v="170"/>
    <x v="0"/>
    <x v="2"/>
    <x v="0"/>
    <x v="12"/>
    <n v="0.5"/>
    <m/>
    <x v="11"/>
    <n v="3.5000000000000018"/>
  </r>
  <r>
    <x v="171"/>
    <x v="0"/>
    <x v="2"/>
    <x v="0"/>
    <x v="12"/>
    <n v="0.5"/>
    <m/>
    <x v="11"/>
    <n v="3.5000000000000018"/>
  </r>
  <r>
    <x v="172"/>
    <x v="1"/>
    <x v="9"/>
    <x v="1"/>
    <x v="45"/>
    <n v="0.5"/>
    <n v="7.0000000000000018"/>
    <x v="2"/>
    <n v="7.0000000000000018"/>
  </r>
  <r>
    <x v="172"/>
    <x v="0"/>
    <x v="2"/>
    <x v="0"/>
    <x v="12"/>
    <n v="0.5"/>
    <m/>
    <x v="11"/>
    <n v="3.5000000000000018"/>
  </r>
  <r>
    <x v="173"/>
    <x v="0"/>
    <x v="2"/>
    <x v="0"/>
    <x v="12"/>
    <n v="0.5"/>
    <m/>
    <x v="11"/>
    <n v="3.5000000000000018"/>
  </r>
  <r>
    <x v="174"/>
    <x v="2"/>
    <x v="10"/>
    <x v="12"/>
    <x v="7"/>
    <m/>
    <n v="5.0000000000000009"/>
    <x v="2"/>
    <n v="5.0000000000000009"/>
  </r>
  <r>
    <x v="174"/>
    <x v="1"/>
    <x v="0"/>
    <x v="17"/>
    <x v="46"/>
    <n v="0.5"/>
    <n v="4.7499999999999982"/>
    <x v="2"/>
    <n v="4.7499999999999982"/>
  </r>
  <r>
    <x v="174"/>
    <x v="0"/>
    <x v="2"/>
    <x v="17"/>
    <x v="36"/>
    <m/>
    <m/>
    <x v="9"/>
    <n v="5"/>
  </r>
  <r>
    <x v="174"/>
    <x v="2"/>
    <x v="5"/>
    <x v="14"/>
    <x v="1"/>
    <m/>
    <n v="4.5"/>
    <x v="2"/>
    <n v="4.5"/>
  </r>
  <r>
    <x v="174"/>
    <x v="3"/>
    <x v="19"/>
    <x v="21"/>
    <x v="24"/>
    <n v="0.5"/>
    <n v="5.5"/>
    <x v="2"/>
    <n v="5.5"/>
  </r>
  <r>
    <x v="175"/>
    <x v="3"/>
    <x v="18"/>
    <x v="12"/>
    <x v="24"/>
    <n v="0.5"/>
    <n v="5.5"/>
    <x v="2"/>
    <n v="5.5"/>
  </r>
  <r>
    <x v="176"/>
    <x v="0"/>
    <x v="2"/>
    <x v="0"/>
    <x v="12"/>
    <n v="0.5"/>
    <m/>
    <x v="11"/>
    <n v="3.5000000000000018"/>
  </r>
  <r>
    <x v="176"/>
    <x v="1"/>
    <x v="2"/>
    <x v="3"/>
    <x v="3"/>
    <m/>
    <n v="6"/>
    <x v="2"/>
    <n v="6"/>
  </r>
  <r>
    <x v="176"/>
    <x v="6"/>
    <x v="2"/>
    <x v="26"/>
    <x v="14"/>
    <n v="0.5"/>
    <n v="10"/>
    <x v="2"/>
    <n v="10"/>
  </r>
  <r>
    <x v="177"/>
    <x v="0"/>
    <x v="2"/>
    <x v="0"/>
    <x v="12"/>
    <n v="0.5"/>
    <m/>
    <x v="11"/>
    <n v="3.5000000000000018"/>
  </r>
  <r>
    <x v="178"/>
    <x v="1"/>
    <x v="9"/>
    <x v="1"/>
    <x v="45"/>
    <n v="0.5"/>
    <n v="7.0000000000000018"/>
    <x v="2"/>
    <n v="7.0000000000000018"/>
  </r>
  <r>
    <x v="178"/>
    <x v="0"/>
    <x v="2"/>
    <x v="0"/>
    <x v="12"/>
    <n v="0.5"/>
    <m/>
    <x v="11"/>
    <n v="3.5000000000000018"/>
  </r>
  <r>
    <x v="179"/>
    <x v="0"/>
    <x v="2"/>
    <x v="0"/>
    <x v="12"/>
    <n v="0.5"/>
    <m/>
    <x v="11"/>
    <n v="3.5000000000000018"/>
  </r>
  <r>
    <x v="179"/>
    <x v="0"/>
    <x v="5"/>
    <x v="7"/>
    <x v="7"/>
    <m/>
    <m/>
    <x v="4"/>
    <n v="3.0000000000000009"/>
  </r>
  <r>
    <x v="180"/>
    <x v="0"/>
    <x v="2"/>
    <x v="0"/>
    <x v="12"/>
    <n v="0.5"/>
    <m/>
    <x v="11"/>
    <n v="3.5000000000000018"/>
  </r>
  <r>
    <x v="181"/>
    <x v="5"/>
    <x v="10"/>
    <x v="13"/>
    <x v="9"/>
    <n v="0.5"/>
    <n v="7.5"/>
    <x v="2"/>
    <n v="7.5"/>
  </r>
  <r>
    <x v="181"/>
    <x v="1"/>
    <x v="0"/>
    <x v="20"/>
    <x v="47"/>
    <n v="0.5"/>
    <n v="7.25"/>
    <x v="2"/>
    <n v="7.25"/>
  </r>
  <r>
    <x v="181"/>
    <x v="0"/>
    <x v="2"/>
    <x v="17"/>
    <x v="36"/>
    <m/>
    <m/>
    <x v="9"/>
    <n v="5"/>
  </r>
  <r>
    <x v="181"/>
    <x v="2"/>
    <x v="12"/>
    <x v="10"/>
    <x v="13"/>
    <m/>
    <n v="3.9999999999999991"/>
    <x v="2"/>
    <n v="3.9999999999999991"/>
  </r>
  <r>
    <x v="181"/>
    <x v="2"/>
    <x v="24"/>
    <x v="8"/>
    <x v="7"/>
    <m/>
    <n v="5.0000000000000009"/>
    <x v="2"/>
    <n v="5.0000000000000009"/>
  </r>
  <r>
    <x v="181"/>
    <x v="8"/>
    <x v="12"/>
    <x v="5"/>
    <x v="15"/>
    <n v="0.5"/>
    <n v="6.4999999999999991"/>
    <x v="2"/>
    <n v="6.4999999999999991"/>
  </r>
  <r>
    <x v="181"/>
    <x v="3"/>
    <x v="10"/>
    <x v="13"/>
    <x v="9"/>
    <n v="0.5"/>
    <n v="7.5"/>
    <x v="2"/>
    <n v="7.5"/>
  </r>
  <r>
    <x v="182"/>
    <x v="2"/>
    <x v="11"/>
    <x v="2"/>
    <x v="13"/>
    <m/>
    <n v="3.9999999999999991"/>
    <x v="2"/>
    <n v="3.9999999999999991"/>
  </r>
  <r>
    <x v="182"/>
    <x v="2"/>
    <x v="7"/>
    <x v="12"/>
    <x v="6"/>
    <n v="0.5"/>
    <n v="6.5"/>
    <x v="2"/>
    <n v="6.5"/>
  </r>
  <r>
    <x v="182"/>
    <x v="8"/>
    <x v="11"/>
    <x v="11"/>
    <x v="48"/>
    <n v="1"/>
    <n v="7.9999999999999982"/>
    <x v="2"/>
    <n v="7.9999999999999982"/>
  </r>
  <r>
    <x v="183"/>
    <x v="0"/>
    <x v="2"/>
    <x v="0"/>
    <x v="12"/>
    <n v="0.5"/>
    <m/>
    <x v="11"/>
    <n v="3.5000000000000018"/>
  </r>
  <r>
    <x v="184"/>
    <x v="3"/>
    <x v="1"/>
    <x v="5"/>
    <x v="30"/>
    <m/>
    <n v="6.9999999999999982"/>
    <x v="2"/>
    <n v="6.9999999999999982"/>
  </r>
  <r>
    <x v="184"/>
    <x v="0"/>
    <x v="2"/>
    <x v="0"/>
    <x v="12"/>
    <n v="0.5"/>
    <m/>
    <x v="11"/>
    <n v="3.5000000000000018"/>
  </r>
  <r>
    <x v="185"/>
    <x v="0"/>
    <x v="2"/>
    <x v="0"/>
    <x v="12"/>
    <n v="0.5"/>
    <m/>
    <x v="11"/>
    <n v="3.5000000000000018"/>
  </r>
  <r>
    <x v="185"/>
    <x v="3"/>
    <x v="1"/>
    <x v="13"/>
    <x v="13"/>
    <m/>
    <n v="5.9999999999999991"/>
    <x v="2"/>
    <n v="5.9999999999999991"/>
  </r>
  <r>
    <x v="185"/>
    <x v="1"/>
    <x v="9"/>
    <x v="1"/>
    <x v="45"/>
    <n v="0.5"/>
    <n v="7.0000000000000018"/>
    <x v="2"/>
    <n v="7.0000000000000018"/>
  </r>
  <r>
    <x v="186"/>
    <x v="0"/>
    <x v="5"/>
    <x v="7"/>
    <x v="7"/>
    <m/>
    <m/>
    <x v="4"/>
    <n v="3.0000000000000009"/>
  </r>
  <r>
    <x v="186"/>
    <x v="0"/>
    <x v="2"/>
    <x v="0"/>
    <x v="12"/>
    <n v="0.5"/>
    <m/>
    <x v="11"/>
    <n v="3.5000000000000018"/>
  </r>
  <r>
    <x v="187"/>
    <x v="0"/>
    <x v="2"/>
    <x v="0"/>
    <x v="12"/>
    <n v="0.5"/>
    <m/>
    <x v="11"/>
    <n v="3.5000000000000018"/>
  </r>
  <r>
    <x v="187"/>
    <x v="3"/>
    <x v="9"/>
    <x v="7"/>
    <x v="23"/>
    <n v="0.5"/>
    <n v="8.5000000000000018"/>
    <x v="2"/>
    <n v="8.5000000000000018"/>
  </r>
  <r>
    <x v="188"/>
    <x v="1"/>
    <x v="26"/>
    <x v="28"/>
    <x v="49"/>
    <n v="0.5"/>
    <n v="7.2499999999999991"/>
    <x v="2"/>
    <n v="7.2499999999999991"/>
  </r>
  <r>
    <x v="188"/>
    <x v="0"/>
    <x v="2"/>
    <x v="17"/>
    <x v="36"/>
    <m/>
    <m/>
    <x v="9"/>
    <n v="5"/>
  </r>
  <r>
    <x v="188"/>
    <x v="2"/>
    <x v="20"/>
    <x v="21"/>
    <x v="14"/>
    <n v="1"/>
    <n v="8"/>
    <x v="2"/>
    <n v="8"/>
  </r>
  <r>
    <x v="188"/>
    <x v="3"/>
    <x v="12"/>
    <x v="7"/>
    <x v="9"/>
    <n v="0.5"/>
    <n v="7.5"/>
    <x v="2"/>
    <n v="7.5"/>
  </r>
  <r>
    <x v="188"/>
    <x v="8"/>
    <x v="7"/>
    <x v="10"/>
    <x v="9"/>
    <n v="0.5"/>
    <n v="7.5"/>
    <x v="2"/>
    <n v="7.5"/>
  </r>
  <r>
    <x v="189"/>
    <x v="2"/>
    <x v="9"/>
    <x v="13"/>
    <x v="7"/>
    <m/>
    <n v="5.0000000000000009"/>
    <x v="2"/>
    <n v="5.0000000000000009"/>
  </r>
  <r>
    <x v="189"/>
    <x v="2"/>
    <x v="2"/>
    <x v="11"/>
    <x v="9"/>
    <n v="0.5"/>
    <n v="7.5"/>
    <x v="2"/>
    <n v="7.5"/>
  </r>
  <r>
    <x v="189"/>
    <x v="3"/>
    <x v="23"/>
    <x v="25"/>
    <x v="26"/>
    <n v="0.5"/>
    <n v="6"/>
    <x v="2"/>
    <n v="6"/>
  </r>
  <r>
    <x v="190"/>
    <x v="0"/>
    <x v="2"/>
    <x v="0"/>
    <x v="12"/>
    <n v="0.5"/>
    <m/>
    <x v="11"/>
    <n v="3.5000000000000018"/>
  </r>
  <r>
    <x v="191"/>
    <x v="0"/>
    <x v="2"/>
    <x v="0"/>
    <x v="12"/>
    <n v="0.5"/>
    <m/>
    <x v="11"/>
    <n v="3.5000000000000018"/>
  </r>
  <r>
    <x v="192"/>
    <x v="0"/>
    <x v="2"/>
    <x v="0"/>
    <x v="12"/>
    <n v="0.5"/>
    <m/>
    <x v="11"/>
    <n v="3.5000000000000018"/>
  </r>
  <r>
    <x v="192"/>
    <x v="1"/>
    <x v="9"/>
    <x v="14"/>
    <x v="32"/>
    <n v="0.5"/>
    <n v="8"/>
    <x v="2"/>
    <n v="8"/>
  </r>
  <r>
    <x v="193"/>
    <x v="0"/>
    <x v="2"/>
    <x v="0"/>
    <x v="12"/>
    <n v="0.5"/>
    <m/>
    <x v="11"/>
    <n v="3.5000000000000018"/>
  </r>
  <r>
    <x v="193"/>
    <x v="0"/>
    <x v="5"/>
    <x v="7"/>
    <x v="7"/>
    <m/>
    <m/>
    <x v="4"/>
    <n v="3.0000000000000009"/>
  </r>
  <r>
    <x v="194"/>
    <x v="0"/>
    <x v="2"/>
    <x v="0"/>
    <x v="12"/>
    <n v="0.5"/>
    <m/>
    <x v="11"/>
    <n v="3.5000000000000018"/>
  </r>
  <r>
    <x v="195"/>
    <x v="1"/>
    <x v="11"/>
    <x v="20"/>
    <x v="14"/>
    <n v="0.5"/>
    <n v="8"/>
    <x v="2"/>
    <n v="8"/>
  </r>
  <r>
    <x v="195"/>
    <x v="0"/>
    <x v="2"/>
    <x v="17"/>
    <x v="36"/>
    <m/>
    <m/>
    <x v="9"/>
    <n v="5"/>
  </r>
  <r>
    <x v="195"/>
    <x v="8"/>
    <x v="10"/>
    <x v="12"/>
    <x v="50"/>
    <n v="0.5"/>
    <n v="4.5000000000000009"/>
    <x v="2"/>
    <n v="4.5000000000000009"/>
  </r>
  <r>
    <x v="195"/>
    <x v="3"/>
    <x v="21"/>
    <x v="1"/>
    <x v="24"/>
    <n v="0.5"/>
    <n v="5.5"/>
    <x v="2"/>
    <n v="5.5"/>
  </r>
  <r>
    <x v="196"/>
    <x v="2"/>
    <x v="4"/>
    <x v="25"/>
    <x v="36"/>
    <m/>
    <n v="5"/>
    <x v="2"/>
    <n v="5"/>
  </r>
  <r>
    <x v="197"/>
    <x v="3"/>
    <x v="14"/>
    <x v="1"/>
    <x v="7"/>
    <m/>
    <n v="7.0000000000000009"/>
    <x v="2"/>
    <n v="7.0000000000000009"/>
  </r>
  <r>
    <x v="197"/>
    <x v="0"/>
    <x v="2"/>
    <x v="0"/>
    <x v="12"/>
    <n v="0.5"/>
    <m/>
    <x v="11"/>
    <n v="3.5000000000000018"/>
  </r>
  <r>
    <x v="198"/>
    <x v="0"/>
    <x v="2"/>
    <x v="0"/>
    <x v="12"/>
    <n v="0.5"/>
    <m/>
    <x v="11"/>
    <n v="3.5000000000000018"/>
  </r>
  <r>
    <x v="199"/>
    <x v="0"/>
    <x v="2"/>
    <x v="0"/>
    <x v="12"/>
    <n v="0.5"/>
    <m/>
    <x v="11"/>
    <n v="3.5000000000000018"/>
  </r>
  <r>
    <x v="199"/>
    <x v="0"/>
    <x v="9"/>
    <x v="5"/>
    <x v="24"/>
    <n v="0.5"/>
    <m/>
    <x v="13"/>
    <n v="3.5"/>
  </r>
  <r>
    <x v="200"/>
    <x v="0"/>
    <x v="2"/>
    <x v="0"/>
    <x v="12"/>
    <n v="0.5"/>
    <m/>
    <x v="11"/>
    <n v="3.5000000000000018"/>
  </r>
  <r>
    <x v="200"/>
    <x v="0"/>
    <x v="5"/>
    <x v="7"/>
    <x v="7"/>
    <m/>
    <m/>
    <x v="4"/>
    <n v="3.0000000000000009"/>
  </r>
  <r>
    <x v="201"/>
    <x v="0"/>
    <x v="2"/>
    <x v="0"/>
    <x v="12"/>
    <n v="0.5"/>
    <m/>
    <x v="11"/>
    <n v="3.5000000000000018"/>
  </r>
  <r>
    <x v="202"/>
    <x v="1"/>
    <x v="16"/>
    <x v="29"/>
    <x v="51"/>
    <m/>
    <n v="2.5000000000000004"/>
    <x v="2"/>
    <n v="2.5000000000000004"/>
  </r>
  <r>
    <x v="202"/>
    <x v="0"/>
    <x v="2"/>
    <x v="17"/>
    <x v="36"/>
    <m/>
    <m/>
    <x v="9"/>
    <n v="5"/>
  </r>
  <r>
    <x v="202"/>
    <x v="8"/>
    <x v="12"/>
    <x v="19"/>
    <x v="7"/>
    <m/>
    <n v="5.0000000000000009"/>
    <x v="2"/>
    <n v="5.0000000000000009"/>
  </r>
  <r>
    <x v="203"/>
    <x v="1"/>
    <x v="17"/>
    <x v="25"/>
    <x v="24"/>
    <n v="0.5"/>
    <n v="7.5"/>
    <x v="2"/>
    <n v="7.5"/>
  </r>
  <r>
    <x v="203"/>
    <x v="0"/>
    <x v="2"/>
    <x v="0"/>
    <x v="12"/>
    <n v="0.5"/>
    <m/>
    <x v="11"/>
    <n v="3.5000000000000018"/>
  </r>
  <r>
    <x v="204"/>
    <x v="0"/>
    <x v="2"/>
    <x v="0"/>
    <x v="12"/>
    <n v="0.5"/>
    <m/>
    <x v="11"/>
    <n v="3.5000000000000018"/>
  </r>
  <r>
    <x v="205"/>
    <x v="0"/>
    <x v="2"/>
    <x v="0"/>
    <x v="12"/>
    <n v="0.5"/>
    <m/>
    <x v="11"/>
    <n v="3.5000000000000018"/>
  </r>
  <r>
    <x v="205"/>
    <x v="1"/>
    <x v="5"/>
    <x v="5"/>
    <x v="13"/>
    <m/>
    <n v="5.9999999999999991"/>
    <x v="2"/>
    <n v="5.9999999999999991"/>
  </r>
  <r>
    <x v="205"/>
    <x v="0"/>
    <x v="9"/>
    <x v="13"/>
    <x v="7"/>
    <m/>
    <m/>
    <x v="4"/>
    <n v="3.0000000000000009"/>
  </r>
  <r>
    <x v="206"/>
    <x v="0"/>
    <x v="2"/>
    <x v="0"/>
    <x v="12"/>
    <n v="0.5"/>
    <m/>
    <x v="11"/>
    <n v="3.5000000000000018"/>
  </r>
  <r>
    <x v="206"/>
    <x v="2"/>
    <x v="9"/>
    <x v="5"/>
    <x v="24"/>
    <n v="0.5"/>
    <n v="7.5"/>
    <x v="2"/>
    <n v="7.5"/>
  </r>
  <r>
    <x v="207"/>
    <x v="0"/>
    <x v="17"/>
    <x v="0"/>
    <x v="7"/>
    <m/>
    <m/>
    <x v="4"/>
    <n v="3.0000000000000009"/>
  </r>
  <r>
    <x v="207"/>
    <x v="2"/>
    <x v="9"/>
    <x v="7"/>
    <x v="23"/>
    <n v="0.5"/>
    <n v="8.5000000000000018"/>
    <x v="2"/>
    <n v="8.5000000000000018"/>
  </r>
  <r>
    <x v="208"/>
    <x v="0"/>
    <x v="2"/>
    <x v="17"/>
    <x v="36"/>
    <m/>
    <m/>
    <x v="9"/>
    <n v="5"/>
  </r>
  <r>
    <x v="208"/>
    <x v="3"/>
    <x v="15"/>
    <x v="15"/>
    <x v="11"/>
    <n v="0.5"/>
    <n v="5.9999999999999982"/>
    <x v="2"/>
    <n v="5.9999999999999982"/>
  </r>
  <r>
    <x v="208"/>
    <x v="1"/>
    <x v="27"/>
    <x v="24"/>
    <x v="12"/>
    <n v="0.5"/>
    <n v="5.5000000000000018"/>
    <x v="2"/>
    <n v="5.5000000000000018"/>
  </r>
  <r>
    <x v="208"/>
    <x v="8"/>
    <x v="25"/>
    <x v="22"/>
    <x v="6"/>
    <n v="0.5"/>
    <n v="6.5"/>
    <x v="2"/>
    <n v="6.5"/>
  </r>
  <r>
    <x v="208"/>
    <x v="3"/>
    <x v="10"/>
    <x v="22"/>
    <x v="45"/>
    <n v="0.5"/>
    <n v="5.0000000000000018"/>
    <x v="2"/>
    <n v="5.0000000000000018"/>
  </r>
  <r>
    <x v="209"/>
    <x v="0"/>
    <x v="2"/>
    <x v="0"/>
    <x v="12"/>
    <n v="0.5"/>
    <m/>
    <x v="11"/>
    <n v="3.5000000000000018"/>
  </r>
  <r>
    <x v="210"/>
    <x v="0"/>
    <x v="2"/>
    <x v="0"/>
    <x v="12"/>
    <n v="0.5"/>
    <m/>
    <x v="11"/>
    <n v="3.5000000000000018"/>
  </r>
  <r>
    <x v="211"/>
    <x v="0"/>
    <x v="2"/>
    <x v="0"/>
    <x v="12"/>
    <n v="0.5"/>
    <m/>
    <x v="11"/>
    <n v="3.5000000000000018"/>
  </r>
  <r>
    <x v="211"/>
    <x v="1"/>
    <x v="9"/>
    <x v="1"/>
    <x v="45"/>
    <n v="0.5"/>
    <n v="7.0000000000000018"/>
    <x v="2"/>
    <n v="7.0000000000000018"/>
  </r>
  <r>
    <x v="212"/>
    <x v="0"/>
    <x v="15"/>
    <x v="7"/>
    <x v="1"/>
    <m/>
    <m/>
    <x v="1"/>
    <n v="2.5"/>
  </r>
  <r>
    <x v="212"/>
    <x v="0"/>
    <x v="2"/>
    <x v="0"/>
    <x v="12"/>
    <n v="0.5"/>
    <m/>
    <x v="11"/>
    <n v="3.5000000000000018"/>
  </r>
  <r>
    <x v="213"/>
    <x v="2"/>
    <x v="14"/>
    <x v="7"/>
    <x v="32"/>
    <n v="0.5"/>
    <n v="8"/>
    <x v="2"/>
    <n v="8"/>
  </r>
  <r>
    <x v="213"/>
    <x v="7"/>
    <x v="2"/>
    <x v="11"/>
    <x v="9"/>
    <n v="0.5"/>
    <n v="9.5"/>
    <x v="2"/>
    <n v="9.5"/>
  </r>
  <r>
    <x v="213"/>
    <x v="0"/>
    <x v="2"/>
    <x v="0"/>
    <x v="12"/>
    <n v="0.5"/>
    <m/>
    <x v="11"/>
    <n v="3.5000000000000018"/>
  </r>
  <r>
    <x v="214"/>
    <x v="5"/>
    <x v="4"/>
    <x v="6"/>
    <x v="6"/>
    <n v="0.5"/>
    <n v="6.5"/>
    <x v="2"/>
    <n v="6.5"/>
  </r>
  <r>
    <x v="214"/>
    <x v="1"/>
    <x v="27"/>
    <x v="24"/>
    <x v="12"/>
    <n v="0.5"/>
    <n v="5.5000000000000018"/>
    <x v="2"/>
    <n v="5.5000000000000018"/>
  </r>
  <r>
    <x v="214"/>
    <x v="0"/>
    <x v="2"/>
    <x v="24"/>
    <x v="33"/>
    <m/>
    <m/>
    <x v="12"/>
    <n v="4.5000000000000018"/>
  </r>
  <r>
    <x v="214"/>
    <x v="3"/>
    <x v="8"/>
    <x v="18"/>
    <x v="15"/>
    <n v="0.5"/>
    <n v="6.4999999999999991"/>
    <x v="2"/>
    <n v="6.4999999999999991"/>
  </r>
  <r>
    <x v="214"/>
    <x v="8"/>
    <x v="18"/>
    <x v="10"/>
    <x v="15"/>
    <n v="0.5"/>
    <n v="6.4999999999999991"/>
    <x v="2"/>
    <n v="6.4999999999999991"/>
  </r>
  <r>
    <x v="215"/>
    <x v="3"/>
    <x v="6"/>
    <x v="26"/>
    <x v="6"/>
    <n v="0.5"/>
    <n v="6.5"/>
    <x v="2"/>
    <n v="6.5"/>
  </r>
  <r>
    <x v="215"/>
    <x v="5"/>
    <x v="4"/>
    <x v="26"/>
    <x v="26"/>
    <n v="0.5"/>
    <n v="6"/>
    <x v="2"/>
    <n v="6"/>
  </r>
  <r>
    <x v="215"/>
    <x v="2"/>
    <x v="10"/>
    <x v="10"/>
    <x v="24"/>
    <n v="0.5"/>
    <n v="5.5"/>
    <x v="2"/>
    <n v="5.5"/>
  </r>
  <r>
    <x v="215"/>
    <x v="2"/>
    <x v="2"/>
    <x v="17"/>
    <x v="36"/>
    <m/>
    <n v="5"/>
    <x v="2"/>
    <n v="5"/>
  </r>
  <r>
    <x v="216"/>
    <x v="0"/>
    <x v="2"/>
    <x v="0"/>
    <x v="12"/>
    <n v="0.5"/>
    <m/>
    <x v="11"/>
    <n v="3.5000000000000018"/>
  </r>
  <r>
    <x v="217"/>
    <x v="0"/>
    <x v="2"/>
    <x v="0"/>
    <x v="12"/>
    <n v="0.5"/>
    <m/>
    <x v="11"/>
    <n v="3.5000000000000018"/>
  </r>
  <r>
    <x v="217"/>
    <x v="4"/>
    <x v="3"/>
    <x v="19"/>
    <x v="24"/>
    <n v="0.5"/>
    <n v="7.5"/>
    <x v="2"/>
    <n v="7.5"/>
  </r>
  <r>
    <x v="217"/>
    <x v="4"/>
    <x v="28"/>
    <x v="8"/>
    <x v="13"/>
    <m/>
    <n v="5.9999999999999991"/>
    <x v="2"/>
    <n v="5.9999999999999991"/>
  </r>
  <r>
    <x v="218"/>
    <x v="0"/>
    <x v="2"/>
    <x v="0"/>
    <x v="12"/>
    <n v="0.5"/>
    <m/>
    <x v="11"/>
    <n v="3.5000000000000018"/>
  </r>
  <r>
    <x v="218"/>
    <x v="1"/>
    <x v="9"/>
    <x v="1"/>
    <x v="45"/>
    <n v="0.5"/>
    <n v="7.0000000000000018"/>
    <x v="2"/>
    <n v="7.0000000000000018"/>
  </r>
  <r>
    <x v="219"/>
    <x v="2"/>
    <x v="10"/>
    <x v="22"/>
    <x v="45"/>
    <n v="0.5"/>
    <n v="7.0000000000000018"/>
    <x v="2"/>
    <n v="7.0000000000000018"/>
  </r>
  <r>
    <x v="219"/>
    <x v="2"/>
    <x v="15"/>
    <x v="21"/>
    <x v="30"/>
    <m/>
    <n v="6.9999999999999982"/>
    <x v="2"/>
    <n v="6.9999999999999982"/>
  </r>
  <r>
    <x v="219"/>
    <x v="0"/>
    <x v="2"/>
    <x v="0"/>
    <x v="12"/>
    <n v="0.5"/>
    <m/>
    <x v="11"/>
    <n v="3.5000000000000018"/>
  </r>
  <r>
    <x v="219"/>
    <x v="0"/>
    <x v="1"/>
    <x v="7"/>
    <x v="24"/>
    <n v="0.5"/>
    <m/>
    <x v="13"/>
    <n v="3.5"/>
  </r>
  <r>
    <x v="220"/>
    <x v="0"/>
    <x v="2"/>
    <x v="0"/>
    <x v="12"/>
    <n v="0.5"/>
    <m/>
    <x v="11"/>
    <n v="3.5000000000000018"/>
  </r>
  <r>
    <x v="221"/>
    <x v="1"/>
    <x v="27"/>
    <x v="24"/>
    <x v="12"/>
    <n v="0.5"/>
    <n v="5.5000000000000018"/>
    <x v="2"/>
    <n v="5.5000000000000018"/>
  </r>
  <r>
    <x v="221"/>
    <x v="2"/>
    <x v="29"/>
    <x v="18"/>
    <x v="24"/>
    <n v="0.5"/>
    <n v="5.5"/>
    <x v="2"/>
    <n v="5.5"/>
  </r>
  <r>
    <x v="221"/>
    <x v="0"/>
    <x v="2"/>
    <x v="25"/>
    <x v="6"/>
    <n v="0.5"/>
    <m/>
    <x v="19"/>
    <n v="6.5"/>
  </r>
  <r>
    <x v="222"/>
    <x v="0"/>
    <x v="29"/>
    <x v="10"/>
    <x v="38"/>
    <n v="0.5"/>
    <m/>
    <x v="20"/>
    <n v="4.9999999999999991"/>
  </r>
  <r>
    <x v="222"/>
    <x v="3"/>
    <x v="2"/>
    <x v="23"/>
    <x v="36"/>
    <n v="0.5"/>
    <n v="5"/>
    <x v="2"/>
    <n v="5"/>
  </r>
  <r>
    <x v="222"/>
    <x v="3"/>
    <x v="24"/>
    <x v="8"/>
    <x v="7"/>
    <m/>
    <n v="5.0000000000000009"/>
    <x v="2"/>
    <n v="5.0000000000000009"/>
  </r>
  <r>
    <x v="223"/>
    <x v="0"/>
    <x v="2"/>
    <x v="0"/>
    <x v="12"/>
    <n v="0.5"/>
    <m/>
    <x v="11"/>
    <n v="3.5000000000000018"/>
  </r>
  <r>
    <x v="223"/>
    <x v="0"/>
    <x v="9"/>
    <x v="13"/>
    <x v="7"/>
    <m/>
    <m/>
    <x v="4"/>
    <n v="3.0000000000000009"/>
  </r>
  <r>
    <x v="224"/>
    <x v="0"/>
    <x v="2"/>
    <x v="0"/>
    <x v="12"/>
    <n v="0.5"/>
    <m/>
    <x v="11"/>
    <n v="3.5000000000000018"/>
  </r>
  <r>
    <x v="225"/>
    <x v="0"/>
    <x v="2"/>
    <x v="0"/>
    <x v="12"/>
    <n v="0.5"/>
    <m/>
    <x v="11"/>
    <n v="3.5000000000000018"/>
  </r>
  <r>
    <x v="225"/>
    <x v="1"/>
    <x v="9"/>
    <x v="1"/>
    <x v="45"/>
    <n v="0.5"/>
    <n v="7.0000000000000018"/>
    <x v="2"/>
    <n v="7.0000000000000018"/>
  </r>
  <r>
    <x v="226"/>
    <x v="0"/>
    <x v="2"/>
    <x v="0"/>
    <x v="12"/>
    <n v="0.5"/>
    <m/>
    <x v="11"/>
    <n v="3.5000000000000018"/>
  </r>
  <r>
    <x v="226"/>
    <x v="0"/>
    <x v="15"/>
    <x v="7"/>
    <x v="1"/>
    <m/>
    <m/>
    <x v="1"/>
    <n v="2.5"/>
  </r>
  <r>
    <x v="227"/>
    <x v="0"/>
    <x v="2"/>
    <x v="0"/>
    <x v="12"/>
    <n v="0.5"/>
    <m/>
    <x v="11"/>
    <n v="3.5000000000000018"/>
  </r>
  <r>
    <x v="228"/>
    <x v="0"/>
    <x v="2"/>
    <x v="17"/>
    <x v="36"/>
    <m/>
    <m/>
    <x v="9"/>
    <n v="5"/>
  </r>
  <r>
    <x v="228"/>
    <x v="2"/>
    <x v="3"/>
    <x v="18"/>
    <x v="38"/>
    <n v="0.5"/>
    <n v="4.9999999999999991"/>
    <x v="2"/>
    <n v="4.9999999999999991"/>
  </r>
  <r>
    <x v="228"/>
    <x v="3"/>
    <x v="28"/>
    <x v="15"/>
    <x v="30"/>
    <m/>
    <n v="4.9999999999999982"/>
    <x v="2"/>
    <n v="4.9999999999999982"/>
  </r>
  <r>
    <x v="228"/>
    <x v="3"/>
    <x v="3"/>
    <x v="19"/>
    <x v="24"/>
    <n v="0.5"/>
    <n v="5.5"/>
    <x v="2"/>
    <n v="5.5"/>
  </r>
  <r>
    <x v="228"/>
    <x v="1"/>
    <x v="2"/>
    <x v="24"/>
    <x v="33"/>
    <m/>
    <n v="4.5000000000000018"/>
    <x v="2"/>
    <n v="4.5000000000000018"/>
  </r>
  <r>
    <x v="228"/>
    <x v="2"/>
    <x v="30"/>
    <x v="8"/>
    <x v="1"/>
    <m/>
    <n v="4.5"/>
    <x v="2"/>
    <n v="4.5"/>
  </r>
  <r>
    <x v="229"/>
    <x v="0"/>
    <x v="2"/>
    <x v="0"/>
    <x v="12"/>
    <n v="0.5"/>
    <m/>
    <x v="11"/>
    <n v="3.5000000000000018"/>
  </r>
  <r>
    <x v="229"/>
    <x v="1"/>
    <x v="14"/>
    <x v="1"/>
    <x v="50"/>
    <n v="0.5"/>
    <n v="6.5000000000000009"/>
    <x v="2"/>
    <n v="6.5000000000000009"/>
  </r>
  <r>
    <x v="230"/>
    <x v="0"/>
    <x v="2"/>
    <x v="0"/>
    <x v="12"/>
    <n v="0.5"/>
    <m/>
    <x v="11"/>
    <n v="3.5000000000000018"/>
  </r>
  <r>
    <x v="230"/>
    <x v="0"/>
    <x v="9"/>
    <x v="1"/>
    <x v="12"/>
    <m/>
    <m/>
    <x v="11"/>
    <n v="3.5000000000000018"/>
  </r>
  <r>
    <x v="231"/>
    <x v="0"/>
    <x v="5"/>
    <x v="7"/>
    <x v="7"/>
    <m/>
    <m/>
    <x v="4"/>
    <n v="3.0000000000000009"/>
  </r>
  <r>
    <x v="231"/>
    <x v="0"/>
    <x v="2"/>
    <x v="0"/>
    <x v="12"/>
    <n v="0.5"/>
    <m/>
    <x v="11"/>
    <n v="3.5000000000000018"/>
  </r>
  <r>
    <x v="232"/>
    <x v="0"/>
    <x v="2"/>
    <x v="0"/>
    <x v="12"/>
    <n v="0.5"/>
    <m/>
    <x v="11"/>
    <n v="3.5000000000000018"/>
  </r>
  <r>
    <x v="233"/>
    <x v="0"/>
    <x v="27"/>
    <x v="29"/>
    <x v="39"/>
    <m/>
    <m/>
    <x v="21"/>
    <n v="3.5000000000000009"/>
  </r>
  <r>
    <x v="233"/>
    <x v="0"/>
    <x v="2"/>
    <x v="17"/>
    <x v="36"/>
    <m/>
    <m/>
    <x v="9"/>
    <n v="5"/>
  </r>
  <r>
    <x v="233"/>
    <x v="1"/>
    <x v="2"/>
    <x v="24"/>
    <x v="33"/>
    <m/>
    <n v="4.5000000000000018"/>
    <x v="2"/>
    <n v="4.5000000000000018"/>
  </r>
  <r>
    <x v="233"/>
    <x v="3"/>
    <x v="10"/>
    <x v="13"/>
    <x v="9"/>
    <n v="0.5"/>
    <n v="7.5"/>
    <x v="2"/>
    <n v="7.5"/>
  </r>
  <r>
    <x v="233"/>
    <x v="2"/>
    <x v="25"/>
    <x v="12"/>
    <x v="26"/>
    <n v="0.5"/>
    <n v="6"/>
    <x v="2"/>
    <n v="6"/>
  </r>
  <r>
    <x v="233"/>
    <x v="8"/>
    <x v="18"/>
    <x v="10"/>
    <x v="15"/>
    <n v="0.5"/>
    <n v="6.4999999999999991"/>
    <x v="2"/>
    <n v="6.4999999999999991"/>
  </r>
  <r>
    <x v="233"/>
    <x v="2"/>
    <x v="5"/>
    <x v="4"/>
    <x v="32"/>
    <n v="0.5"/>
    <n v="6.0000000000000009"/>
    <x v="2"/>
    <n v="6.0000000000000009"/>
  </r>
  <r>
    <x v="234"/>
    <x v="8"/>
    <x v="3"/>
    <x v="5"/>
    <x v="5"/>
    <n v="0.5"/>
    <n v="7.4999999999999982"/>
    <x v="2"/>
    <n v="7.4999999999999982"/>
  </r>
  <r>
    <x v="235"/>
    <x v="0"/>
    <x v="2"/>
    <x v="0"/>
    <x v="12"/>
    <n v="0.5"/>
    <m/>
    <x v="11"/>
    <n v="3.5000000000000018"/>
  </r>
  <r>
    <x v="236"/>
    <x v="2"/>
    <x v="9"/>
    <x v="13"/>
    <x v="7"/>
    <m/>
    <n v="7.0000000000000009"/>
    <x v="2"/>
    <n v="7.0000000000000009"/>
  </r>
  <r>
    <x v="236"/>
    <x v="0"/>
    <x v="2"/>
    <x v="0"/>
    <x v="12"/>
    <n v="0.5"/>
    <m/>
    <x v="11"/>
    <n v="3.5000000000000018"/>
  </r>
  <r>
    <x v="237"/>
    <x v="0"/>
    <x v="2"/>
    <x v="0"/>
    <x v="12"/>
    <n v="0.5"/>
    <m/>
    <x v="11"/>
    <n v="3.5000000000000018"/>
  </r>
  <r>
    <x v="238"/>
    <x v="0"/>
    <x v="2"/>
    <x v="0"/>
    <x v="12"/>
    <n v="0.5"/>
    <m/>
    <x v="11"/>
    <n v="3.5000000000000018"/>
  </r>
  <r>
    <x v="238"/>
    <x v="0"/>
    <x v="15"/>
    <x v="7"/>
    <x v="1"/>
    <m/>
    <m/>
    <x v="1"/>
    <n v="2.5"/>
  </r>
  <r>
    <x v="239"/>
    <x v="11"/>
    <x v="2"/>
    <x v="11"/>
    <x v="9"/>
    <n v="0.5"/>
    <n v="9.5"/>
    <x v="2"/>
    <n v="9.5"/>
  </r>
  <r>
    <x v="239"/>
    <x v="2"/>
    <x v="12"/>
    <x v="19"/>
    <x v="7"/>
    <m/>
    <n v="7.0000000000000009"/>
    <x v="2"/>
    <n v="7.0000000000000009"/>
  </r>
  <r>
    <x v="239"/>
    <x v="0"/>
    <x v="2"/>
    <x v="0"/>
    <x v="12"/>
    <n v="0.5"/>
    <m/>
    <x v="11"/>
    <n v="3.5000000000000018"/>
  </r>
  <r>
    <x v="240"/>
    <x v="1"/>
    <x v="2"/>
    <x v="24"/>
    <x v="33"/>
    <m/>
    <n v="4.5000000000000018"/>
    <x v="2"/>
    <n v="4.5000000000000018"/>
  </r>
  <r>
    <x v="240"/>
    <x v="2"/>
    <x v="9"/>
    <x v="19"/>
    <x v="52"/>
    <m/>
    <n v="4.0000000000000018"/>
    <x v="2"/>
    <n v="4.0000000000000018"/>
  </r>
  <r>
    <x v="240"/>
    <x v="3"/>
    <x v="1"/>
    <x v="7"/>
    <x v="24"/>
    <n v="0.5"/>
    <n v="5.5"/>
    <x v="2"/>
    <n v="5.5"/>
  </r>
  <r>
    <x v="240"/>
    <x v="2"/>
    <x v="28"/>
    <x v="15"/>
    <x v="30"/>
    <m/>
    <n v="4.9999999999999982"/>
    <x v="2"/>
    <n v="4.9999999999999982"/>
  </r>
  <r>
    <x v="240"/>
    <x v="3"/>
    <x v="7"/>
    <x v="6"/>
    <x v="12"/>
    <n v="0.5"/>
    <n v="5.5000000000000018"/>
    <x v="2"/>
    <n v="5.5000000000000018"/>
  </r>
  <r>
    <x v="240"/>
    <x v="3"/>
    <x v="27"/>
    <x v="29"/>
    <x v="39"/>
    <m/>
    <n v="3.5000000000000009"/>
    <x v="2"/>
    <n v="3.5000000000000009"/>
  </r>
  <r>
    <x v="240"/>
    <x v="0"/>
    <x v="2"/>
    <x v="17"/>
    <x v="36"/>
    <m/>
    <m/>
    <x v="9"/>
    <n v="5"/>
  </r>
  <r>
    <x v="241"/>
    <x v="8"/>
    <x v="17"/>
    <x v="6"/>
    <x v="9"/>
    <n v="0.5"/>
    <n v="7.5"/>
    <x v="2"/>
    <n v="7.5"/>
  </r>
  <r>
    <x v="241"/>
    <x v="3"/>
    <x v="7"/>
    <x v="6"/>
    <x v="12"/>
    <n v="0.5"/>
    <n v="5.5000000000000018"/>
    <x v="2"/>
    <n v="5.5000000000000018"/>
  </r>
  <r>
    <x v="242"/>
    <x v="0"/>
    <x v="2"/>
    <x v="0"/>
    <x v="12"/>
    <n v="0.5"/>
    <m/>
    <x v="11"/>
    <n v="3.5000000000000018"/>
  </r>
  <r>
    <x v="243"/>
    <x v="0"/>
    <x v="2"/>
    <x v="0"/>
    <x v="12"/>
    <n v="0.5"/>
    <m/>
    <x v="11"/>
    <n v="3.5000000000000018"/>
  </r>
  <r>
    <x v="244"/>
    <x v="1"/>
    <x v="14"/>
    <x v="1"/>
    <x v="7"/>
    <m/>
    <n v="7.0000000000000009"/>
    <x v="2"/>
    <n v="7.0000000000000009"/>
  </r>
  <r>
    <x v="244"/>
    <x v="0"/>
    <x v="2"/>
    <x v="0"/>
    <x v="12"/>
    <n v="0.5"/>
    <m/>
    <x v="11"/>
    <n v="3.5000000000000018"/>
  </r>
  <r>
    <x v="244"/>
    <x v="0"/>
    <x v="1"/>
    <x v="13"/>
    <x v="13"/>
    <m/>
    <m/>
    <x v="6"/>
    <n v="1.9999999999999991"/>
  </r>
  <r>
    <x v="245"/>
    <x v="0"/>
    <x v="2"/>
    <x v="0"/>
    <x v="12"/>
    <n v="0.5"/>
    <m/>
    <x v="11"/>
    <n v="3.5000000000000018"/>
  </r>
  <r>
    <x v="245"/>
    <x v="0"/>
    <x v="15"/>
    <x v="7"/>
    <x v="1"/>
    <m/>
    <m/>
    <x v="1"/>
    <n v="2.5"/>
  </r>
  <r>
    <x v="246"/>
    <x v="0"/>
    <x v="2"/>
    <x v="0"/>
    <x v="12"/>
    <n v="0.5"/>
    <m/>
    <x v="11"/>
    <n v="3.5000000000000018"/>
  </r>
  <r>
    <x v="247"/>
    <x v="3"/>
    <x v="27"/>
    <x v="29"/>
    <x v="39"/>
    <m/>
    <n v="3.5000000000000009"/>
    <x v="2"/>
    <n v="3.5000000000000009"/>
  </r>
  <r>
    <x v="247"/>
    <x v="0"/>
    <x v="2"/>
    <x v="20"/>
    <x v="53"/>
    <n v="0.5"/>
    <m/>
    <x v="22"/>
    <n v="7.0000000000000018"/>
  </r>
  <r>
    <x v="247"/>
    <x v="3"/>
    <x v="12"/>
    <x v="15"/>
    <x v="8"/>
    <n v="1"/>
    <n v="9"/>
    <x v="2"/>
    <n v="9"/>
  </r>
  <r>
    <x v="247"/>
    <x v="2"/>
    <x v="10"/>
    <x v="10"/>
    <x v="24"/>
    <n v="0.5"/>
    <n v="5.5"/>
    <x v="2"/>
    <n v="5.5"/>
  </r>
  <r>
    <x v="247"/>
    <x v="8"/>
    <x v="19"/>
    <x v="5"/>
    <x v="1"/>
    <m/>
    <n v="4.5"/>
    <x v="2"/>
    <n v="4.5"/>
  </r>
  <r>
    <x v="247"/>
    <x v="6"/>
    <x v="2"/>
    <x v="30"/>
    <x v="39"/>
    <m/>
    <n v="3.5000000000000009"/>
    <x v="2"/>
    <n v="3.5000000000000009"/>
  </r>
  <r>
    <x v="247"/>
    <x v="1"/>
    <x v="2"/>
    <x v="17"/>
    <x v="36"/>
    <m/>
    <n v="5"/>
    <x v="2"/>
    <n v="5"/>
  </r>
  <r>
    <x v="247"/>
    <x v="8"/>
    <x v="18"/>
    <x v="6"/>
    <x v="50"/>
    <n v="0.5"/>
    <n v="4.5000000000000009"/>
    <x v="2"/>
    <n v="4.5000000000000009"/>
  </r>
  <r>
    <x v="247"/>
    <x v="5"/>
    <x v="25"/>
    <x v="25"/>
    <x v="54"/>
    <m/>
    <n v="3.4999999999999996"/>
    <x v="2"/>
    <n v="3.4999999999999996"/>
  </r>
  <r>
    <x v="248"/>
    <x v="8"/>
    <x v="10"/>
    <x v="12"/>
    <x v="7"/>
    <m/>
    <n v="5.0000000000000009"/>
    <x v="2"/>
    <n v="5.0000000000000009"/>
  </r>
  <r>
    <x v="248"/>
    <x v="1"/>
    <x v="29"/>
    <x v="9"/>
    <x v="13"/>
    <m/>
    <n v="3.9999999999999991"/>
    <x v="2"/>
    <n v="3.9999999999999991"/>
  </r>
  <r>
    <x v="249"/>
    <x v="0"/>
    <x v="2"/>
    <x v="0"/>
    <x v="12"/>
    <n v="0.5"/>
    <m/>
    <x v="11"/>
    <n v="3.5000000000000018"/>
  </r>
  <r>
    <x v="250"/>
    <x v="0"/>
    <x v="2"/>
    <x v="0"/>
    <x v="12"/>
    <n v="0.5"/>
    <m/>
    <x v="11"/>
    <n v="3.5000000000000018"/>
  </r>
  <r>
    <x v="251"/>
    <x v="1"/>
    <x v="1"/>
    <x v="1"/>
    <x v="1"/>
    <m/>
    <n v="6.5"/>
    <x v="2"/>
    <n v="6.5"/>
  </r>
  <r>
    <x v="251"/>
    <x v="0"/>
    <x v="2"/>
    <x v="0"/>
    <x v="12"/>
    <n v="0.5"/>
    <m/>
    <x v="11"/>
    <n v="3.5000000000000018"/>
  </r>
  <r>
    <x v="252"/>
    <x v="0"/>
    <x v="19"/>
    <x v="7"/>
    <x v="45"/>
    <n v="0.5"/>
    <m/>
    <x v="23"/>
    <n v="3.0000000000000018"/>
  </r>
  <r>
    <x v="252"/>
    <x v="0"/>
    <x v="2"/>
    <x v="0"/>
    <x v="12"/>
    <n v="0.5"/>
    <m/>
    <x v="11"/>
    <n v="3.5000000000000018"/>
  </r>
  <r>
    <x v="253"/>
    <x v="0"/>
    <x v="2"/>
    <x v="0"/>
    <x v="12"/>
    <n v="0.5"/>
    <m/>
    <x v="11"/>
    <n v="3.5000000000000018"/>
  </r>
  <r>
    <x v="253"/>
    <x v="0"/>
    <x v="12"/>
    <x v="19"/>
    <x v="7"/>
    <m/>
    <m/>
    <x v="4"/>
    <n v="3.0000000000000009"/>
  </r>
  <r>
    <x v="254"/>
    <x v="0"/>
    <x v="2"/>
    <x v="17"/>
    <x v="36"/>
    <m/>
    <m/>
    <x v="9"/>
    <n v="5"/>
  </r>
  <r>
    <x v="254"/>
    <x v="2"/>
    <x v="1"/>
    <x v="5"/>
    <x v="30"/>
    <m/>
    <n v="4.9999999999999982"/>
    <x v="2"/>
    <n v="4.9999999999999982"/>
  </r>
  <r>
    <x v="254"/>
    <x v="3"/>
    <x v="10"/>
    <x v="13"/>
    <x v="9"/>
    <n v="0.5"/>
    <n v="7.5"/>
    <x v="2"/>
    <n v="7.5"/>
  </r>
  <r>
    <x v="254"/>
    <x v="2"/>
    <x v="18"/>
    <x v="6"/>
    <x v="7"/>
    <m/>
    <n v="5.0000000000000009"/>
    <x v="2"/>
    <n v="5.0000000000000009"/>
  </r>
  <r>
    <x v="254"/>
    <x v="2"/>
    <x v="27"/>
    <x v="3"/>
    <x v="36"/>
    <n v="0.5"/>
    <n v="5"/>
    <x v="2"/>
    <n v="5"/>
  </r>
  <r>
    <x v="254"/>
    <x v="3"/>
    <x v="27"/>
    <x v="29"/>
    <x v="39"/>
    <m/>
    <n v="3.5000000000000009"/>
    <x v="2"/>
    <n v="3.5000000000000009"/>
  </r>
  <r>
    <x v="255"/>
    <x v="1"/>
    <x v="10"/>
    <x v="22"/>
    <x v="45"/>
    <n v="0.5"/>
    <n v="5.0000000000000018"/>
    <x v="2"/>
    <n v="5.0000000000000018"/>
  </r>
  <r>
    <x v="255"/>
    <x v="2"/>
    <x v="15"/>
    <x v="15"/>
    <x v="11"/>
    <n v="0.5"/>
    <n v="5.9999999999999982"/>
    <x v="2"/>
    <n v="5.9999999999999982"/>
  </r>
  <r>
    <x v="255"/>
    <x v="8"/>
    <x v="12"/>
    <x v="13"/>
    <x v="24"/>
    <n v="0.5"/>
    <n v="5.5"/>
    <x v="2"/>
    <n v="5.5"/>
  </r>
  <r>
    <x v="255"/>
    <x v="3"/>
    <x v="2"/>
    <x v="6"/>
    <x v="20"/>
    <n v="1"/>
    <n v="8.0000000000000018"/>
    <x v="2"/>
    <n v="8.0000000000000018"/>
  </r>
  <r>
    <x v="256"/>
    <x v="0"/>
    <x v="2"/>
    <x v="0"/>
    <x v="12"/>
    <n v="0.5"/>
    <m/>
    <x v="11"/>
    <n v="3.5000000000000018"/>
  </r>
  <r>
    <x v="257"/>
    <x v="0"/>
    <x v="2"/>
    <x v="0"/>
    <x v="12"/>
    <n v="0.5"/>
    <m/>
    <x v="11"/>
    <n v="3.5000000000000018"/>
  </r>
  <r>
    <x v="258"/>
    <x v="0"/>
    <x v="16"/>
    <x v="0"/>
    <x v="32"/>
    <n v="0.5"/>
    <m/>
    <x v="24"/>
    <n v="4.0000000000000009"/>
  </r>
  <r>
    <x v="258"/>
    <x v="1"/>
    <x v="1"/>
    <x v="13"/>
    <x v="13"/>
    <m/>
    <n v="5.9999999999999991"/>
    <x v="2"/>
    <n v="5.9999999999999991"/>
  </r>
  <r>
    <x v="258"/>
    <x v="0"/>
    <x v="9"/>
    <x v="13"/>
    <x v="7"/>
    <m/>
    <m/>
    <x v="4"/>
    <n v="3.0000000000000009"/>
  </r>
  <r>
    <x v="259"/>
    <x v="0"/>
    <x v="2"/>
    <x v="0"/>
    <x v="12"/>
    <n v="0.5"/>
    <m/>
    <x v="11"/>
    <n v="3.5000000000000018"/>
  </r>
  <r>
    <x v="259"/>
    <x v="0"/>
    <x v="14"/>
    <x v="7"/>
    <x v="32"/>
    <n v="0.5"/>
    <m/>
    <x v="24"/>
    <n v="4.0000000000000009"/>
  </r>
  <r>
    <x v="260"/>
    <x v="0"/>
    <x v="12"/>
    <x v="10"/>
    <x v="13"/>
    <m/>
    <m/>
    <x v="6"/>
    <n v="1.9999999999999991"/>
  </r>
  <r>
    <x v="260"/>
    <x v="0"/>
    <x v="2"/>
    <x v="0"/>
    <x v="12"/>
    <n v="0.5"/>
    <m/>
    <x v="11"/>
    <n v="3.5000000000000018"/>
  </r>
  <r>
    <x v="261"/>
    <x v="3"/>
    <x v="19"/>
    <x v="5"/>
    <x v="1"/>
    <m/>
    <n v="4.5"/>
    <x v="2"/>
    <n v="4.5"/>
  </r>
  <r>
    <x v="261"/>
    <x v="2"/>
    <x v="12"/>
    <x v="13"/>
    <x v="24"/>
    <n v="0.5"/>
    <n v="5.5"/>
    <x v="2"/>
    <n v="5.5"/>
  </r>
  <r>
    <x v="261"/>
    <x v="0"/>
    <x v="2"/>
    <x v="17"/>
    <x v="36"/>
    <m/>
    <m/>
    <x v="9"/>
    <n v="5"/>
  </r>
  <r>
    <x v="261"/>
    <x v="3"/>
    <x v="27"/>
    <x v="29"/>
    <x v="39"/>
    <m/>
    <n v="3.5000000000000009"/>
    <x v="2"/>
    <n v="3.5000000000000009"/>
  </r>
  <r>
    <x v="261"/>
    <x v="1"/>
    <x v="17"/>
    <x v="3"/>
    <x v="2"/>
    <m/>
    <n v="3"/>
    <x v="2"/>
    <n v="3"/>
  </r>
  <r>
    <x v="261"/>
    <x v="5"/>
    <x v="2"/>
    <x v="23"/>
    <x v="36"/>
    <n v="0.5"/>
    <n v="5"/>
    <x v="2"/>
    <n v="5"/>
  </r>
  <r>
    <x v="261"/>
    <x v="5"/>
    <x v="29"/>
    <x v="9"/>
    <x v="13"/>
    <m/>
    <n v="3.9999999999999991"/>
    <x v="2"/>
    <n v="3.9999999999999991"/>
  </r>
  <r>
    <x v="261"/>
    <x v="3"/>
    <x v="10"/>
    <x v="9"/>
    <x v="1"/>
    <m/>
    <n v="4.5"/>
    <x v="2"/>
    <n v="4.5"/>
  </r>
  <r>
    <x v="262"/>
    <x v="3"/>
    <x v="7"/>
    <x v="12"/>
    <x v="6"/>
    <n v="0.5"/>
    <n v="6.5"/>
    <x v="2"/>
    <n v="6.5"/>
  </r>
  <r>
    <x v="262"/>
    <x v="3"/>
    <x v="5"/>
    <x v="15"/>
    <x v="15"/>
    <n v="0.5"/>
    <n v="6.4999999999999991"/>
    <x v="2"/>
    <n v="6.4999999999999991"/>
  </r>
  <r>
    <x v="262"/>
    <x v="1"/>
    <x v="18"/>
    <x v="19"/>
    <x v="9"/>
    <n v="0.5"/>
    <n v="7.5"/>
    <x v="2"/>
    <n v="7.5"/>
  </r>
  <r>
    <x v="263"/>
    <x v="0"/>
    <x v="2"/>
    <x v="0"/>
    <x v="12"/>
    <n v="0.5"/>
    <m/>
    <x v="11"/>
    <n v="3.5000000000000018"/>
  </r>
  <r>
    <x v="263"/>
    <x v="1"/>
    <x v="1"/>
    <x v="5"/>
    <x v="30"/>
    <m/>
    <n v="6.9999999999999982"/>
    <x v="2"/>
    <n v="6.9999999999999982"/>
  </r>
  <r>
    <x v="264"/>
    <x v="0"/>
    <x v="2"/>
    <x v="0"/>
    <x v="12"/>
    <n v="0.5"/>
    <m/>
    <x v="11"/>
    <n v="3.5000000000000018"/>
  </r>
  <r>
    <x v="264"/>
    <x v="0"/>
    <x v="12"/>
    <x v="12"/>
    <x v="2"/>
    <m/>
    <m/>
    <x v="25"/>
    <n v="1"/>
  </r>
  <r>
    <x v="265"/>
    <x v="0"/>
    <x v="2"/>
    <x v="0"/>
    <x v="12"/>
    <n v="0.5"/>
    <m/>
    <x v="11"/>
    <n v="3.5000000000000018"/>
  </r>
  <r>
    <x v="265"/>
    <x v="1"/>
    <x v="19"/>
    <x v="1"/>
    <x v="52"/>
    <m/>
    <n v="6.0000000000000018"/>
    <x v="2"/>
    <n v="6.0000000000000018"/>
  </r>
  <r>
    <x v="266"/>
    <x v="0"/>
    <x v="1"/>
    <x v="7"/>
    <x v="24"/>
    <n v="0.5"/>
    <m/>
    <x v="13"/>
    <n v="3.5"/>
  </r>
  <r>
    <x v="266"/>
    <x v="1"/>
    <x v="1"/>
    <x v="16"/>
    <x v="19"/>
    <m/>
    <n v="5.4999999999999982"/>
    <x v="2"/>
    <n v="5.4999999999999982"/>
  </r>
  <r>
    <x v="266"/>
    <x v="0"/>
    <x v="2"/>
    <x v="0"/>
    <x v="12"/>
    <n v="0.5"/>
    <m/>
    <x v="11"/>
    <n v="3.5000000000000018"/>
  </r>
  <r>
    <x v="267"/>
    <x v="0"/>
    <x v="2"/>
    <x v="0"/>
    <x v="12"/>
    <n v="0.5"/>
    <m/>
    <x v="11"/>
    <n v="3.5000000000000018"/>
  </r>
  <r>
    <x v="267"/>
    <x v="8"/>
    <x v="7"/>
    <x v="10"/>
    <x v="9"/>
    <n v="0.5"/>
    <n v="9.5"/>
    <x v="2"/>
    <n v="9.5"/>
  </r>
  <r>
    <x v="268"/>
    <x v="2"/>
    <x v="12"/>
    <x v="15"/>
    <x v="8"/>
    <n v="1"/>
    <n v="9"/>
    <x v="2"/>
    <n v="9"/>
  </r>
  <r>
    <x v="268"/>
    <x v="1"/>
    <x v="17"/>
    <x v="3"/>
    <x v="2"/>
    <m/>
    <n v="3"/>
    <x v="2"/>
    <n v="3"/>
  </r>
  <r>
    <x v="268"/>
    <x v="0"/>
    <x v="27"/>
    <x v="17"/>
    <x v="26"/>
    <n v="0.5"/>
    <m/>
    <x v="26"/>
    <n v="6"/>
  </r>
  <r>
    <x v="269"/>
    <x v="1"/>
    <x v="20"/>
    <x v="9"/>
    <x v="2"/>
    <m/>
    <n v="3"/>
    <x v="2"/>
    <n v="3"/>
  </r>
  <r>
    <x v="270"/>
    <x v="0"/>
    <x v="2"/>
    <x v="0"/>
    <x v="12"/>
    <n v="0.5"/>
    <m/>
    <x v="11"/>
    <n v="3.5000000000000018"/>
  </r>
  <r>
    <x v="271"/>
    <x v="0"/>
    <x v="2"/>
    <x v="0"/>
    <x v="12"/>
    <n v="0.5"/>
    <m/>
    <x v="11"/>
    <n v="3.5000000000000018"/>
  </r>
  <r>
    <x v="272"/>
    <x v="0"/>
    <x v="2"/>
    <x v="2"/>
    <x v="2"/>
    <m/>
    <m/>
    <x v="25"/>
    <n v="1"/>
  </r>
  <r>
    <x v="272"/>
    <x v="0"/>
    <x v="7"/>
    <x v="0"/>
    <x v="27"/>
    <m/>
    <m/>
    <x v="10"/>
    <n v="1.0000000000000013"/>
  </r>
  <r>
    <x v="272"/>
    <x v="0"/>
    <x v="14"/>
    <x v="1"/>
    <x v="7"/>
    <m/>
    <m/>
    <x v="4"/>
    <n v="3.0000000000000009"/>
  </r>
  <r>
    <x v="273"/>
    <x v="0"/>
    <x v="2"/>
    <x v="0"/>
    <x v="12"/>
    <n v="0.5"/>
    <m/>
    <x v="11"/>
    <n v="3.5000000000000018"/>
  </r>
  <r>
    <x v="273"/>
    <x v="0"/>
    <x v="1"/>
    <x v="7"/>
    <x v="24"/>
    <n v="0.5"/>
    <m/>
    <x v="13"/>
    <n v="3.5"/>
  </r>
  <r>
    <x v="274"/>
    <x v="0"/>
    <x v="2"/>
    <x v="0"/>
    <x v="12"/>
    <n v="0.5"/>
    <m/>
    <x v="11"/>
    <n v="3.5000000000000018"/>
  </r>
  <r>
    <x v="274"/>
    <x v="0"/>
    <x v="12"/>
    <x v="19"/>
    <x v="7"/>
    <m/>
    <m/>
    <x v="4"/>
    <n v="3.0000000000000009"/>
  </r>
  <r>
    <x v="275"/>
    <x v="5"/>
    <x v="18"/>
    <x v="12"/>
    <x v="24"/>
    <n v="0.5"/>
    <n v="5.5"/>
    <x v="2"/>
    <n v="5.5"/>
  </r>
  <r>
    <x v="275"/>
    <x v="1"/>
    <x v="17"/>
    <x v="3"/>
    <x v="2"/>
    <m/>
    <n v="3"/>
    <x v="2"/>
    <n v="3"/>
  </r>
  <r>
    <x v="275"/>
    <x v="3"/>
    <x v="10"/>
    <x v="22"/>
    <x v="45"/>
    <n v="0.5"/>
    <n v="5.0000000000000018"/>
    <x v="2"/>
    <n v="5.0000000000000018"/>
  </r>
  <r>
    <x v="275"/>
    <x v="3"/>
    <x v="15"/>
    <x v="8"/>
    <x v="38"/>
    <n v="0.5"/>
    <n v="4.9999999999999991"/>
    <x v="2"/>
    <n v="4.9999999999999991"/>
  </r>
  <r>
    <x v="275"/>
    <x v="0"/>
    <x v="27"/>
    <x v="29"/>
    <x v="39"/>
    <m/>
    <m/>
    <x v="21"/>
    <n v="3.5000000000000009"/>
  </r>
  <r>
    <x v="275"/>
    <x v="0"/>
    <x v="2"/>
    <x v="17"/>
    <x v="36"/>
    <m/>
    <m/>
    <x v="9"/>
    <n v="5"/>
  </r>
  <r>
    <x v="276"/>
    <x v="3"/>
    <x v="4"/>
    <x v="10"/>
    <x v="48"/>
    <n v="1"/>
    <n v="7.9999999999999982"/>
    <x v="2"/>
    <n v="7.9999999999999982"/>
  </r>
  <r>
    <x v="276"/>
    <x v="1"/>
    <x v="20"/>
    <x v="9"/>
    <x v="2"/>
    <m/>
    <n v="3"/>
    <x v="2"/>
    <n v="3"/>
  </r>
  <r>
    <x v="277"/>
    <x v="0"/>
    <x v="2"/>
    <x v="0"/>
    <x v="12"/>
    <n v="0.5"/>
    <m/>
    <x v="11"/>
    <n v="3.5000000000000018"/>
  </r>
  <r>
    <x v="278"/>
    <x v="0"/>
    <x v="2"/>
    <x v="0"/>
    <x v="12"/>
    <n v="0.5"/>
    <m/>
    <x v="11"/>
    <n v="3.5000000000000018"/>
  </r>
  <r>
    <x v="279"/>
    <x v="1"/>
    <x v="1"/>
    <x v="1"/>
    <x v="1"/>
    <m/>
    <n v="6.5"/>
    <x v="2"/>
    <n v="6.5"/>
  </r>
  <r>
    <x v="279"/>
    <x v="0"/>
    <x v="2"/>
    <x v="0"/>
    <x v="12"/>
    <n v="0.5"/>
    <m/>
    <x v="11"/>
    <n v="3.5000000000000018"/>
  </r>
  <r>
    <x v="280"/>
    <x v="1"/>
    <x v="5"/>
    <x v="21"/>
    <x v="38"/>
    <n v="0.5"/>
    <n v="6.9999999999999991"/>
    <x v="2"/>
    <n v="6.9999999999999991"/>
  </r>
  <r>
    <x v="280"/>
    <x v="0"/>
    <x v="2"/>
    <x v="0"/>
    <x v="12"/>
    <n v="0.5"/>
    <m/>
    <x v="11"/>
    <n v="3.5000000000000018"/>
  </r>
  <r>
    <x v="280"/>
    <x v="0"/>
    <x v="1"/>
    <x v="7"/>
    <x v="24"/>
    <n v="0.5"/>
    <m/>
    <x v="13"/>
    <n v="3.5"/>
  </r>
  <r>
    <x v="280"/>
    <x v="2"/>
    <x v="25"/>
    <x v="9"/>
    <x v="35"/>
    <n v="0.5"/>
    <n v="7.4999999999999982"/>
    <x v="2"/>
    <n v="7.4999999999999982"/>
  </r>
  <r>
    <x v="281"/>
    <x v="1"/>
    <x v="25"/>
    <x v="9"/>
    <x v="35"/>
    <n v="0.5"/>
    <n v="7.4999999999999982"/>
    <x v="2"/>
    <n v="7.4999999999999982"/>
  </r>
  <r>
    <x v="281"/>
    <x v="0"/>
    <x v="2"/>
    <x v="0"/>
    <x v="12"/>
    <n v="0.5"/>
    <m/>
    <x v="11"/>
    <n v="3.5000000000000018"/>
  </r>
  <r>
    <x v="282"/>
    <x v="3"/>
    <x v="27"/>
    <x v="28"/>
    <x v="9"/>
    <n v="0.5"/>
    <n v="7.5"/>
    <x v="2"/>
    <n v="7.5"/>
  </r>
  <r>
    <x v="282"/>
    <x v="2"/>
    <x v="2"/>
    <x v="0"/>
    <x v="12"/>
    <n v="0.5"/>
    <n v="5.5000000000000018"/>
    <x v="2"/>
    <n v="5.5000000000000018"/>
  </r>
  <r>
    <x v="282"/>
    <x v="2"/>
    <x v="3"/>
    <x v="22"/>
    <x v="1"/>
    <m/>
    <n v="4.5"/>
    <x v="2"/>
    <n v="4.5"/>
  </r>
  <r>
    <x v="282"/>
    <x v="3"/>
    <x v="3"/>
    <x v="15"/>
    <x v="55"/>
    <n v="1"/>
    <n v="9.9999999999999982"/>
    <x v="2"/>
    <n v="9.9999999999999982"/>
  </r>
  <r>
    <x v="282"/>
    <x v="8"/>
    <x v="20"/>
    <x v="16"/>
    <x v="24"/>
    <n v="0.5"/>
    <n v="5.5"/>
    <x v="2"/>
    <n v="5.5"/>
  </r>
  <r>
    <x v="282"/>
    <x v="12"/>
    <x v="19"/>
    <x v="1"/>
    <x v="52"/>
    <m/>
    <n v="4.0000000000000018"/>
    <x v="2"/>
    <n v="4.0000000000000018"/>
  </r>
  <r>
    <x v="283"/>
    <x v="2"/>
    <x v="18"/>
    <x v="12"/>
    <x v="24"/>
    <n v="0.5"/>
    <n v="5.5"/>
    <x v="2"/>
    <n v="5.5"/>
  </r>
  <r>
    <x v="283"/>
    <x v="3"/>
    <x v="29"/>
    <x v="22"/>
    <x v="7"/>
    <m/>
    <n v="5.0000000000000009"/>
    <x v="2"/>
    <n v="5.0000000000000009"/>
  </r>
  <r>
    <x v="284"/>
    <x v="0"/>
    <x v="2"/>
    <x v="0"/>
    <x v="12"/>
    <n v="0.5"/>
    <m/>
    <x v="11"/>
    <n v="3.5000000000000018"/>
  </r>
  <r>
    <x v="285"/>
    <x v="0"/>
    <x v="2"/>
    <x v="0"/>
    <x v="12"/>
    <n v="0.5"/>
    <m/>
    <x v="11"/>
    <n v="3.5000000000000018"/>
  </r>
  <r>
    <x v="286"/>
    <x v="1"/>
    <x v="1"/>
    <x v="1"/>
    <x v="1"/>
    <m/>
    <n v="6.5"/>
    <x v="2"/>
    <n v="6.5"/>
  </r>
  <r>
    <x v="286"/>
    <x v="0"/>
    <x v="2"/>
    <x v="0"/>
    <x v="12"/>
    <n v="0.5"/>
    <m/>
    <x v="11"/>
    <n v="3.5000000000000018"/>
  </r>
  <r>
    <x v="287"/>
    <x v="0"/>
    <x v="15"/>
    <x v="5"/>
    <x v="19"/>
    <m/>
    <m/>
    <x v="7"/>
    <n v="1.4999999999999982"/>
  </r>
  <r>
    <x v="287"/>
    <x v="0"/>
    <x v="2"/>
    <x v="0"/>
    <x v="12"/>
    <n v="0.5"/>
    <m/>
    <x v="11"/>
    <n v="3.5000000000000018"/>
  </r>
  <r>
    <x v="288"/>
    <x v="0"/>
    <x v="2"/>
    <x v="0"/>
    <x v="12"/>
    <n v="0.5"/>
    <m/>
    <x v="11"/>
    <n v="3.5000000000000018"/>
  </r>
  <r>
    <x v="288"/>
    <x v="2"/>
    <x v="5"/>
    <x v="7"/>
    <x v="7"/>
    <m/>
    <n v="7.0000000000000009"/>
    <x v="2"/>
    <n v="7.0000000000000009"/>
  </r>
  <r>
    <x v="288"/>
    <x v="2"/>
    <x v="7"/>
    <x v="11"/>
    <x v="36"/>
    <m/>
    <n v="7"/>
    <x v="2"/>
    <n v="7"/>
  </r>
  <r>
    <x v="289"/>
    <x v="5"/>
    <x v="4"/>
    <x v="17"/>
    <x v="56"/>
    <m/>
    <n v="2.9999999999999987"/>
    <x v="2"/>
    <n v="2.9999999999999987"/>
  </r>
  <r>
    <x v="289"/>
    <x v="1"/>
    <x v="17"/>
    <x v="2"/>
    <x v="57"/>
    <m/>
    <n v="1.9999999999999996"/>
    <x v="2"/>
    <n v="1.9999999999999996"/>
  </r>
  <r>
    <x v="289"/>
    <x v="3"/>
    <x v="27"/>
    <x v="17"/>
    <x v="26"/>
    <n v="0.5"/>
    <n v="6"/>
    <x v="2"/>
    <n v="6"/>
  </r>
  <r>
    <x v="289"/>
    <x v="2"/>
    <x v="10"/>
    <x v="27"/>
    <x v="58"/>
    <n v="1"/>
    <n v="11.5"/>
    <x v="2"/>
    <n v="11.5"/>
  </r>
  <r>
    <x v="289"/>
    <x v="3"/>
    <x v="10"/>
    <x v="5"/>
    <x v="14"/>
    <n v="1"/>
    <n v="8"/>
    <x v="2"/>
    <n v="8"/>
  </r>
  <r>
    <x v="289"/>
    <x v="5"/>
    <x v="10"/>
    <x v="6"/>
    <x v="52"/>
    <m/>
    <n v="4.0000000000000018"/>
    <x v="2"/>
    <n v="4.0000000000000018"/>
  </r>
  <r>
    <x v="289"/>
    <x v="8"/>
    <x v="7"/>
    <x v="10"/>
    <x v="9"/>
    <n v="0.5"/>
    <n v="7.5"/>
    <x v="2"/>
    <n v="7.5"/>
  </r>
  <r>
    <x v="290"/>
    <x v="1"/>
    <x v="12"/>
    <x v="6"/>
    <x v="31"/>
    <m/>
    <n v="2.0000000000000009"/>
    <x v="2"/>
    <n v="2.0000000000000009"/>
  </r>
  <r>
    <x v="291"/>
    <x v="0"/>
    <x v="5"/>
    <x v="7"/>
    <x v="7"/>
    <m/>
    <m/>
    <x v="4"/>
    <n v="3.0000000000000009"/>
  </r>
  <r>
    <x v="291"/>
    <x v="0"/>
    <x v="2"/>
    <x v="0"/>
    <x v="12"/>
    <n v="0.5"/>
    <m/>
    <x v="11"/>
    <n v="3.5000000000000018"/>
  </r>
  <r>
    <x v="292"/>
    <x v="0"/>
    <x v="2"/>
    <x v="0"/>
    <x v="12"/>
    <n v="0.5"/>
    <m/>
    <x v="11"/>
    <n v="3.5000000000000018"/>
  </r>
  <r>
    <x v="292"/>
    <x v="2"/>
    <x v="1"/>
    <x v="14"/>
    <x v="38"/>
    <n v="0.5"/>
    <n v="6.9999999999999991"/>
    <x v="2"/>
    <n v="6.9999999999999991"/>
  </r>
  <r>
    <x v="293"/>
    <x v="1"/>
    <x v="12"/>
    <x v="1"/>
    <x v="32"/>
    <n v="0.5"/>
    <n v="8"/>
    <x v="2"/>
    <n v="8"/>
  </r>
  <r>
    <x v="293"/>
    <x v="0"/>
    <x v="2"/>
    <x v="0"/>
    <x v="12"/>
    <n v="0.5"/>
    <m/>
    <x v="11"/>
    <n v="3.5000000000000018"/>
  </r>
  <r>
    <x v="294"/>
    <x v="0"/>
    <x v="15"/>
    <x v="14"/>
    <x v="13"/>
    <m/>
    <m/>
    <x v="6"/>
    <n v="1.9999999999999991"/>
  </r>
  <r>
    <x v="294"/>
    <x v="2"/>
    <x v="2"/>
    <x v="6"/>
    <x v="20"/>
    <n v="1"/>
    <n v="10.000000000000002"/>
    <x v="2"/>
    <n v="10.000000000000002"/>
  </r>
  <r>
    <x v="294"/>
    <x v="0"/>
    <x v="2"/>
    <x v="0"/>
    <x v="12"/>
    <n v="0.5"/>
    <m/>
    <x v="11"/>
    <n v="3.5000000000000018"/>
  </r>
  <r>
    <x v="295"/>
    <x v="0"/>
    <x v="2"/>
    <x v="0"/>
    <x v="12"/>
    <n v="0.5"/>
    <m/>
    <x v="11"/>
    <n v="3.5000000000000018"/>
  </r>
  <r>
    <x v="295"/>
    <x v="0"/>
    <x v="14"/>
    <x v="1"/>
    <x v="7"/>
    <m/>
    <m/>
    <x v="4"/>
    <n v="3.0000000000000009"/>
  </r>
  <r>
    <x v="296"/>
    <x v="0"/>
    <x v="2"/>
    <x v="17"/>
    <x v="36"/>
    <m/>
    <m/>
    <x v="9"/>
    <n v="5"/>
  </r>
  <r>
    <x v="296"/>
    <x v="3"/>
    <x v="27"/>
    <x v="29"/>
    <x v="39"/>
    <m/>
    <n v="3.5000000000000009"/>
    <x v="2"/>
    <n v="3.5000000000000009"/>
  </r>
  <r>
    <x v="296"/>
    <x v="2"/>
    <x v="11"/>
    <x v="23"/>
    <x v="26"/>
    <n v="0.5"/>
    <n v="6"/>
    <x v="2"/>
    <n v="6"/>
  </r>
  <r>
    <x v="296"/>
    <x v="5"/>
    <x v="1"/>
    <x v="27"/>
    <x v="9"/>
    <n v="1"/>
    <n v="7.5"/>
    <x v="2"/>
    <n v="7.5"/>
  </r>
  <r>
    <x v="296"/>
    <x v="3"/>
    <x v="3"/>
    <x v="12"/>
    <x v="13"/>
    <m/>
    <n v="3.9999999999999991"/>
    <x v="2"/>
    <n v="3.9999999999999991"/>
  </r>
  <r>
    <x v="296"/>
    <x v="2"/>
    <x v="10"/>
    <x v="10"/>
    <x v="24"/>
    <n v="0.5"/>
    <n v="5.5"/>
    <x v="2"/>
    <n v="5.5"/>
  </r>
  <r>
    <x v="296"/>
    <x v="1"/>
    <x v="17"/>
    <x v="3"/>
    <x v="2"/>
    <m/>
    <n v="3"/>
    <x v="2"/>
    <n v="3"/>
  </r>
  <r>
    <x v="296"/>
    <x v="8"/>
    <x v="17"/>
    <x v="20"/>
    <x v="32"/>
    <n v="0.5"/>
    <n v="6.0000000000000009"/>
    <x v="2"/>
    <n v="6.0000000000000009"/>
  </r>
  <r>
    <x v="296"/>
    <x v="3"/>
    <x v="15"/>
    <x v="7"/>
    <x v="1"/>
    <m/>
    <n v="4.5"/>
    <x v="2"/>
    <n v="4.5"/>
  </r>
  <r>
    <x v="297"/>
    <x v="2"/>
    <x v="4"/>
    <x v="12"/>
    <x v="17"/>
    <n v="1"/>
    <n v="7"/>
    <x v="2"/>
    <n v="7"/>
  </r>
  <r>
    <x v="297"/>
    <x v="5"/>
    <x v="29"/>
    <x v="22"/>
    <x v="7"/>
    <m/>
    <n v="5.0000000000000009"/>
    <x v="2"/>
    <n v="5.0000000000000009"/>
  </r>
  <r>
    <x v="297"/>
    <x v="3"/>
    <x v="18"/>
    <x v="12"/>
    <x v="24"/>
    <n v="0.5"/>
    <n v="5.5"/>
    <x v="2"/>
    <n v="5.5"/>
  </r>
  <r>
    <x v="298"/>
    <x v="0"/>
    <x v="2"/>
    <x v="0"/>
    <x v="12"/>
    <n v="0.5"/>
    <m/>
    <x v="11"/>
    <n v="3.5000000000000018"/>
  </r>
  <r>
    <x v="298"/>
    <x v="2"/>
    <x v="19"/>
    <x v="16"/>
    <x v="2"/>
    <m/>
    <n v="5"/>
    <x v="2"/>
    <n v="5"/>
  </r>
  <r>
    <x v="299"/>
    <x v="1"/>
    <x v="12"/>
    <x v="1"/>
    <x v="32"/>
    <n v="0.5"/>
    <n v="8"/>
    <x v="2"/>
    <n v="8"/>
  </r>
  <r>
    <x v="299"/>
    <x v="0"/>
    <x v="2"/>
    <x v="0"/>
    <x v="12"/>
    <n v="0.5"/>
    <m/>
    <x v="11"/>
    <n v="3.5000000000000018"/>
  </r>
  <r>
    <x v="300"/>
    <x v="4"/>
    <x v="14"/>
    <x v="5"/>
    <x v="38"/>
    <n v="0.5"/>
    <n v="6.9999999999999991"/>
    <x v="2"/>
    <n v="6.9999999999999991"/>
  </r>
  <r>
    <x v="300"/>
    <x v="0"/>
    <x v="1"/>
    <x v="14"/>
    <x v="38"/>
    <n v="0.5"/>
    <m/>
    <x v="27"/>
    <n v="2.9999999999999991"/>
  </r>
  <r>
    <x v="301"/>
    <x v="2"/>
    <x v="19"/>
    <x v="1"/>
    <x v="52"/>
    <m/>
    <n v="6.0000000000000018"/>
    <x v="2"/>
    <n v="6.0000000000000018"/>
  </r>
  <r>
    <x v="301"/>
    <x v="0"/>
    <x v="2"/>
    <x v="0"/>
    <x v="12"/>
    <n v="0.5"/>
    <m/>
    <x v="11"/>
    <n v="3.5000000000000018"/>
  </r>
  <r>
    <x v="302"/>
    <x v="0"/>
    <x v="2"/>
    <x v="17"/>
    <x v="36"/>
    <m/>
    <m/>
    <x v="9"/>
    <n v="5"/>
  </r>
  <r>
    <x v="302"/>
    <x v="3"/>
    <x v="27"/>
    <x v="29"/>
    <x v="39"/>
    <m/>
    <n v="3.5000000000000009"/>
    <x v="2"/>
    <n v="3.5000000000000009"/>
  </r>
  <r>
    <x v="302"/>
    <x v="6"/>
    <x v="10"/>
    <x v="22"/>
    <x v="45"/>
    <n v="0.5"/>
    <n v="5.0000000000000018"/>
    <x v="2"/>
    <n v="5.0000000000000018"/>
  </r>
  <r>
    <x v="302"/>
    <x v="1"/>
    <x v="17"/>
    <x v="20"/>
    <x v="32"/>
    <n v="0.5"/>
    <n v="6.0000000000000009"/>
    <x v="2"/>
    <n v="6.0000000000000009"/>
  </r>
  <r>
    <x v="302"/>
    <x v="3"/>
    <x v="10"/>
    <x v="19"/>
    <x v="23"/>
    <n v="0.5"/>
    <n v="6.5000000000000018"/>
    <x v="2"/>
    <n v="6.5000000000000018"/>
  </r>
  <r>
    <x v="303"/>
    <x v="8"/>
    <x v="4"/>
    <x v="26"/>
    <x v="26"/>
    <n v="0.5"/>
    <n v="6"/>
    <x v="2"/>
    <n v="6"/>
  </r>
  <r>
    <x v="303"/>
    <x v="3"/>
    <x v="12"/>
    <x v="21"/>
    <x v="9"/>
    <n v="1"/>
    <n v="7.5"/>
    <x v="2"/>
    <n v="7.5"/>
  </r>
  <r>
    <x v="303"/>
    <x v="2"/>
    <x v="1"/>
    <x v="7"/>
    <x v="24"/>
    <n v="0.5"/>
    <n v="5.5"/>
    <x v="2"/>
    <n v="5.5"/>
  </r>
  <r>
    <x v="303"/>
    <x v="2"/>
    <x v="10"/>
    <x v="6"/>
    <x v="52"/>
    <m/>
    <n v="4.0000000000000018"/>
    <x v="2"/>
    <n v="4.0000000000000018"/>
  </r>
  <r>
    <x v="304"/>
    <x v="0"/>
    <x v="2"/>
    <x v="0"/>
    <x v="12"/>
    <n v="0.5"/>
    <m/>
    <x v="11"/>
    <n v="3.5000000000000018"/>
  </r>
  <r>
    <x v="304"/>
    <x v="1"/>
    <x v="1"/>
    <x v="5"/>
    <x v="30"/>
    <m/>
    <n v="6.9999999999999982"/>
    <x v="2"/>
    <n v="6.9999999999999982"/>
  </r>
  <r>
    <x v="305"/>
    <x v="2"/>
    <x v="19"/>
    <x v="16"/>
    <x v="2"/>
    <m/>
    <n v="5"/>
    <x v="2"/>
    <n v="5"/>
  </r>
  <r>
    <x v="305"/>
    <x v="0"/>
    <x v="2"/>
    <x v="0"/>
    <x v="12"/>
    <n v="0.5"/>
    <m/>
    <x v="11"/>
    <n v="3.5000000000000018"/>
  </r>
  <r>
    <x v="306"/>
    <x v="0"/>
    <x v="2"/>
    <x v="0"/>
    <x v="12"/>
    <n v="0.5"/>
    <m/>
    <x v="11"/>
    <n v="3.5000000000000018"/>
  </r>
  <r>
    <x v="306"/>
    <x v="1"/>
    <x v="12"/>
    <x v="1"/>
    <x v="32"/>
    <n v="0.5"/>
    <n v="8"/>
    <x v="2"/>
    <n v="8"/>
  </r>
  <r>
    <x v="307"/>
    <x v="0"/>
    <x v="2"/>
    <x v="0"/>
    <x v="12"/>
    <n v="0.5"/>
    <m/>
    <x v="11"/>
    <n v="3.5000000000000018"/>
  </r>
  <r>
    <x v="307"/>
    <x v="0"/>
    <x v="15"/>
    <x v="5"/>
    <x v="19"/>
    <m/>
    <m/>
    <x v="7"/>
    <n v="1.4999999999999982"/>
  </r>
  <r>
    <x v="308"/>
    <x v="0"/>
    <x v="2"/>
    <x v="0"/>
    <x v="12"/>
    <n v="0.5"/>
    <m/>
    <x v="11"/>
    <n v="3.5000000000000018"/>
  </r>
  <r>
    <x v="308"/>
    <x v="0"/>
    <x v="14"/>
    <x v="22"/>
    <x v="31"/>
    <m/>
    <m/>
    <x v="28"/>
    <n v="8.8817841970012523E-16"/>
  </r>
  <r>
    <x v="309"/>
    <x v="0"/>
    <x v="2"/>
    <x v="17"/>
    <x v="36"/>
    <m/>
    <m/>
    <x v="9"/>
    <n v="5"/>
  </r>
  <r>
    <x v="309"/>
    <x v="3"/>
    <x v="27"/>
    <x v="29"/>
    <x v="39"/>
    <m/>
    <n v="3.5000000000000009"/>
    <x v="2"/>
    <n v="3.5000000000000009"/>
  </r>
  <r>
    <x v="309"/>
    <x v="2"/>
    <x v="24"/>
    <x v="15"/>
    <x v="24"/>
    <n v="0.5"/>
    <n v="5.5"/>
    <x v="2"/>
    <n v="5.5"/>
  </r>
  <r>
    <x v="309"/>
    <x v="5"/>
    <x v="19"/>
    <x v="5"/>
    <x v="1"/>
    <m/>
    <n v="4.5"/>
    <x v="2"/>
    <n v="4.5"/>
  </r>
  <r>
    <x v="309"/>
    <x v="1"/>
    <x v="2"/>
    <x v="3"/>
    <x v="3"/>
    <m/>
    <n v="4"/>
    <x v="2"/>
    <n v="4"/>
  </r>
  <r>
    <x v="309"/>
    <x v="6"/>
    <x v="2"/>
    <x v="17"/>
    <x v="36"/>
    <m/>
    <n v="5"/>
    <x v="2"/>
    <n v="5"/>
  </r>
  <r>
    <x v="309"/>
    <x v="2"/>
    <x v="29"/>
    <x v="10"/>
    <x v="38"/>
    <n v="0.5"/>
    <n v="4.9999999999999991"/>
    <x v="2"/>
    <n v="4.9999999999999991"/>
  </r>
  <r>
    <x v="309"/>
    <x v="6"/>
    <x v="10"/>
    <x v="9"/>
    <x v="1"/>
    <m/>
    <n v="4.5"/>
    <x v="2"/>
    <n v="4.5"/>
  </r>
  <r>
    <x v="310"/>
    <x v="8"/>
    <x v="4"/>
    <x v="6"/>
    <x v="6"/>
    <n v="0.5"/>
    <n v="6.5"/>
    <x v="2"/>
    <n v="6.5"/>
  </r>
  <r>
    <x v="310"/>
    <x v="2"/>
    <x v="14"/>
    <x v="21"/>
    <x v="15"/>
    <n v="0.5"/>
    <n v="6.4999999999999991"/>
    <x v="2"/>
    <n v="6.4999999999999991"/>
  </r>
  <r>
    <x v="310"/>
    <x v="3"/>
    <x v="4"/>
    <x v="9"/>
    <x v="5"/>
    <m/>
    <n v="7.4999999999999982"/>
    <x v="2"/>
    <n v="7.4999999999999982"/>
  </r>
  <r>
    <x v="311"/>
    <x v="0"/>
    <x v="2"/>
    <x v="0"/>
    <x v="59"/>
    <m/>
    <m/>
    <x v="29"/>
    <n v="4.0000000000000018"/>
  </r>
  <r>
    <x v="312"/>
    <x v="0"/>
    <x v="2"/>
    <x v="0"/>
    <x v="59"/>
    <m/>
    <m/>
    <x v="29"/>
    <n v="4.0000000000000018"/>
  </r>
  <r>
    <x v="313"/>
    <x v="0"/>
    <x v="2"/>
    <x v="0"/>
    <x v="59"/>
    <m/>
    <m/>
    <x v="29"/>
    <n v="4.0000000000000018"/>
  </r>
  <r>
    <x v="313"/>
    <x v="1"/>
    <x v="20"/>
    <x v="1"/>
    <x v="53"/>
    <m/>
    <n v="9.0000000000000018"/>
    <x v="2"/>
    <n v="9.0000000000000018"/>
  </r>
  <r>
    <x v="314"/>
    <x v="0"/>
    <x v="2"/>
    <x v="17"/>
    <x v="36"/>
    <m/>
    <m/>
    <x v="9"/>
    <n v="5"/>
  </r>
  <r>
    <x v="314"/>
    <x v="3"/>
    <x v="3"/>
    <x v="5"/>
    <x v="48"/>
    <m/>
    <n v="7.9999999999999982"/>
    <x v="2"/>
    <n v="7.9999999999999982"/>
  </r>
  <r>
    <x v="314"/>
    <x v="2"/>
    <x v="10"/>
    <x v="13"/>
    <x v="14"/>
    <m/>
    <n v="8"/>
    <x v="2"/>
    <n v="8"/>
  </r>
  <r>
    <x v="315"/>
    <x v="0"/>
    <x v="2"/>
    <x v="0"/>
    <x v="12"/>
    <n v="0.5"/>
    <m/>
    <x v="11"/>
    <n v="3.5000000000000018"/>
  </r>
  <r>
    <x v="315"/>
    <x v="1"/>
    <x v="1"/>
    <x v="10"/>
    <x v="60"/>
    <m/>
    <n v="3.9999999999999982"/>
    <x v="2"/>
    <n v="3.9999999999999982"/>
  </r>
  <r>
    <x v="316"/>
    <x v="2"/>
    <x v="19"/>
    <x v="16"/>
    <x v="2"/>
    <m/>
    <n v="5"/>
    <x v="2"/>
    <n v="5"/>
  </r>
  <r>
    <x v="316"/>
    <x v="0"/>
    <x v="2"/>
    <x v="0"/>
    <x v="12"/>
    <n v="0.5"/>
    <m/>
    <x v="11"/>
    <n v="3.5000000000000018"/>
  </r>
  <r>
    <x v="317"/>
    <x v="0"/>
    <x v="1"/>
    <x v="5"/>
    <x v="30"/>
    <m/>
    <m/>
    <x v="30"/>
    <n v="2.9999999999999982"/>
  </r>
  <r>
    <x v="317"/>
    <x v="0"/>
    <x v="2"/>
    <x v="0"/>
    <x v="12"/>
    <n v="0.5"/>
    <m/>
    <x v="11"/>
    <n v="3.5000000000000018"/>
  </r>
  <r>
    <x v="318"/>
    <x v="0"/>
    <x v="2"/>
    <x v="0"/>
    <x v="12"/>
    <n v="0.5"/>
    <m/>
    <x v="11"/>
    <n v="3.5000000000000018"/>
  </r>
  <r>
    <x v="318"/>
    <x v="6"/>
    <x v="15"/>
    <x v="14"/>
    <x v="13"/>
    <m/>
    <n v="5.9999999999999991"/>
    <x v="2"/>
    <n v="5.9999999999999991"/>
  </r>
  <r>
    <x v="319"/>
    <x v="2"/>
    <x v="18"/>
    <x v="11"/>
    <x v="13"/>
    <m/>
    <n v="5.9999999999999991"/>
    <x v="2"/>
    <n v="5.9999999999999991"/>
  </r>
  <r>
    <x v="319"/>
    <x v="0"/>
    <x v="2"/>
    <x v="0"/>
    <x v="12"/>
    <n v="0.5"/>
    <m/>
    <x v="11"/>
    <n v="3.5000000000000018"/>
  </r>
  <r>
    <x v="319"/>
    <x v="2"/>
    <x v="1"/>
    <x v="14"/>
    <x v="18"/>
    <m/>
    <n v="7.4999999999999991"/>
    <x v="2"/>
    <n v="7.4999999999999991"/>
  </r>
  <r>
    <x v="320"/>
    <x v="0"/>
    <x v="2"/>
    <x v="17"/>
    <x v="36"/>
    <m/>
    <m/>
    <x v="9"/>
    <n v="5"/>
  </r>
  <r>
    <x v="320"/>
    <x v="5"/>
    <x v="15"/>
    <x v="7"/>
    <x v="1"/>
    <m/>
    <n v="4.5"/>
    <x v="2"/>
    <n v="4.5"/>
  </r>
  <r>
    <x v="320"/>
    <x v="5"/>
    <x v="12"/>
    <x v="22"/>
    <x v="39"/>
    <m/>
    <n v="3.5000000000000009"/>
    <x v="2"/>
    <n v="3.5000000000000009"/>
  </r>
  <r>
    <x v="320"/>
    <x v="0"/>
    <x v="10"/>
    <x v="12"/>
    <x v="7"/>
    <m/>
    <m/>
    <x v="31"/>
    <n v="5.0000000000000009"/>
  </r>
  <r>
    <x v="320"/>
    <x v="1"/>
    <x v="17"/>
    <x v="3"/>
    <x v="2"/>
    <m/>
    <n v="3"/>
    <x v="2"/>
    <n v="3"/>
  </r>
  <r>
    <x v="320"/>
    <x v="6"/>
    <x v="17"/>
    <x v="0"/>
    <x v="7"/>
    <m/>
    <n v="5.0000000000000009"/>
    <x v="2"/>
    <n v="5.0000000000000009"/>
  </r>
  <r>
    <x v="321"/>
    <x v="2"/>
    <x v="2"/>
    <x v="17"/>
    <x v="36"/>
    <m/>
    <n v="5"/>
    <x v="2"/>
    <n v="5"/>
  </r>
  <r>
    <x v="321"/>
    <x v="3"/>
    <x v="10"/>
    <x v="22"/>
    <x v="45"/>
    <n v="0.5"/>
    <n v="5.0000000000000018"/>
    <x v="2"/>
    <n v="5.0000000000000018"/>
  </r>
  <r>
    <x v="321"/>
    <x v="2"/>
    <x v="10"/>
    <x v="5"/>
    <x v="14"/>
    <n v="1"/>
    <n v="8"/>
    <x v="2"/>
    <n v="8"/>
  </r>
  <r>
    <x v="322"/>
    <x v="0"/>
    <x v="2"/>
    <x v="0"/>
    <x v="12"/>
    <n v="0.5"/>
    <m/>
    <x v="11"/>
    <n v="3.5000000000000018"/>
  </r>
  <r>
    <x v="322"/>
    <x v="1"/>
    <x v="1"/>
    <x v="10"/>
    <x v="60"/>
    <m/>
    <n v="3.9999999999999982"/>
    <x v="2"/>
    <n v="3.9999999999999982"/>
  </r>
  <r>
    <x v="323"/>
    <x v="0"/>
    <x v="2"/>
    <x v="28"/>
    <x v="26"/>
    <n v="0.5"/>
    <m/>
    <x v="3"/>
    <n v="4"/>
  </r>
  <r>
    <x v="323"/>
    <x v="2"/>
    <x v="19"/>
    <x v="16"/>
    <x v="2"/>
    <m/>
    <n v="5"/>
    <x v="2"/>
    <n v="5"/>
  </r>
  <r>
    <x v="324"/>
    <x v="1"/>
    <x v="1"/>
    <x v="1"/>
    <x v="1"/>
    <m/>
    <n v="6.5"/>
    <x v="2"/>
    <n v="6.5"/>
  </r>
  <r>
    <x v="324"/>
    <x v="0"/>
    <x v="2"/>
    <x v="0"/>
    <x v="12"/>
    <n v="0.5"/>
    <m/>
    <x v="11"/>
    <n v="3.5000000000000018"/>
  </r>
  <r>
    <x v="325"/>
    <x v="0"/>
    <x v="5"/>
    <x v="7"/>
    <x v="7"/>
    <m/>
    <m/>
    <x v="4"/>
    <n v="3.0000000000000009"/>
  </r>
  <r>
    <x v="325"/>
    <x v="1"/>
    <x v="18"/>
    <x v="11"/>
    <x v="13"/>
    <m/>
    <n v="5.9999999999999991"/>
    <x v="2"/>
    <n v="5.9999999999999991"/>
  </r>
  <r>
    <x v="325"/>
    <x v="0"/>
    <x v="2"/>
    <x v="0"/>
    <x v="12"/>
    <n v="0.5"/>
    <m/>
    <x v="11"/>
    <n v="3.5000000000000018"/>
  </r>
  <r>
    <x v="326"/>
    <x v="0"/>
    <x v="21"/>
    <x v="1"/>
    <x v="24"/>
    <n v="0.5"/>
    <m/>
    <x v="13"/>
    <n v="3.5"/>
  </r>
  <r>
    <x v="326"/>
    <x v="2"/>
    <x v="21"/>
    <x v="5"/>
    <x v="11"/>
    <n v="0.5"/>
    <n v="7.9999999999999982"/>
    <x v="2"/>
    <n v="7.9999999999999982"/>
  </r>
  <r>
    <x v="326"/>
    <x v="0"/>
    <x v="2"/>
    <x v="0"/>
    <x v="12"/>
    <n v="0.5"/>
    <m/>
    <x v="11"/>
    <n v="3.5000000000000018"/>
  </r>
  <r>
    <x v="327"/>
    <x v="6"/>
    <x v="17"/>
    <x v="0"/>
    <x v="7"/>
    <m/>
    <n v="5.0000000000000009"/>
    <x v="2"/>
    <n v="5.0000000000000009"/>
  </r>
  <r>
    <x v="327"/>
    <x v="1"/>
    <x v="17"/>
    <x v="3"/>
    <x v="2"/>
    <m/>
    <n v="3"/>
    <x v="2"/>
    <n v="3"/>
  </r>
  <r>
    <x v="327"/>
    <x v="2"/>
    <x v="4"/>
    <x v="11"/>
    <x v="35"/>
    <n v="0.5"/>
    <n v="5.4999999999999982"/>
    <x v="2"/>
    <n v="5.4999999999999982"/>
  </r>
  <r>
    <x v="327"/>
    <x v="3"/>
    <x v="3"/>
    <x v="18"/>
    <x v="38"/>
    <n v="0.5"/>
    <n v="4.9999999999999991"/>
    <x v="2"/>
    <n v="4.9999999999999991"/>
  </r>
  <r>
    <x v="327"/>
    <x v="3"/>
    <x v="30"/>
    <x v="15"/>
    <x v="38"/>
    <n v="0.5"/>
    <n v="4.9999999999999991"/>
    <x v="2"/>
    <n v="4.9999999999999991"/>
  </r>
  <r>
    <x v="327"/>
    <x v="0"/>
    <x v="2"/>
    <x v="17"/>
    <x v="36"/>
    <m/>
    <m/>
    <x v="9"/>
    <n v="5"/>
  </r>
  <r>
    <x v="328"/>
    <x v="5"/>
    <x v="6"/>
    <x v="28"/>
    <x v="36"/>
    <m/>
    <n v="5"/>
    <x v="2"/>
    <n v="5"/>
  </r>
  <r>
    <x v="328"/>
    <x v="2"/>
    <x v="17"/>
    <x v="25"/>
    <x v="36"/>
    <n v="1"/>
    <n v="5"/>
    <x v="2"/>
    <n v="5"/>
  </r>
  <r>
    <x v="328"/>
    <x v="2"/>
    <x v="12"/>
    <x v="5"/>
    <x v="15"/>
    <n v="0.5"/>
    <n v="6.4999999999999991"/>
    <x v="2"/>
    <n v="6.4999999999999991"/>
  </r>
  <r>
    <x v="328"/>
    <x v="3"/>
    <x v="7"/>
    <x v="10"/>
    <x v="9"/>
    <n v="0.5"/>
    <n v="7.5"/>
    <x v="2"/>
    <n v="7.5"/>
  </r>
  <r>
    <x v="329"/>
    <x v="1"/>
    <x v="4"/>
    <x v="11"/>
    <x v="11"/>
    <m/>
    <n v="7.9999999999999982"/>
    <x v="2"/>
    <n v="7.9999999999999982"/>
  </r>
  <r>
    <x v="329"/>
    <x v="1"/>
    <x v="1"/>
    <x v="10"/>
    <x v="60"/>
    <m/>
    <n v="3.9999999999999982"/>
    <x v="2"/>
    <n v="3.9999999999999982"/>
  </r>
  <r>
    <x v="329"/>
    <x v="0"/>
    <x v="2"/>
    <x v="0"/>
    <x v="12"/>
    <n v="0.5"/>
    <m/>
    <x v="11"/>
    <n v="3.5000000000000018"/>
  </r>
  <r>
    <x v="330"/>
    <x v="2"/>
    <x v="19"/>
    <x v="16"/>
    <x v="2"/>
    <m/>
    <n v="5"/>
    <x v="2"/>
    <n v="5"/>
  </r>
  <r>
    <x v="330"/>
    <x v="0"/>
    <x v="2"/>
    <x v="0"/>
    <x v="12"/>
    <n v="0.5"/>
    <m/>
    <x v="11"/>
    <n v="3.5000000000000018"/>
  </r>
  <r>
    <x v="331"/>
    <x v="1"/>
    <x v="1"/>
    <x v="1"/>
    <x v="1"/>
    <m/>
    <n v="6.5"/>
    <x v="2"/>
    <n v="6.5"/>
  </r>
  <r>
    <x v="331"/>
    <x v="0"/>
    <x v="2"/>
    <x v="0"/>
    <x v="12"/>
    <n v="0.5"/>
    <m/>
    <x v="11"/>
    <n v="3.5000000000000018"/>
  </r>
  <r>
    <x v="332"/>
    <x v="0"/>
    <x v="24"/>
    <x v="5"/>
    <x v="2"/>
    <m/>
    <m/>
    <x v="25"/>
    <n v="1"/>
  </r>
  <r>
    <x v="332"/>
    <x v="0"/>
    <x v="2"/>
    <x v="0"/>
    <x v="12"/>
    <n v="0.5"/>
    <m/>
    <x v="11"/>
    <n v="3.5000000000000018"/>
  </r>
  <r>
    <x v="333"/>
    <x v="0"/>
    <x v="2"/>
    <x v="0"/>
    <x v="12"/>
    <n v="0.5"/>
    <m/>
    <x v="11"/>
    <n v="3.5000000000000018"/>
  </r>
  <r>
    <x v="334"/>
    <x v="3"/>
    <x v="10"/>
    <x v="19"/>
    <x v="23"/>
    <n v="0.5"/>
    <n v="6.5000000000000018"/>
    <x v="2"/>
    <n v="6.5000000000000018"/>
  </r>
  <r>
    <x v="334"/>
    <x v="0"/>
    <x v="2"/>
    <x v="17"/>
    <x v="36"/>
    <m/>
    <m/>
    <x v="9"/>
    <n v="5"/>
  </r>
  <r>
    <x v="27"/>
    <x v="13"/>
    <x v="17"/>
    <x v="0"/>
    <x v="7"/>
    <m/>
    <n v="7.0000000000000009"/>
    <x v="2"/>
    <n v="7.0000000000000009"/>
  </r>
  <r>
    <x v="27"/>
    <x v="13"/>
    <x v="17"/>
    <x v="0"/>
    <x v="7"/>
    <m/>
    <n v="7.0000000000000009"/>
    <x v="2"/>
    <n v="7.0000000000000009"/>
  </r>
  <r>
    <x v="28"/>
    <x v="13"/>
    <x v="17"/>
    <x v="11"/>
    <x v="15"/>
    <n v="0.5"/>
    <n v="8.5"/>
    <x v="2"/>
    <n v="8.5"/>
  </r>
  <r>
    <x v="28"/>
    <x v="13"/>
    <x v="17"/>
    <x v="11"/>
    <x v="15"/>
    <n v="0.5"/>
    <n v="8.5"/>
    <x v="2"/>
    <n v="8.5"/>
  </r>
  <r>
    <x v="29"/>
    <x v="13"/>
    <x v="7"/>
    <x v="25"/>
    <x v="3"/>
    <m/>
    <n v="6"/>
    <x v="2"/>
    <n v="6"/>
  </r>
  <r>
    <x v="29"/>
    <x v="13"/>
    <x v="7"/>
    <x v="25"/>
    <x v="3"/>
    <m/>
    <n v="6"/>
    <x v="2"/>
    <n v="6"/>
  </r>
  <r>
    <x v="29"/>
    <x v="13"/>
    <x v="9"/>
    <x v="1"/>
    <x v="12"/>
    <m/>
    <n v="7.5000000000000018"/>
    <x v="32"/>
    <n v="7.5000000000000018"/>
  </r>
  <r>
    <x v="29"/>
    <x v="13"/>
    <x v="9"/>
    <x v="1"/>
    <x v="12"/>
    <m/>
    <n v="7.5000000000000018"/>
    <x v="32"/>
    <n v="7.5000000000000018"/>
  </r>
  <r>
    <x v="30"/>
    <x v="13"/>
    <x v="17"/>
    <x v="25"/>
    <x v="24"/>
    <n v="0.5"/>
    <n v="7.5"/>
    <x v="2"/>
    <n v="7.5"/>
  </r>
  <r>
    <x v="335"/>
    <x v="13"/>
    <x v="3"/>
    <x v="5"/>
    <x v="5"/>
    <n v="0.5"/>
    <n v="7.4999999999999982"/>
    <x v="2"/>
    <n v="7.4999999999999982"/>
  </r>
  <r>
    <x v="335"/>
    <x v="13"/>
    <x v="3"/>
    <x v="5"/>
    <x v="5"/>
    <n v="0.5"/>
    <n v="7.4999999999999982"/>
    <x v="2"/>
    <n v="7.4999999999999982"/>
  </r>
  <r>
    <x v="335"/>
    <x v="13"/>
    <x v="3"/>
    <x v="5"/>
    <x v="5"/>
    <n v="0.5"/>
    <n v="7.4999999999999982"/>
    <x v="2"/>
    <n v="7.4999999999999982"/>
  </r>
  <r>
    <x v="335"/>
    <x v="13"/>
    <x v="3"/>
    <x v="5"/>
    <x v="5"/>
    <n v="0.5"/>
    <n v="7.4999999999999982"/>
    <x v="2"/>
    <n v="7.4999999999999982"/>
  </r>
  <r>
    <x v="335"/>
    <x v="13"/>
    <x v="3"/>
    <x v="5"/>
    <x v="5"/>
    <n v="0.5"/>
    <n v="7.4999999999999982"/>
    <x v="2"/>
    <n v="7.4999999999999982"/>
  </r>
  <r>
    <x v="335"/>
    <x v="13"/>
    <x v="3"/>
    <x v="5"/>
    <x v="5"/>
    <n v="0.5"/>
    <n v="7.4999999999999982"/>
    <x v="2"/>
    <n v="7.4999999999999982"/>
  </r>
  <r>
    <x v="336"/>
    <x v="13"/>
    <x v="4"/>
    <x v="11"/>
    <x v="35"/>
    <n v="0.5"/>
    <n v="5.4999999999999982"/>
    <x v="2"/>
    <n v="5.4999999999999982"/>
  </r>
  <r>
    <x v="336"/>
    <x v="13"/>
    <x v="4"/>
    <x v="11"/>
    <x v="35"/>
    <n v="0.5"/>
    <n v="5.4999999999999982"/>
    <x v="2"/>
    <n v="5.4999999999999982"/>
  </r>
  <r>
    <x v="337"/>
    <x v="13"/>
    <x v="2"/>
    <x v="6"/>
    <x v="20"/>
    <n v="1"/>
    <n v="10.000000000000002"/>
    <x v="2"/>
    <n v="10.000000000000002"/>
  </r>
  <r>
    <x v="338"/>
    <x v="13"/>
    <x v="4"/>
    <x v="11"/>
    <x v="35"/>
    <n v="0.5"/>
    <n v="5.4999999999999982"/>
    <x v="2"/>
    <n v="5.4999999999999982"/>
  </r>
  <r>
    <x v="338"/>
    <x v="13"/>
    <x v="4"/>
    <x v="11"/>
    <x v="35"/>
    <n v="0.5"/>
    <n v="5.4999999999999982"/>
    <x v="2"/>
    <n v="5.4999999999999982"/>
  </r>
  <r>
    <x v="338"/>
    <x v="13"/>
    <x v="4"/>
    <x v="17"/>
    <x v="56"/>
    <m/>
    <n v="2.9999999999999987"/>
    <x v="2"/>
    <n v="2.9999999999999987"/>
  </r>
  <r>
    <x v="64"/>
    <x v="13"/>
    <x v="4"/>
    <x v="25"/>
    <x v="36"/>
    <m/>
    <n v="7"/>
    <x v="2"/>
    <n v="7"/>
  </r>
  <r>
    <x v="64"/>
    <x v="13"/>
    <x v="4"/>
    <x v="25"/>
    <x v="36"/>
    <m/>
    <n v="7"/>
    <x v="2"/>
    <n v="7"/>
  </r>
  <r>
    <x v="65"/>
    <x v="13"/>
    <x v="4"/>
    <x v="25"/>
    <x v="36"/>
    <m/>
    <n v="7"/>
    <x v="2"/>
    <n v="7"/>
  </r>
  <r>
    <x v="65"/>
    <x v="13"/>
    <x v="4"/>
    <x v="25"/>
    <x v="36"/>
    <m/>
    <n v="7"/>
    <x v="2"/>
    <n v="7"/>
  </r>
  <r>
    <x v="69"/>
    <x v="13"/>
    <x v="11"/>
    <x v="11"/>
    <x v="48"/>
    <n v="1"/>
    <n v="7.9999999999999982"/>
    <x v="2"/>
    <n v="7.9999999999999982"/>
  </r>
  <r>
    <x v="69"/>
    <x v="13"/>
    <x v="11"/>
    <x v="3"/>
    <x v="36"/>
    <m/>
    <n v="5"/>
    <x v="2"/>
    <n v="5"/>
  </r>
  <r>
    <x v="69"/>
    <x v="13"/>
    <x v="11"/>
    <x v="3"/>
    <x v="36"/>
    <m/>
    <n v="5"/>
    <x v="2"/>
    <n v="5"/>
  </r>
  <r>
    <x v="69"/>
    <x v="13"/>
    <x v="11"/>
    <x v="29"/>
    <x v="2"/>
    <m/>
    <n v="3"/>
    <x v="2"/>
    <n v="3"/>
  </r>
  <r>
    <x v="69"/>
    <x v="13"/>
    <x v="18"/>
    <x v="11"/>
    <x v="13"/>
    <m/>
    <n v="3.9999999999999991"/>
    <x v="2"/>
    <n v="3.9999999999999991"/>
  </r>
  <r>
    <x v="69"/>
    <x v="13"/>
    <x v="18"/>
    <x v="11"/>
    <x v="13"/>
    <m/>
    <n v="3.9999999999999991"/>
    <x v="2"/>
    <n v="3.9999999999999991"/>
  </r>
  <r>
    <x v="76"/>
    <x v="13"/>
    <x v="2"/>
    <x v="25"/>
    <x v="6"/>
    <n v="0.5"/>
    <n v="6.5"/>
    <x v="2"/>
    <n v="6.5"/>
  </r>
  <r>
    <x v="76"/>
    <x v="13"/>
    <x v="2"/>
    <x v="25"/>
    <x v="6"/>
    <n v="0.5"/>
    <n v="6.5"/>
    <x v="2"/>
    <n v="6.5"/>
  </r>
  <r>
    <x v="76"/>
    <x v="13"/>
    <x v="2"/>
    <x v="25"/>
    <x v="6"/>
    <n v="0.5"/>
    <n v="6.5"/>
    <x v="2"/>
    <n v="6.5"/>
  </r>
  <r>
    <x v="76"/>
    <x v="13"/>
    <x v="2"/>
    <x v="25"/>
    <x v="6"/>
    <n v="0.5"/>
    <n v="6.5"/>
    <x v="2"/>
    <n v="6.5"/>
  </r>
  <r>
    <x v="96"/>
    <x v="13"/>
    <x v="7"/>
    <x v="9"/>
    <x v="26"/>
    <n v="0.5"/>
    <n v="6"/>
    <x v="2"/>
    <n v="6"/>
  </r>
  <r>
    <x v="101"/>
    <x v="13"/>
    <x v="27"/>
    <x v="0"/>
    <x v="53"/>
    <n v="0.5"/>
    <n v="7.0000000000000018"/>
    <x v="2"/>
    <n v="7.0000000000000018"/>
  </r>
  <r>
    <x v="101"/>
    <x v="13"/>
    <x v="11"/>
    <x v="0"/>
    <x v="6"/>
    <n v="0.5"/>
    <n v="6.5"/>
    <x v="2"/>
    <n v="6.5"/>
  </r>
  <r>
    <x v="106"/>
    <x v="13"/>
    <x v="9"/>
    <x v="1"/>
    <x v="12"/>
    <m/>
    <n v="7.5000000000000018"/>
    <x v="2"/>
    <n v="7.5000000000000018"/>
  </r>
  <r>
    <x v="126"/>
    <x v="13"/>
    <x v="17"/>
    <x v="17"/>
    <x v="13"/>
    <m/>
    <n v="5.9999999999999991"/>
    <x v="2"/>
    <n v="5.9999999999999991"/>
  </r>
  <r>
    <x v="126"/>
    <x v="13"/>
    <x v="17"/>
    <x v="17"/>
    <x v="13"/>
    <m/>
    <n v="5.9999999999999991"/>
    <x v="2"/>
    <n v="5.9999999999999991"/>
  </r>
  <r>
    <x v="126"/>
    <x v="13"/>
    <x v="22"/>
    <x v="29"/>
    <x v="3"/>
    <m/>
    <n v="6"/>
    <x v="2"/>
    <n v="6"/>
  </r>
  <r>
    <x v="132"/>
    <x v="13"/>
    <x v="4"/>
    <x v="0"/>
    <x v="3"/>
    <m/>
    <n v="6"/>
    <x v="2"/>
    <n v="6"/>
  </r>
  <r>
    <x v="132"/>
    <x v="13"/>
    <x v="4"/>
    <x v="0"/>
    <x v="3"/>
    <m/>
    <n v="6"/>
    <x v="2"/>
    <n v="6"/>
  </r>
  <r>
    <x v="132"/>
    <x v="13"/>
    <x v="4"/>
    <x v="0"/>
    <x v="3"/>
    <m/>
    <n v="6"/>
    <x v="2"/>
    <n v="6"/>
  </r>
  <r>
    <x v="133"/>
    <x v="13"/>
    <x v="18"/>
    <x v="6"/>
    <x v="7"/>
    <m/>
    <n v="7.0000000000000009"/>
    <x v="2"/>
    <n v="7.0000000000000009"/>
  </r>
  <r>
    <x v="133"/>
    <x v="13"/>
    <x v="1"/>
    <x v="5"/>
    <x v="30"/>
    <m/>
    <n v="6.9999999999999982"/>
    <x v="2"/>
    <n v="6.9999999999999982"/>
  </r>
  <r>
    <x v="133"/>
    <x v="13"/>
    <x v="24"/>
    <x v="5"/>
    <x v="2"/>
    <m/>
    <n v="5"/>
    <x v="2"/>
    <n v="5"/>
  </r>
  <r>
    <x v="133"/>
    <x v="13"/>
    <x v="18"/>
    <x v="25"/>
    <x v="2"/>
    <m/>
    <n v="5"/>
    <x v="2"/>
    <n v="5"/>
  </r>
  <r>
    <x v="134"/>
    <x v="13"/>
    <x v="17"/>
    <x v="23"/>
    <x v="1"/>
    <m/>
    <n v="6.5"/>
    <x v="2"/>
    <n v="6.5"/>
  </r>
  <r>
    <x v="134"/>
    <x v="13"/>
    <x v="17"/>
    <x v="17"/>
    <x v="13"/>
    <m/>
    <n v="5.9999999999999991"/>
    <x v="2"/>
    <n v="5.9999999999999991"/>
  </r>
  <r>
    <x v="134"/>
    <x v="13"/>
    <x v="18"/>
    <x v="25"/>
    <x v="2"/>
    <m/>
    <n v="5"/>
    <x v="2"/>
    <n v="5"/>
  </r>
  <r>
    <x v="135"/>
    <x v="13"/>
    <x v="17"/>
    <x v="0"/>
    <x v="7"/>
    <m/>
    <n v="5.0000000000000009"/>
    <x v="2"/>
    <n v="5.0000000000000009"/>
  </r>
  <r>
    <x v="135"/>
    <x v="13"/>
    <x v="17"/>
    <x v="0"/>
    <x v="7"/>
    <m/>
    <n v="5.0000000000000009"/>
    <x v="2"/>
    <n v="5.0000000000000009"/>
  </r>
  <r>
    <x v="135"/>
    <x v="13"/>
    <x v="17"/>
    <x v="0"/>
    <x v="7"/>
    <m/>
    <n v="5.0000000000000009"/>
    <x v="2"/>
    <n v="5.0000000000000009"/>
  </r>
  <r>
    <x v="339"/>
    <x v="13"/>
    <x v="27"/>
    <x v="2"/>
    <x v="1"/>
    <m/>
    <n v="6.5"/>
    <x v="2"/>
    <n v="6.5"/>
  </r>
  <r>
    <x v="339"/>
    <x v="13"/>
    <x v="27"/>
    <x v="2"/>
    <x v="1"/>
    <m/>
    <n v="6.5"/>
    <x v="2"/>
    <n v="6.5"/>
  </r>
  <r>
    <x v="339"/>
    <x v="13"/>
    <x v="4"/>
    <x v="25"/>
    <x v="36"/>
    <m/>
    <n v="7"/>
    <x v="2"/>
    <n v="7"/>
  </r>
  <r>
    <x v="339"/>
    <x v="13"/>
    <x v="4"/>
    <x v="25"/>
    <x v="36"/>
    <m/>
    <n v="7"/>
    <x v="2"/>
    <n v="7"/>
  </r>
  <r>
    <x v="147"/>
    <x v="13"/>
    <x v="12"/>
    <x v="19"/>
    <x v="7"/>
    <m/>
    <n v="7.0000000000000009"/>
    <x v="2"/>
    <n v="7.0000000000000009"/>
  </r>
  <r>
    <x v="147"/>
    <x v="13"/>
    <x v="12"/>
    <x v="19"/>
    <x v="7"/>
    <m/>
    <n v="7.0000000000000009"/>
    <x v="2"/>
    <n v="7.0000000000000009"/>
  </r>
  <r>
    <x v="147"/>
    <x v="13"/>
    <x v="12"/>
    <x v="19"/>
    <x v="7"/>
    <m/>
    <n v="7.0000000000000009"/>
    <x v="2"/>
    <n v="7.0000000000000009"/>
  </r>
  <r>
    <x v="148"/>
    <x v="13"/>
    <x v="18"/>
    <x v="11"/>
    <x v="13"/>
    <m/>
    <n v="3.9999999999999991"/>
    <x v="2"/>
    <n v="3.9999999999999991"/>
  </r>
  <r>
    <x v="148"/>
    <x v="13"/>
    <x v="18"/>
    <x v="11"/>
    <x v="13"/>
    <m/>
    <n v="3.9999999999999991"/>
    <x v="2"/>
    <n v="3.9999999999999991"/>
  </r>
  <r>
    <x v="148"/>
    <x v="13"/>
    <x v="9"/>
    <x v="7"/>
    <x v="23"/>
    <n v="0.5"/>
    <n v="6.5000000000000018"/>
    <x v="2"/>
    <n v="6.5000000000000018"/>
  </r>
  <r>
    <x v="148"/>
    <x v="13"/>
    <x v="9"/>
    <x v="7"/>
    <x v="23"/>
    <n v="0.5"/>
    <n v="6.5000000000000018"/>
    <x v="2"/>
    <n v="6.5000000000000018"/>
  </r>
  <r>
    <x v="149"/>
    <x v="13"/>
    <x v="22"/>
    <x v="17"/>
    <x v="15"/>
    <n v="0.5"/>
    <n v="6.4999999999999991"/>
    <x v="2"/>
    <n v="6.4999999999999991"/>
  </r>
  <r>
    <x v="149"/>
    <x v="13"/>
    <x v="22"/>
    <x v="17"/>
    <x v="15"/>
    <n v="0.5"/>
    <n v="6.4999999999999991"/>
    <x v="2"/>
    <n v="6.4999999999999991"/>
  </r>
  <r>
    <x v="151"/>
    <x v="13"/>
    <x v="9"/>
    <x v="18"/>
    <x v="39"/>
    <m/>
    <n v="5.5000000000000009"/>
    <x v="2"/>
    <n v="5.5000000000000009"/>
  </r>
  <r>
    <x v="154"/>
    <x v="13"/>
    <x v="7"/>
    <x v="6"/>
    <x v="12"/>
    <n v="0.5"/>
    <n v="7.5000000000000018"/>
    <x v="2"/>
    <n v="7.5000000000000018"/>
  </r>
  <r>
    <x v="154"/>
    <x v="13"/>
    <x v="25"/>
    <x v="20"/>
    <x v="3"/>
    <m/>
    <n v="6"/>
    <x v="2"/>
    <n v="6"/>
  </r>
  <r>
    <x v="154"/>
    <x v="13"/>
    <x v="1"/>
    <x v="21"/>
    <x v="11"/>
    <n v="0.5"/>
    <n v="7.9999999999999982"/>
    <x v="2"/>
    <n v="7.9999999999999982"/>
  </r>
  <r>
    <x v="155"/>
    <x v="13"/>
    <x v="17"/>
    <x v="0"/>
    <x v="7"/>
    <m/>
    <n v="5.0000000000000009"/>
    <x v="2"/>
    <n v="5.0000000000000009"/>
  </r>
  <r>
    <x v="155"/>
    <x v="13"/>
    <x v="17"/>
    <x v="0"/>
    <x v="7"/>
    <m/>
    <n v="5.0000000000000009"/>
    <x v="2"/>
    <n v="5.0000000000000009"/>
  </r>
  <r>
    <x v="167"/>
    <x v="13"/>
    <x v="12"/>
    <x v="16"/>
    <x v="18"/>
    <m/>
    <n v="7.4999999999999991"/>
    <x v="2"/>
    <n v="7.4999999999999991"/>
  </r>
  <r>
    <x v="167"/>
    <x v="13"/>
    <x v="12"/>
    <x v="16"/>
    <x v="18"/>
    <m/>
    <n v="7.4999999999999991"/>
    <x v="2"/>
    <n v="7.4999999999999991"/>
  </r>
  <r>
    <x v="168"/>
    <x v="13"/>
    <x v="15"/>
    <x v="8"/>
    <x v="18"/>
    <m/>
    <n v="7.4999999999999991"/>
    <x v="2"/>
    <n v="7.4999999999999991"/>
  </r>
  <r>
    <x v="168"/>
    <x v="13"/>
    <x v="30"/>
    <x v="7"/>
    <x v="39"/>
    <m/>
    <n v="5.5000000000000009"/>
    <x v="2"/>
    <n v="5.5000000000000009"/>
  </r>
  <r>
    <x v="170"/>
    <x v="13"/>
    <x v="4"/>
    <x v="11"/>
    <x v="35"/>
    <n v="0.5"/>
    <n v="7.4999999999999982"/>
    <x v="2"/>
    <n v="7.4999999999999982"/>
  </r>
  <r>
    <x v="170"/>
    <x v="13"/>
    <x v="4"/>
    <x v="11"/>
    <x v="35"/>
    <n v="0.5"/>
    <n v="7.4999999999999982"/>
    <x v="2"/>
    <n v="7.4999999999999982"/>
  </r>
  <r>
    <x v="171"/>
    <x v="13"/>
    <x v="4"/>
    <x v="11"/>
    <x v="35"/>
    <n v="0.5"/>
    <n v="7.4999999999999982"/>
    <x v="2"/>
    <n v="7.4999999999999982"/>
  </r>
  <r>
    <x v="171"/>
    <x v="13"/>
    <x v="4"/>
    <x v="11"/>
    <x v="35"/>
    <n v="0.5"/>
    <n v="7.4999999999999982"/>
    <x v="2"/>
    <n v="7.4999999999999982"/>
  </r>
  <r>
    <x v="172"/>
    <x v="13"/>
    <x v="4"/>
    <x v="11"/>
    <x v="35"/>
    <n v="0.5"/>
    <n v="7.4999999999999982"/>
    <x v="2"/>
    <n v="7.4999999999999982"/>
  </r>
  <r>
    <x v="172"/>
    <x v="13"/>
    <x v="4"/>
    <x v="11"/>
    <x v="35"/>
    <n v="0.5"/>
    <n v="7.4999999999999982"/>
    <x v="2"/>
    <n v="7.4999999999999982"/>
  </r>
  <r>
    <x v="172"/>
    <x v="13"/>
    <x v="4"/>
    <x v="11"/>
    <x v="35"/>
    <n v="0.5"/>
    <n v="7.4999999999999982"/>
    <x v="2"/>
    <n v="7.4999999999999982"/>
  </r>
  <r>
    <x v="172"/>
    <x v="13"/>
    <x v="4"/>
    <x v="0"/>
    <x v="3"/>
    <m/>
    <n v="6"/>
    <x v="2"/>
    <n v="6"/>
  </r>
  <r>
    <x v="340"/>
    <x v="13"/>
    <x v="2"/>
    <x v="19"/>
    <x v="42"/>
    <n v="1"/>
    <n v="13"/>
    <x v="2"/>
    <n v="13"/>
  </r>
  <r>
    <x v="340"/>
    <x v="13"/>
    <x v="2"/>
    <x v="11"/>
    <x v="9"/>
    <n v="0.5"/>
    <n v="9.5"/>
    <x v="2"/>
    <n v="9.5"/>
  </r>
  <r>
    <x v="340"/>
    <x v="13"/>
    <x v="2"/>
    <x v="8"/>
    <x v="44"/>
    <n v="1"/>
    <n v="17"/>
    <x v="2"/>
    <n v="17"/>
  </r>
  <r>
    <x v="340"/>
    <x v="13"/>
    <x v="2"/>
    <x v="8"/>
    <x v="44"/>
    <n v="1"/>
    <n v="17"/>
    <x v="2"/>
    <n v="17"/>
  </r>
  <r>
    <x v="340"/>
    <x v="13"/>
    <x v="2"/>
    <x v="8"/>
    <x v="44"/>
    <n v="1"/>
    <n v="17"/>
    <x v="2"/>
    <n v="17"/>
  </r>
  <r>
    <x v="340"/>
    <x v="13"/>
    <x v="2"/>
    <x v="8"/>
    <x v="44"/>
    <n v="1"/>
    <n v="17"/>
    <x v="2"/>
    <n v="17"/>
  </r>
  <r>
    <x v="340"/>
    <x v="13"/>
    <x v="2"/>
    <x v="8"/>
    <x v="44"/>
    <n v="1"/>
    <n v="17"/>
    <x v="2"/>
    <n v="17"/>
  </r>
  <r>
    <x v="340"/>
    <x v="13"/>
    <x v="2"/>
    <x v="8"/>
    <x v="44"/>
    <n v="1"/>
    <n v="17"/>
    <x v="2"/>
    <n v="17"/>
  </r>
  <r>
    <x v="340"/>
    <x v="13"/>
    <x v="2"/>
    <x v="8"/>
    <x v="44"/>
    <n v="1"/>
    <n v="17"/>
    <x v="2"/>
    <n v="17"/>
  </r>
  <r>
    <x v="340"/>
    <x v="13"/>
    <x v="2"/>
    <x v="8"/>
    <x v="44"/>
    <n v="1"/>
    <n v="17"/>
    <x v="2"/>
    <n v="17"/>
  </r>
  <r>
    <x v="340"/>
    <x v="13"/>
    <x v="2"/>
    <x v="8"/>
    <x v="44"/>
    <n v="1"/>
    <n v="17"/>
    <x v="2"/>
    <n v="17"/>
  </r>
  <r>
    <x v="340"/>
    <x v="13"/>
    <x v="2"/>
    <x v="8"/>
    <x v="44"/>
    <n v="1"/>
    <n v="17"/>
    <x v="2"/>
    <n v="17"/>
  </r>
  <r>
    <x v="340"/>
    <x v="13"/>
    <x v="2"/>
    <x v="8"/>
    <x v="44"/>
    <n v="1"/>
    <n v="17"/>
    <x v="2"/>
    <n v="17"/>
  </r>
  <r>
    <x v="173"/>
    <x v="13"/>
    <x v="4"/>
    <x v="11"/>
    <x v="35"/>
    <n v="0.5"/>
    <n v="7.4999999999999982"/>
    <x v="2"/>
    <n v="7.4999999999999982"/>
  </r>
  <r>
    <x v="173"/>
    <x v="13"/>
    <x v="4"/>
    <x v="0"/>
    <x v="3"/>
    <m/>
    <n v="6"/>
    <x v="2"/>
    <n v="6"/>
  </r>
  <r>
    <x v="173"/>
    <x v="13"/>
    <x v="4"/>
    <x v="0"/>
    <x v="3"/>
    <m/>
    <n v="6"/>
    <x v="2"/>
    <n v="6"/>
  </r>
  <r>
    <x v="180"/>
    <x v="13"/>
    <x v="19"/>
    <x v="8"/>
    <x v="32"/>
    <n v="0.5"/>
    <n v="8"/>
    <x v="2"/>
    <n v="8"/>
  </r>
  <r>
    <x v="180"/>
    <x v="13"/>
    <x v="19"/>
    <x v="8"/>
    <x v="32"/>
    <n v="0.5"/>
    <n v="8"/>
    <x v="2"/>
    <n v="8"/>
  </r>
  <r>
    <x v="187"/>
    <x v="13"/>
    <x v="24"/>
    <x v="7"/>
    <x v="52"/>
    <m/>
    <n v="6.0000000000000018"/>
    <x v="2"/>
    <n v="6.0000000000000018"/>
  </r>
  <r>
    <x v="187"/>
    <x v="13"/>
    <x v="1"/>
    <x v="7"/>
    <x v="24"/>
    <n v="0.5"/>
    <n v="7.5"/>
    <x v="2"/>
    <n v="7.5"/>
  </r>
  <r>
    <x v="193"/>
    <x v="13"/>
    <x v="4"/>
    <x v="11"/>
    <x v="35"/>
    <n v="0.5"/>
    <n v="7.4999999999999982"/>
    <x v="2"/>
    <n v="7.4999999999999982"/>
  </r>
  <r>
    <x v="193"/>
    <x v="13"/>
    <x v="4"/>
    <x v="11"/>
    <x v="35"/>
    <n v="0.5"/>
    <n v="7.4999999999999982"/>
    <x v="2"/>
    <n v="7.4999999999999982"/>
  </r>
  <r>
    <x v="193"/>
    <x v="13"/>
    <x v="4"/>
    <x v="11"/>
    <x v="35"/>
    <n v="0.5"/>
    <n v="7.4999999999999982"/>
    <x v="2"/>
    <n v="7.4999999999999982"/>
  </r>
  <r>
    <x v="193"/>
    <x v="13"/>
    <x v="4"/>
    <x v="11"/>
    <x v="35"/>
    <n v="0.5"/>
    <n v="7.4999999999999982"/>
    <x v="2"/>
    <n v="7.4999999999999982"/>
  </r>
  <r>
    <x v="194"/>
    <x v="13"/>
    <x v="5"/>
    <x v="8"/>
    <x v="24"/>
    <n v="0.5"/>
    <n v="7.5"/>
    <x v="2"/>
    <n v="7.5"/>
  </r>
  <r>
    <x v="194"/>
    <x v="13"/>
    <x v="5"/>
    <x v="8"/>
    <x v="24"/>
    <n v="0.5"/>
    <n v="7.5"/>
    <x v="2"/>
    <n v="7.5"/>
  </r>
  <r>
    <x v="194"/>
    <x v="13"/>
    <x v="5"/>
    <x v="8"/>
    <x v="24"/>
    <n v="0.5"/>
    <n v="7.5"/>
    <x v="2"/>
    <n v="7.5"/>
  </r>
  <r>
    <x v="194"/>
    <x v="13"/>
    <x v="5"/>
    <x v="8"/>
    <x v="24"/>
    <n v="0.5"/>
    <n v="7.5"/>
    <x v="2"/>
    <n v="7.5"/>
  </r>
  <r>
    <x v="194"/>
    <x v="13"/>
    <x v="12"/>
    <x v="9"/>
    <x v="22"/>
    <m/>
    <n v="4.4999999999999991"/>
    <x v="2"/>
    <n v="4.4999999999999991"/>
  </r>
  <r>
    <x v="195"/>
    <x v="13"/>
    <x v="17"/>
    <x v="28"/>
    <x v="38"/>
    <n v="0.5"/>
    <n v="4.9999999999999991"/>
    <x v="2"/>
    <n v="4.9999999999999991"/>
  </r>
  <r>
    <x v="195"/>
    <x v="13"/>
    <x v="17"/>
    <x v="28"/>
    <x v="38"/>
    <n v="0.5"/>
    <n v="4.9999999999999991"/>
    <x v="2"/>
    <n v="4.9999999999999991"/>
  </r>
  <r>
    <x v="341"/>
    <x v="13"/>
    <x v="5"/>
    <x v="15"/>
    <x v="15"/>
    <n v="0.5"/>
    <n v="6.4999999999999991"/>
    <x v="2"/>
    <n v="6.4999999999999991"/>
  </r>
  <r>
    <x v="341"/>
    <x v="13"/>
    <x v="5"/>
    <x v="15"/>
    <x v="15"/>
    <n v="0.5"/>
    <n v="6.4999999999999991"/>
    <x v="2"/>
    <n v="6.4999999999999991"/>
  </r>
  <r>
    <x v="341"/>
    <x v="13"/>
    <x v="5"/>
    <x v="15"/>
    <x v="15"/>
    <n v="0.5"/>
    <n v="6.4999999999999991"/>
    <x v="2"/>
    <n v="6.4999999999999991"/>
  </r>
  <r>
    <x v="341"/>
    <x v="13"/>
    <x v="5"/>
    <x v="15"/>
    <x v="15"/>
    <n v="0.5"/>
    <n v="6.4999999999999991"/>
    <x v="2"/>
    <n v="6.4999999999999991"/>
  </r>
  <r>
    <x v="341"/>
    <x v="13"/>
    <x v="5"/>
    <x v="15"/>
    <x v="15"/>
    <n v="0.5"/>
    <n v="6.4999999999999991"/>
    <x v="2"/>
    <n v="6.4999999999999991"/>
  </r>
  <r>
    <x v="207"/>
    <x v="13"/>
    <x v="5"/>
    <x v="8"/>
    <x v="24"/>
    <n v="0.5"/>
    <n v="7.5"/>
    <x v="2"/>
    <n v="7.5"/>
  </r>
  <r>
    <x v="207"/>
    <x v="13"/>
    <x v="5"/>
    <x v="8"/>
    <x v="24"/>
    <n v="0.5"/>
    <n v="7.5"/>
    <x v="2"/>
    <n v="7.5"/>
  </r>
  <r>
    <x v="207"/>
    <x v="13"/>
    <x v="5"/>
    <x v="8"/>
    <x v="24"/>
    <n v="0.5"/>
    <n v="7.5"/>
    <x v="2"/>
    <n v="7.5"/>
  </r>
  <r>
    <x v="212"/>
    <x v="13"/>
    <x v="9"/>
    <x v="16"/>
    <x v="1"/>
    <m/>
    <n v="6.5"/>
    <x v="2"/>
    <n v="6.5"/>
  </r>
  <r>
    <x v="212"/>
    <x v="13"/>
    <x v="9"/>
    <x v="16"/>
    <x v="1"/>
    <m/>
    <n v="6.5"/>
    <x v="2"/>
    <n v="6.5"/>
  </r>
  <r>
    <x v="212"/>
    <x v="13"/>
    <x v="9"/>
    <x v="16"/>
    <x v="1"/>
    <m/>
    <n v="6.5"/>
    <x v="2"/>
    <n v="6.5"/>
  </r>
  <r>
    <x v="213"/>
    <x v="13"/>
    <x v="19"/>
    <x v="8"/>
    <x v="32"/>
    <n v="0.5"/>
    <n v="8"/>
    <x v="2"/>
    <n v="8"/>
  </r>
  <r>
    <x v="213"/>
    <x v="13"/>
    <x v="19"/>
    <x v="8"/>
    <x v="32"/>
    <n v="0.5"/>
    <n v="8"/>
    <x v="2"/>
    <n v="8"/>
  </r>
  <r>
    <x v="216"/>
    <x v="13"/>
    <x v="4"/>
    <x v="0"/>
    <x v="3"/>
    <m/>
    <n v="6"/>
    <x v="2"/>
    <n v="6"/>
  </r>
  <r>
    <x v="216"/>
    <x v="13"/>
    <x v="4"/>
    <x v="25"/>
    <x v="36"/>
    <m/>
    <n v="7"/>
    <x v="2"/>
    <n v="7"/>
  </r>
  <r>
    <x v="216"/>
    <x v="13"/>
    <x v="4"/>
    <x v="25"/>
    <x v="36"/>
    <m/>
    <n v="7"/>
    <x v="2"/>
    <n v="7"/>
  </r>
  <r>
    <x v="217"/>
    <x v="13"/>
    <x v="12"/>
    <x v="7"/>
    <x v="9"/>
    <n v="0.5"/>
    <n v="9.5"/>
    <x v="2"/>
    <n v="9.5"/>
  </r>
  <r>
    <x v="217"/>
    <x v="13"/>
    <x v="12"/>
    <x v="7"/>
    <x v="9"/>
    <n v="0.5"/>
    <n v="9.5"/>
    <x v="2"/>
    <n v="9.5"/>
  </r>
  <r>
    <x v="217"/>
    <x v="13"/>
    <x v="12"/>
    <x v="7"/>
    <x v="9"/>
    <n v="0.5"/>
    <n v="9.5"/>
    <x v="2"/>
    <n v="9.5"/>
  </r>
  <r>
    <x v="217"/>
    <x v="13"/>
    <x v="12"/>
    <x v="7"/>
    <x v="9"/>
    <n v="0.5"/>
    <n v="9.5"/>
    <x v="2"/>
    <n v="9.5"/>
  </r>
  <r>
    <x v="217"/>
    <x v="13"/>
    <x v="12"/>
    <x v="7"/>
    <x v="9"/>
    <n v="0.5"/>
    <n v="9.5"/>
    <x v="2"/>
    <n v="9.5"/>
  </r>
  <r>
    <x v="217"/>
    <x v="13"/>
    <x v="12"/>
    <x v="6"/>
    <x v="31"/>
    <m/>
    <n v="4.0000000000000009"/>
    <x v="2"/>
    <n v="4.0000000000000009"/>
  </r>
  <r>
    <x v="223"/>
    <x v="13"/>
    <x v="21"/>
    <x v="6"/>
    <x v="37"/>
    <m/>
    <n v="3.5"/>
    <x v="2"/>
    <n v="3.5"/>
  </r>
  <r>
    <x v="223"/>
    <x v="13"/>
    <x v="21"/>
    <x v="19"/>
    <x v="1"/>
    <m/>
    <n v="6.5"/>
    <x v="2"/>
    <n v="6.5"/>
  </r>
  <r>
    <x v="223"/>
    <x v="13"/>
    <x v="21"/>
    <x v="19"/>
    <x v="1"/>
    <m/>
    <n v="6.5"/>
    <x v="2"/>
    <n v="6.5"/>
  </r>
  <r>
    <x v="265"/>
    <x v="13"/>
    <x v="4"/>
    <x v="0"/>
    <x v="3"/>
    <m/>
    <n v="6"/>
    <x v="2"/>
    <n v="6"/>
  </r>
  <r>
    <x v="268"/>
    <x v="13"/>
    <x v="4"/>
    <x v="3"/>
    <x v="57"/>
    <m/>
    <n v="1.9999999999999996"/>
    <x v="2"/>
    <n v="1.9999999999999996"/>
  </r>
  <r>
    <x v="268"/>
    <x v="13"/>
    <x v="17"/>
    <x v="11"/>
    <x v="15"/>
    <n v="0.5"/>
    <n v="6.4999999999999991"/>
    <x v="2"/>
    <n v="6.4999999999999991"/>
  </r>
  <r>
    <x v="268"/>
    <x v="13"/>
    <x v="17"/>
    <x v="11"/>
    <x v="15"/>
    <n v="0.5"/>
    <n v="6.4999999999999991"/>
    <x v="2"/>
    <n v="6.4999999999999991"/>
  </r>
  <r>
    <x v="269"/>
    <x v="13"/>
    <x v="4"/>
    <x v="11"/>
    <x v="35"/>
    <n v="0.5"/>
    <n v="5.4999999999999982"/>
    <x v="2"/>
    <n v="5.4999999999999982"/>
  </r>
  <r>
    <x v="269"/>
    <x v="13"/>
    <x v="4"/>
    <x v="11"/>
    <x v="35"/>
    <n v="0.5"/>
    <n v="5.4999999999999982"/>
    <x v="2"/>
    <n v="5.4999999999999982"/>
  </r>
  <r>
    <x v="269"/>
    <x v="13"/>
    <x v="4"/>
    <x v="11"/>
    <x v="35"/>
    <n v="0.5"/>
    <n v="5.4999999999999982"/>
    <x v="2"/>
    <n v="5.4999999999999982"/>
  </r>
  <r>
    <x v="270"/>
    <x v="13"/>
    <x v="17"/>
    <x v="25"/>
    <x v="24"/>
    <n v="0.5"/>
    <n v="7.5"/>
    <x v="2"/>
    <n v="7.5"/>
  </r>
  <r>
    <x v="270"/>
    <x v="13"/>
    <x v="17"/>
    <x v="25"/>
    <x v="24"/>
    <n v="0.5"/>
    <n v="7.5"/>
    <x v="2"/>
    <n v="7.5"/>
  </r>
  <r>
    <x v="270"/>
    <x v="13"/>
    <x v="17"/>
    <x v="25"/>
    <x v="24"/>
    <n v="0.5"/>
    <n v="7.5"/>
    <x v="2"/>
    <n v="7.5"/>
  </r>
  <r>
    <x v="270"/>
    <x v="13"/>
    <x v="17"/>
    <x v="25"/>
    <x v="24"/>
    <n v="0.5"/>
    <n v="7.5"/>
    <x v="2"/>
    <n v="7.5"/>
  </r>
  <r>
    <x v="270"/>
    <x v="13"/>
    <x v="17"/>
    <x v="25"/>
    <x v="24"/>
    <n v="0.5"/>
    <n v="7.5"/>
    <x v="2"/>
    <n v="7.5"/>
  </r>
  <r>
    <x v="271"/>
    <x v="13"/>
    <x v="4"/>
    <x v="25"/>
    <x v="36"/>
    <m/>
    <n v="7"/>
    <x v="2"/>
    <n v="7"/>
  </r>
  <r>
    <x v="271"/>
    <x v="13"/>
    <x v="4"/>
    <x v="25"/>
    <x v="36"/>
    <m/>
    <n v="7"/>
    <x v="2"/>
    <n v="7"/>
  </r>
  <r>
    <x v="271"/>
    <x v="13"/>
    <x v="4"/>
    <x v="25"/>
    <x v="36"/>
    <m/>
    <n v="7"/>
    <x v="2"/>
    <n v="7"/>
  </r>
  <r>
    <x v="276"/>
    <x v="13"/>
    <x v="15"/>
    <x v="14"/>
    <x v="13"/>
    <m/>
    <n v="3.9999999999999991"/>
    <x v="2"/>
    <n v="3.9999999999999991"/>
  </r>
  <r>
    <x v="276"/>
    <x v="13"/>
    <x v="15"/>
    <x v="14"/>
    <x v="13"/>
    <m/>
    <n v="3.9999999999999991"/>
    <x v="2"/>
    <n v="3.9999999999999991"/>
  </r>
  <r>
    <x v="277"/>
    <x v="13"/>
    <x v="17"/>
    <x v="25"/>
    <x v="24"/>
    <n v="0.5"/>
    <n v="7.5"/>
    <x v="2"/>
    <n v="7.5"/>
  </r>
  <r>
    <x v="277"/>
    <x v="13"/>
    <x v="17"/>
    <x v="25"/>
    <x v="24"/>
    <n v="0.5"/>
    <n v="7.5"/>
    <x v="2"/>
    <n v="7.5"/>
  </r>
  <r>
    <x v="277"/>
    <x v="13"/>
    <x v="17"/>
    <x v="25"/>
    <x v="24"/>
    <n v="0.5"/>
    <n v="7.5"/>
    <x v="2"/>
    <n v="7.5"/>
  </r>
  <r>
    <x v="277"/>
    <x v="13"/>
    <x v="17"/>
    <x v="25"/>
    <x v="24"/>
    <n v="0.5"/>
    <n v="7.5"/>
    <x v="2"/>
    <n v="7.5"/>
  </r>
  <r>
    <x v="278"/>
    <x v="13"/>
    <x v="17"/>
    <x v="25"/>
    <x v="24"/>
    <n v="0.5"/>
    <n v="7.5"/>
    <x v="2"/>
    <n v="7.5"/>
  </r>
  <r>
    <x v="278"/>
    <x v="13"/>
    <x v="17"/>
    <x v="25"/>
    <x v="24"/>
    <n v="0.5"/>
    <n v="7.5"/>
    <x v="2"/>
    <n v="7.5"/>
  </r>
  <r>
    <x v="282"/>
    <x v="13"/>
    <x v="11"/>
    <x v="11"/>
    <x v="48"/>
    <n v="1"/>
    <n v="7.9999999999999982"/>
    <x v="2"/>
    <n v="7.9999999999999982"/>
  </r>
  <r>
    <x v="282"/>
    <x v="13"/>
    <x v="11"/>
    <x v="11"/>
    <x v="48"/>
    <n v="1"/>
    <n v="7.9999999999999982"/>
    <x v="2"/>
    <n v="7.9999999999999982"/>
  </r>
  <r>
    <x v="282"/>
    <x v="13"/>
    <x v="11"/>
    <x v="11"/>
    <x v="48"/>
    <n v="1"/>
    <n v="7.9999999999999982"/>
    <x v="2"/>
    <n v="7.9999999999999982"/>
  </r>
  <r>
    <x v="282"/>
    <x v="13"/>
    <x v="11"/>
    <x v="11"/>
    <x v="48"/>
    <n v="1"/>
    <n v="7.9999999999999982"/>
    <x v="2"/>
    <n v="7.9999999999999982"/>
  </r>
  <r>
    <x v="282"/>
    <x v="13"/>
    <x v="11"/>
    <x v="11"/>
    <x v="48"/>
    <n v="1"/>
    <n v="7.9999999999999982"/>
    <x v="2"/>
    <n v="7.9999999999999982"/>
  </r>
  <r>
    <x v="284"/>
    <x v="13"/>
    <x v="9"/>
    <x v="19"/>
    <x v="52"/>
    <m/>
    <n v="6.0000000000000018"/>
    <x v="2"/>
    <n v="6.0000000000000018"/>
  </r>
  <r>
    <x v="285"/>
    <x v="13"/>
    <x v="9"/>
    <x v="19"/>
    <x v="52"/>
    <m/>
    <n v="6.0000000000000018"/>
    <x v="2"/>
    <n v="6.0000000000000018"/>
  </r>
  <r>
    <x v="285"/>
    <x v="13"/>
    <x v="9"/>
    <x v="19"/>
    <x v="52"/>
    <m/>
    <n v="6.0000000000000018"/>
    <x v="2"/>
    <n v="6.0000000000000018"/>
  </r>
  <r>
    <x v="286"/>
    <x v="13"/>
    <x v="9"/>
    <x v="19"/>
    <x v="52"/>
    <m/>
    <n v="6.0000000000000018"/>
    <x v="2"/>
    <n v="6.0000000000000018"/>
  </r>
  <r>
    <x v="287"/>
    <x v="13"/>
    <x v="9"/>
    <x v="1"/>
    <x v="45"/>
    <n v="0.5"/>
    <n v="7.0000000000000018"/>
    <x v="2"/>
    <n v="7.0000000000000018"/>
  </r>
  <r>
    <x v="287"/>
    <x v="13"/>
    <x v="9"/>
    <x v="1"/>
    <x v="45"/>
    <n v="0.5"/>
    <n v="7.0000000000000018"/>
    <x v="2"/>
    <n v="7.0000000000000018"/>
  </r>
  <r>
    <x v="288"/>
    <x v="13"/>
    <x v="15"/>
    <x v="14"/>
    <x v="13"/>
    <m/>
    <n v="5.9999999999999991"/>
    <x v="2"/>
    <n v="5.9999999999999991"/>
  </r>
  <r>
    <x v="288"/>
    <x v="13"/>
    <x v="9"/>
    <x v="13"/>
    <x v="7"/>
    <m/>
    <n v="7.0000000000000009"/>
    <x v="2"/>
    <n v="7.0000000000000009"/>
  </r>
  <r>
    <x v="288"/>
    <x v="13"/>
    <x v="9"/>
    <x v="14"/>
    <x v="32"/>
    <n v="0.5"/>
    <n v="8"/>
    <x v="2"/>
    <n v="8"/>
  </r>
  <r>
    <x v="289"/>
    <x v="13"/>
    <x v="11"/>
    <x v="0"/>
    <x v="6"/>
    <n v="0.5"/>
    <n v="6.5"/>
    <x v="2"/>
    <n v="6.5"/>
  </r>
  <r>
    <x v="289"/>
    <x v="13"/>
    <x v="11"/>
    <x v="17"/>
    <x v="35"/>
    <n v="0.5"/>
    <n v="5.4999999999999982"/>
    <x v="2"/>
    <n v="5.4999999999999982"/>
  </r>
  <r>
    <x v="289"/>
    <x v="13"/>
    <x v="11"/>
    <x v="0"/>
    <x v="6"/>
    <n v="0.5"/>
    <n v="6.5"/>
    <x v="2"/>
    <n v="6.5"/>
  </r>
  <r>
    <x v="289"/>
    <x v="13"/>
    <x v="2"/>
    <x v="0"/>
    <x v="12"/>
    <n v="0.5"/>
    <n v="5.5000000000000018"/>
    <x v="2"/>
    <n v="5.5000000000000018"/>
  </r>
  <r>
    <x v="290"/>
    <x v="13"/>
    <x v="4"/>
    <x v="0"/>
    <x v="3"/>
    <m/>
    <n v="4"/>
    <x v="2"/>
    <n v="4"/>
  </r>
  <r>
    <x v="290"/>
    <x v="13"/>
    <x v="4"/>
    <x v="0"/>
    <x v="3"/>
    <m/>
    <n v="4"/>
    <x v="2"/>
    <n v="4"/>
  </r>
  <r>
    <x v="290"/>
    <x v="13"/>
    <x v="4"/>
    <x v="0"/>
    <x v="3"/>
    <m/>
    <n v="4"/>
    <x v="2"/>
    <n v="4"/>
  </r>
  <r>
    <x v="292"/>
    <x v="13"/>
    <x v="21"/>
    <x v="19"/>
    <x v="1"/>
    <m/>
    <n v="6.5"/>
    <x v="2"/>
    <n v="6.5"/>
  </r>
  <r>
    <x v="292"/>
    <x v="13"/>
    <x v="21"/>
    <x v="19"/>
    <x v="1"/>
    <m/>
    <n v="6.5"/>
    <x v="2"/>
    <n v="6.5"/>
  </r>
  <r>
    <x v="342"/>
    <x v="13"/>
    <x v="11"/>
    <x v="3"/>
    <x v="36"/>
    <m/>
    <n v="7"/>
    <x v="2"/>
    <n v="7"/>
  </r>
  <r>
    <x v="342"/>
    <x v="13"/>
    <x v="11"/>
    <x v="3"/>
    <x v="36"/>
    <m/>
    <n v="7"/>
    <x v="2"/>
    <n v="7"/>
  </r>
  <r>
    <x v="343"/>
    <x v="13"/>
    <x v="4"/>
    <x v="11"/>
    <x v="35"/>
    <n v="0.5"/>
    <n v="5.4999999999999982"/>
    <x v="2"/>
    <n v="5.4999999999999982"/>
  </r>
  <r>
    <x v="343"/>
    <x v="13"/>
    <x v="4"/>
    <x v="11"/>
    <x v="35"/>
    <n v="0.5"/>
    <n v="5.4999999999999982"/>
    <x v="2"/>
    <n v="5.4999999999999982"/>
  </r>
  <r>
    <x v="343"/>
    <x v="13"/>
    <x v="4"/>
    <x v="11"/>
    <x v="35"/>
    <n v="0.5"/>
    <n v="5.4999999999999982"/>
    <x v="2"/>
    <n v="5.4999999999999982"/>
  </r>
  <r>
    <x v="316"/>
    <x v="13"/>
    <x v="4"/>
    <x v="25"/>
    <x v="36"/>
    <m/>
    <n v="7"/>
    <x v="2"/>
    <n v="7"/>
  </r>
  <r>
    <x v="316"/>
    <x v="13"/>
    <x v="4"/>
    <x v="25"/>
    <x v="36"/>
    <m/>
    <n v="7"/>
    <x v="2"/>
    <n v="7"/>
  </r>
  <r>
    <x v="317"/>
    <x v="13"/>
    <x v="4"/>
    <x v="25"/>
    <x v="36"/>
    <m/>
    <n v="7"/>
    <x v="2"/>
    <n v="7"/>
  </r>
  <r>
    <x v="317"/>
    <x v="13"/>
    <x v="4"/>
    <x v="25"/>
    <x v="36"/>
    <m/>
    <n v="7"/>
    <x v="2"/>
    <n v="7"/>
  </r>
  <r>
    <x v="317"/>
    <x v="13"/>
    <x v="18"/>
    <x v="6"/>
    <x v="7"/>
    <m/>
    <n v="7.0000000000000009"/>
    <x v="2"/>
    <n v="7.0000000000000009"/>
  </r>
  <r>
    <x v="318"/>
    <x v="13"/>
    <x v="12"/>
    <x v="21"/>
    <x v="14"/>
    <n v="0.5"/>
    <n v="10"/>
    <x v="2"/>
    <n v="10"/>
  </r>
  <r>
    <x v="318"/>
    <x v="13"/>
    <x v="12"/>
    <x v="21"/>
    <x v="14"/>
    <n v="0.5"/>
    <n v="10"/>
    <x v="2"/>
    <n v="10"/>
  </r>
  <r>
    <x v="318"/>
    <x v="13"/>
    <x v="12"/>
    <x v="21"/>
    <x v="14"/>
    <n v="0.5"/>
    <n v="10"/>
    <x v="2"/>
    <n v="10"/>
  </r>
  <r>
    <x v="318"/>
    <x v="13"/>
    <x v="12"/>
    <x v="21"/>
    <x v="14"/>
    <n v="0.5"/>
    <n v="10"/>
    <x v="2"/>
    <n v="10"/>
  </r>
  <r>
    <x v="318"/>
    <x v="13"/>
    <x v="12"/>
    <x v="21"/>
    <x v="14"/>
    <n v="0.5"/>
    <n v="10"/>
    <x v="2"/>
    <n v="10"/>
  </r>
  <r>
    <x v="318"/>
    <x v="13"/>
    <x v="30"/>
    <x v="21"/>
    <x v="13"/>
    <m/>
    <n v="5.9999999999999991"/>
    <x v="2"/>
    <n v="5.9999999999999991"/>
  </r>
  <r>
    <x v="318"/>
    <x v="13"/>
    <x v="30"/>
    <x v="21"/>
    <x v="13"/>
    <m/>
    <n v="5.9999999999999991"/>
    <x v="2"/>
    <n v="5.9999999999999991"/>
  </r>
  <r>
    <x v="319"/>
    <x v="13"/>
    <x v="4"/>
    <x v="25"/>
    <x v="36"/>
    <m/>
    <n v="7"/>
    <x v="2"/>
    <n v="7"/>
  </r>
  <r>
    <x v="319"/>
    <x v="13"/>
    <x v="4"/>
    <x v="25"/>
    <x v="36"/>
    <m/>
    <n v="7"/>
    <x v="2"/>
    <n v="7"/>
  </r>
  <r>
    <x v="323"/>
    <x v="13"/>
    <x v="21"/>
    <x v="18"/>
    <x v="13"/>
    <m/>
    <n v="5.9999999999999991"/>
    <x v="2"/>
    <n v="5.9999999999999991"/>
  </r>
  <r>
    <x v="324"/>
    <x v="13"/>
    <x v="4"/>
    <x v="0"/>
    <x v="3"/>
    <m/>
    <n v="6"/>
    <x v="2"/>
    <n v="6"/>
  </r>
  <r>
    <x v="324"/>
    <x v="13"/>
    <x v="4"/>
    <x v="0"/>
    <x v="3"/>
    <m/>
    <n v="6"/>
    <x v="2"/>
    <n v="6"/>
  </r>
  <r>
    <x v="324"/>
    <x v="13"/>
    <x v="4"/>
    <x v="0"/>
    <x v="3"/>
    <m/>
    <n v="6"/>
    <x v="2"/>
    <n v="6"/>
  </r>
  <r>
    <x v="344"/>
    <x v="14"/>
    <x v="31"/>
    <x v="31"/>
    <x v="61"/>
    <m/>
    <m/>
    <x v="2"/>
    <m/>
  </r>
  <r>
    <x v="344"/>
    <x v="14"/>
    <x v="31"/>
    <x v="31"/>
    <x v="61"/>
    <m/>
    <m/>
    <x v="2"/>
    <m/>
  </r>
  <r>
    <x v="344"/>
    <x v="14"/>
    <x v="31"/>
    <x v="31"/>
    <x v="61"/>
    <m/>
    <m/>
    <x v="2"/>
    <m/>
  </r>
  <r>
    <x v="344"/>
    <x v="14"/>
    <x v="31"/>
    <x v="31"/>
    <x v="61"/>
    <m/>
    <m/>
    <x v="2"/>
    <m/>
  </r>
  <r>
    <x v="344"/>
    <x v="14"/>
    <x v="31"/>
    <x v="31"/>
    <x v="61"/>
    <m/>
    <m/>
    <x v="2"/>
    <m/>
  </r>
  <r>
    <x v="344"/>
    <x v="14"/>
    <x v="31"/>
    <x v="31"/>
    <x v="61"/>
    <m/>
    <m/>
    <x v="2"/>
    <m/>
  </r>
  <r>
    <x v="344"/>
    <x v="14"/>
    <x v="31"/>
    <x v="31"/>
    <x v="61"/>
    <m/>
    <m/>
    <x v="2"/>
    <m/>
  </r>
  <r>
    <x v="344"/>
    <x v="14"/>
    <x v="31"/>
    <x v="31"/>
    <x v="61"/>
    <m/>
    <m/>
    <x v="2"/>
    <m/>
  </r>
  <r>
    <x v="344"/>
    <x v="14"/>
    <x v="31"/>
    <x v="31"/>
    <x v="61"/>
    <m/>
    <m/>
    <x v="2"/>
    <m/>
  </r>
  <r>
    <x v="344"/>
    <x v="14"/>
    <x v="31"/>
    <x v="31"/>
    <x v="61"/>
    <m/>
    <m/>
    <x v="2"/>
    <m/>
  </r>
  <r>
    <x v="344"/>
    <x v="14"/>
    <x v="31"/>
    <x v="31"/>
    <x v="61"/>
    <m/>
    <m/>
    <x v="2"/>
    <m/>
  </r>
  <r>
    <x v="344"/>
    <x v="14"/>
    <x v="31"/>
    <x v="31"/>
    <x v="61"/>
    <m/>
    <m/>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0EBC46-5E81-44CA-8F71-40BFA05D9482}" name="PivotTable1"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1:D14" firstHeaderRow="0" firstDataRow="1" firstDataCol="1"/>
  <pivotFields count="12">
    <pivotField axis="axisRow" showAll="0">
      <items count="369">
        <item h="1"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6">
        <item x="7"/>
        <item x="11"/>
        <item x="8"/>
        <item x="6"/>
        <item x="5"/>
        <item x="1"/>
        <item x="4"/>
        <item x="2"/>
        <item x="10"/>
        <item x="12"/>
        <item x="0"/>
        <item x="9"/>
        <item x="3"/>
        <item x="13"/>
        <item x="14"/>
        <item t="default"/>
      </items>
    </pivotField>
    <pivotField showAll="0">
      <items count="33">
        <item x="22"/>
        <item x="27"/>
        <item x="26"/>
        <item x="11"/>
        <item x="16"/>
        <item x="0"/>
        <item x="2"/>
        <item x="23"/>
        <item x="17"/>
        <item x="6"/>
        <item x="4"/>
        <item x="7"/>
        <item x="25"/>
        <item x="18"/>
        <item x="8"/>
        <item x="10"/>
        <item x="29"/>
        <item x="3"/>
        <item x="20"/>
        <item x="12"/>
        <item x="21"/>
        <item x="13"/>
        <item x="9"/>
        <item x="14"/>
        <item x="1"/>
        <item x="19"/>
        <item x="5"/>
        <item x="15"/>
        <item x="24"/>
        <item x="30"/>
        <item x="28"/>
        <item x="31"/>
        <item t="default"/>
      </items>
    </pivotField>
    <pivotField showAll="0">
      <items count="33">
        <item x="8"/>
        <item x="4"/>
        <item x="15"/>
        <item x="27"/>
        <item x="29"/>
        <item x="2"/>
        <item x="30"/>
        <item x="3"/>
        <item x="24"/>
        <item x="17"/>
        <item x="23"/>
        <item x="0"/>
        <item x="28"/>
        <item x="25"/>
        <item x="20"/>
        <item x="11"/>
        <item x="26"/>
        <item x="6"/>
        <item x="9"/>
        <item x="12"/>
        <item x="22"/>
        <item x="10"/>
        <item x="18"/>
        <item x="19"/>
        <item x="16"/>
        <item x="13"/>
        <item x="1"/>
        <item x="5"/>
        <item x="14"/>
        <item x="7"/>
        <item x="21"/>
        <item x="31"/>
        <item t="default"/>
      </items>
    </pivotField>
    <pivotField showAll="0"/>
    <pivotField showAll="0"/>
    <pivotField dataField="1" showAll="0"/>
    <pivotField dataField="1" showAll="0">
      <items count="34">
        <item x="18"/>
        <item x="28"/>
        <item x="25"/>
        <item x="10"/>
        <item x="7"/>
        <item x="6"/>
        <item x="1"/>
        <item x="30"/>
        <item x="27"/>
        <item x="16"/>
        <item x="4"/>
        <item x="23"/>
        <item x="5"/>
        <item x="13"/>
        <item x="21"/>
        <item x="11"/>
        <item x="0"/>
        <item x="15"/>
        <item x="3"/>
        <item x="24"/>
        <item x="29"/>
        <item x="12"/>
        <item x="20"/>
        <item x="9"/>
        <item x="31"/>
        <item x="17"/>
        <item x="14"/>
        <item x="26"/>
        <item x="19"/>
        <item x="22"/>
        <item x="8"/>
        <item x="32"/>
        <item x="2"/>
        <item t="default"/>
      </items>
    </pivotField>
    <pivotField dataField="1" showAll="0"/>
    <pivotField axis="axisRow" showAll="0" defaultSubtotal="0">
      <items count="14">
        <item h="1" sd="0" x="0"/>
        <item sd="0" x="1"/>
        <item sd="0" x="2"/>
        <item sd="0" x="3"/>
        <item sd="0" x="4"/>
        <item sd="0" x="5"/>
        <item sd="0" x="6"/>
        <item sd="0" x="7"/>
        <item sd="0" x="8"/>
        <item sd="0" x="9"/>
        <item sd="0" x="10"/>
        <item sd="0" x="11"/>
        <item sd="0" x="12"/>
        <item h="1" sd="0" x="13"/>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2">
    <field x="9"/>
    <field x="0"/>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Sum of Added Hours Worked" fld="6" baseField="0" baseItem="0"/>
    <dataField name="Sum of Total Removed Hours MSRC Classes" fld="7" baseField="9" baseItem="1"/>
    <dataField name="Sum of Updated Hours (Combine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134168-CE2B-4A7D-81EC-797A642FE4F3}" name="PivotTable4"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88:D201" firstHeaderRow="0" firstDataRow="1" firstDataCol="1"/>
  <pivotFields count="14">
    <pivotField numFmtId="16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7"/>
        <item x="11"/>
        <item x="8"/>
        <item x="6"/>
        <item x="5"/>
        <item x="1"/>
        <item x="4"/>
        <item x="2"/>
        <item x="10"/>
        <item x="12"/>
        <item x="0"/>
        <item x="9"/>
        <item x="3"/>
        <item x="13"/>
        <item t="default"/>
      </items>
    </pivotField>
    <pivotField showAll="0"/>
    <pivotField showAll="0"/>
    <pivotField numFmtId="2" showAll="0"/>
    <pivotField showAll="0"/>
    <pivotField showAll="0"/>
    <pivotField dataField="1" showAll="0"/>
    <pivotField showAll="0">
      <items count="5">
        <item x="3"/>
        <item x="0"/>
        <item x="2"/>
        <item x="1"/>
        <item t="default"/>
      </items>
    </pivotField>
    <pivotField dataField="1" showAll="0">
      <items count="29">
        <item x="15"/>
        <item x="24"/>
        <item x="22"/>
        <item x="10"/>
        <item x="7"/>
        <item x="18"/>
        <item x="6"/>
        <item x="3"/>
        <item x="1"/>
        <item x="12"/>
        <item x="26"/>
        <item x="17"/>
        <item x="14"/>
        <item x="4"/>
        <item x="20"/>
        <item x="5"/>
        <item x="13"/>
        <item x="11"/>
        <item x="0"/>
        <item x="23"/>
        <item x="21"/>
        <item x="25"/>
        <item x="16"/>
        <item x="9"/>
        <item x="19"/>
        <item x="8"/>
        <item x="27"/>
        <item x="2"/>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Sum of Added Hours Worked" fld="7" baseField="0" baseItem="0"/>
    <dataField name="Sum of Total Removed Hours MSRC Classes" fld="9" baseField="13" baseItem="1"/>
    <dataField name="Sum of Updated Hours (Combined)"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DC4DA3-2D2C-4B41-96F5-7BABDE77008A}" name="PivotTable3"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68:C181" firstHeaderRow="0" firstDataRow="1" firstDataCol="1"/>
  <pivotFields count="14">
    <pivotField numFmtId="16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7"/>
        <item x="11"/>
        <item x="8"/>
        <item x="6"/>
        <item x="5"/>
        <item x="1"/>
        <item x="4"/>
        <item x="2"/>
        <item x="10"/>
        <item x="12"/>
        <item x="0"/>
        <item x="9"/>
        <item x="3"/>
        <item x="13"/>
        <item t="default"/>
      </items>
    </pivotField>
    <pivotField showAll="0"/>
    <pivotField showAll="0"/>
    <pivotField dataField="1" numFmtId="2" showAll="0"/>
    <pivotField showAll="0"/>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Hours Worked" fld="4" baseField="0" baseItem="0"/>
    <dataField name="Sum of Updated Hours (Combined)"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D2F694-A70B-4C78-918A-7FA81B99AA0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6:C149" firstHeaderRow="0" firstDataRow="1" firstDataCol="1"/>
  <pivotFields count="11">
    <pivotField showAll="0">
      <items count="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35"/>
        <item x="336"/>
        <item x="31"/>
        <item x="32"/>
        <item x="33"/>
        <item x="34"/>
        <item x="35"/>
        <item x="36"/>
        <item x="37"/>
        <item x="38"/>
        <item x="39"/>
        <item x="40"/>
        <item x="41"/>
        <item x="42"/>
        <item x="43"/>
        <item x="44"/>
        <item x="337"/>
        <item x="45"/>
        <item x="46"/>
        <item x="47"/>
        <item x="48"/>
        <item x="49"/>
        <item x="50"/>
        <item x="51"/>
        <item x="52"/>
        <item x="53"/>
        <item x="54"/>
        <item x="55"/>
        <item x="56"/>
        <item x="338"/>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339"/>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340"/>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341"/>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342"/>
        <item x="298"/>
        <item x="299"/>
        <item x="300"/>
        <item x="301"/>
        <item x="302"/>
        <item x="303"/>
        <item x="304"/>
        <item x="305"/>
        <item x="306"/>
        <item x="307"/>
        <item x="308"/>
        <item x="309"/>
        <item x="310"/>
        <item x="311"/>
        <item x="312"/>
        <item x="313"/>
        <item x="314"/>
        <item x="343"/>
        <item x="315"/>
        <item x="316"/>
        <item x="317"/>
        <item x="318"/>
        <item x="319"/>
        <item x="320"/>
        <item x="321"/>
        <item x="322"/>
        <item x="323"/>
        <item x="324"/>
        <item x="325"/>
        <item x="326"/>
        <item x="327"/>
        <item x="328"/>
        <item x="329"/>
        <item x="330"/>
        <item x="331"/>
        <item x="332"/>
        <item x="333"/>
        <item x="334"/>
        <item x="344"/>
        <item t="default"/>
      </items>
    </pivotField>
    <pivotField showAll="0"/>
    <pivotField showAll="0"/>
    <pivotField showAll="0"/>
    <pivotField dataField="1" showAll="0"/>
    <pivotField showAll="0"/>
    <pivotField showAll="0"/>
    <pivotField dataField="1" showAll="0"/>
    <pivotField showAll="0">
      <items count="5">
        <item x="3"/>
        <item x="0"/>
        <item x="2"/>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h="1" sd="0" x="13"/>
        <item t="default"/>
      </items>
    </pivotField>
  </pivotFields>
  <rowFields count="1">
    <field x="10"/>
  </rowFields>
  <rowItems count="13">
    <i>
      <x v="1"/>
    </i>
    <i>
      <x v="2"/>
    </i>
    <i>
      <x v="3"/>
    </i>
    <i>
      <x v="4"/>
    </i>
    <i>
      <x v="5"/>
    </i>
    <i>
      <x v="6"/>
    </i>
    <i>
      <x v="7"/>
    </i>
    <i>
      <x v="8"/>
    </i>
    <i>
      <x v="9"/>
    </i>
    <i>
      <x v="10"/>
    </i>
    <i>
      <x v="11"/>
    </i>
    <i>
      <x v="12"/>
    </i>
    <i t="grand">
      <x/>
    </i>
  </rowItems>
  <colFields count="1">
    <field x="-2"/>
  </colFields>
  <colItems count="2">
    <i>
      <x/>
    </i>
    <i i="1">
      <x v="1"/>
    </i>
  </colItems>
  <dataFields count="2">
    <dataField name="Sum of Added Hours Worked" fld="7" baseField="0" baseItem="0"/>
    <dataField name="Sum of Hours Worke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A8CC1C-2CBB-4C34-B7E5-02A10E652302}" name="PivotTable5"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204:C217" firstHeaderRow="0" firstDataRow="1" firstDataCol="1"/>
  <pivotFields count="12">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6">
        <item x="7"/>
        <item x="11"/>
        <item x="8"/>
        <item x="6"/>
        <item x="5"/>
        <item x="1"/>
        <item x="4"/>
        <item x="2"/>
        <item x="10"/>
        <item x="12"/>
        <item h="1" x="0"/>
        <item x="9"/>
        <item x="3"/>
        <item x="13"/>
        <item h="1" x="14"/>
        <item t="default"/>
      </items>
    </pivotField>
    <pivotField showAll="0"/>
    <pivotField showAll="0">
      <items count="33">
        <item x="8"/>
        <item x="4"/>
        <item x="15"/>
        <item x="27"/>
        <item x="29"/>
        <item x="2"/>
        <item x="30"/>
        <item x="3"/>
        <item x="24"/>
        <item x="17"/>
        <item x="23"/>
        <item x="0"/>
        <item x="28"/>
        <item x="25"/>
        <item x="20"/>
        <item x="11"/>
        <item x="26"/>
        <item x="6"/>
        <item x="9"/>
        <item x="12"/>
        <item x="22"/>
        <item x="10"/>
        <item x="18"/>
        <item x="19"/>
        <item x="16"/>
        <item x="13"/>
        <item x="1"/>
        <item x="5"/>
        <item x="14"/>
        <item x="7"/>
        <item x="21"/>
        <item x="31"/>
        <item t="default"/>
      </items>
    </pivotField>
    <pivotField dataField="1" showAll="0">
      <items count="63">
        <item x="37"/>
        <item x="60"/>
        <item x="57"/>
        <item x="31"/>
        <item x="22"/>
        <item x="51"/>
        <item x="56"/>
        <item x="2"/>
        <item x="27"/>
        <item x="19"/>
        <item x="54"/>
        <item x="39"/>
        <item x="13"/>
        <item x="3"/>
        <item x="52"/>
        <item x="40"/>
        <item x="1"/>
        <item x="50"/>
        <item x="33"/>
        <item x="46"/>
        <item x="30"/>
        <item x="38"/>
        <item x="36"/>
        <item x="7"/>
        <item x="45"/>
        <item x="35"/>
        <item x="18"/>
        <item x="24"/>
        <item x="12"/>
        <item x="0"/>
        <item x="11"/>
        <item x="26"/>
        <item x="32"/>
        <item x="59"/>
        <item x="15"/>
        <item x="6"/>
        <item x="23"/>
        <item x="17"/>
        <item x="53"/>
        <item x="49"/>
        <item x="47"/>
        <item x="5"/>
        <item x="9"/>
        <item x="48"/>
        <item x="14"/>
        <item x="20"/>
        <item x="16"/>
        <item x="34"/>
        <item x="8"/>
        <item x="4"/>
        <item x="55"/>
        <item x="10"/>
        <item x="21"/>
        <item x="29"/>
        <item x="42"/>
        <item x="58"/>
        <item x="25"/>
        <item x="43"/>
        <item x="28"/>
        <item x="44"/>
        <item x="41"/>
        <item x="61"/>
        <item t="default"/>
      </items>
    </pivotField>
    <pivotField showAll="0"/>
    <pivotField dataField="1" showAll="0"/>
    <pivotField showAll="0">
      <items count="34">
        <item x="18"/>
        <item x="28"/>
        <item x="25"/>
        <item x="10"/>
        <item x="7"/>
        <item x="6"/>
        <item x="1"/>
        <item x="30"/>
        <item x="27"/>
        <item x="16"/>
        <item x="4"/>
        <item x="23"/>
        <item x="5"/>
        <item x="13"/>
        <item x="21"/>
        <item x="11"/>
        <item x="0"/>
        <item x="15"/>
        <item x="3"/>
        <item x="24"/>
        <item x="29"/>
        <item x="12"/>
        <item x="20"/>
        <item x="9"/>
        <item x="31"/>
        <item x="17"/>
        <item x="14"/>
        <item x="26"/>
        <item x="19"/>
        <item x="22"/>
        <item x="8"/>
        <item x="32"/>
        <item x="2"/>
        <item t="default"/>
      </items>
    </pivotField>
    <pivotField showAll="0"/>
    <pivotField axis="axisRow" showAll="0">
      <items count="15">
        <item h="1" sd="0" x="0"/>
        <item sd="0" x="1"/>
        <item sd="0" x="2"/>
        <item sd="0" x="3"/>
        <item sd="0" x="4"/>
        <item sd="0" x="5"/>
        <item sd="0" x="6"/>
        <item sd="0" x="7"/>
        <item sd="0" x="8"/>
        <item sd="0" x="9"/>
        <item sd="0" x="10"/>
        <item sd="0" x="11"/>
        <item sd="0" x="12"/>
        <item h="1"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2">
    <field x="9"/>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Hours Worked" fld="4" baseField="0" baseItem="0"/>
    <dataField name="Sum of Added Hours Worke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9E2D27-5F34-429D-B6B6-2152523B2E8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B15" firstHeaderRow="1" firstDataRow="1" firstDataCol="1"/>
  <pivotFields count="10">
    <pivotField numFmtId="14" showAll="0">
      <items count="355">
        <item x="0"/>
        <item x="1"/>
        <item x="2"/>
        <item x="3"/>
        <item x="4"/>
        <item x="5"/>
        <item x="6"/>
        <item x="7"/>
        <item x="8"/>
        <item x="9"/>
        <item x="10"/>
        <item x="11"/>
        <item x="12"/>
        <item m="1" x="344"/>
        <item x="13"/>
        <item x="14"/>
        <item x="15"/>
        <item x="16"/>
        <item x="17"/>
        <item x="18"/>
        <item x="19"/>
        <item x="20"/>
        <item x="21"/>
        <item x="22"/>
        <item x="23"/>
        <item x="24"/>
        <item x="25"/>
        <item x="26"/>
        <item x="27"/>
        <item x="28"/>
        <item x="29"/>
        <item x="30"/>
        <item x="335"/>
        <item x="336"/>
        <item x="31"/>
        <item x="32"/>
        <item x="33"/>
        <item x="34"/>
        <item x="35"/>
        <item x="36"/>
        <item x="37"/>
        <item x="38"/>
        <item x="39"/>
        <item x="40"/>
        <item x="41"/>
        <item x="42"/>
        <item x="43"/>
        <item x="44"/>
        <item x="337"/>
        <item x="45"/>
        <item x="46"/>
        <item x="47"/>
        <item x="48"/>
        <item x="49"/>
        <item x="50"/>
        <item x="51"/>
        <item x="52"/>
        <item x="53"/>
        <item x="54"/>
        <item x="55"/>
        <item x="56"/>
        <item x="338"/>
        <item x="57"/>
        <item x="58"/>
        <item x="59"/>
        <item x="60"/>
        <item x="61"/>
        <item x="62"/>
        <item x="63"/>
        <item x="64"/>
        <item x="65"/>
        <item x="66"/>
        <item x="67"/>
        <item x="68"/>
        <item x="69"/>
        <item x="70"/>
        <item x="71"/>
        <item x="72"/>
        <item x="73"/>
        <item x="74"/>
        <item x="75"/>
        <item x="76"/>
        <item x="77"/>
        <item x="78"/>
        <item x="79"/>
        <item x="80"/>
        <item x="81"/>
        <item x="82"/>
        <item x="83"/>
        <item m="1" x="345"/>
        <item m="1" x="346"/>
        <item x="84"/>
        <item x="85"/>
        <item x="86"/>
        <item x="87"/>
        <item x="88"/>
        <item x="89"/>
        <item x="90"/>
        <item x="91"/>
        <item x="92"/>
        <item x="93"/>
        <item x="94"/>
        <item x="95"/>
        <item x="96"/>
        <item m="1" x="347"/>
        <item x="97"/>
        <item x="98"/>
        <item x="99"/>
        <item x="100"/>
        <item x="101"/>
        <item x="102"/>
        <item x="103"/>
        <item x="104"/>
        <item x="105"/>
        <item x="106"/>
        <item x="107"/>
        <item x="108"/>
        <item x="109"/>
        <item x="110"/>
        <item x="111"/>
        <item x="112"/>
        <item x="113"/>
        <item x="114"/>
        <item x="115"/>
        <item m="1" x="348"/>
        <item x="116"/>
        <item x="117"/>
        <item x="118"/>
        <item x="119"/>
        <item x="120"/>
        <item x="121"/>
        <item x="122"/>
        <item x="123"/>
        <item x="124"/>
        <item x="125"/>
        <item x="126"/>
        <item x="127"/>
        <item x="128"/>
        <item x="129"/>
        <item x="130"/>
        <item x="131"/>
        <item x="132"/>
        <item x="133"/>
        <item x="134"/>
        <item x="135"/>
        <item x="136"/>
        <item x="339"/>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340"/>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341"/>
        <item x="203"/>
        <item x="204"/>
        <item x="205"/>
        <item x="206"/>
        <item x="207"/>
        <item x="208"/>
        <item m="1" x="349"/>
        <item x="209"/>
        <item x="210"/>
        <item x="211"/>
        <item x="212"/>
        <item x="213"/>
        <item x="214"/>
        <item x="215"/>
        <item x="216"/>
        <item x="217"/>
        <item x="218"/>
        <item x="219"/>
        <item x="220"/>
        <item x="221"/>
        <item x="222"/>
        <item x="223"/>
        <item x="224"/>
        <item x="225"/>
        <item x="226"/>
        <item x="227"/>
        <item x="228"/>
        <item m="1" x="350"/>
        <item m="1" x="351"/>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342"/>
        <item x="298"/>
        <item x="299"/>
        <item x="300"/>
        <item x="301"/>
        <item x="302"/>
        <item x="303"/>
        <item x="304"/>
        <item x="305"/>
        <item x="306"/>
        <item x="307"/>
        <item x="308"/>
        <item x="309"/>
        <item x="310"/>
        <item x="311"/>
        <item x="312"/>
        <item x="313"/>
        <item m="1" x="352"/>
        <item m="1" x="353"/>
        <item x="314"/>
        <item x="343"/>
        <item x="315"/>
        <item x="316"/>
        <item x="317"/>
        <item x="318"/>
        <item x="319"/>
        <item x="320"/>
        <item x="321"/>
        <item x="322"/>
        <item x="323"/>
        <item x="324"/>
        <item x="325"/>
        <item x="326"/>
        <item x="327"/>
        <item x="328"/>
        <item x="329"/>
        <item x="330"/>
        <item x="331"/>
        <item x="332"/>
        <item x="333"/>
        <item x="334"/>
        <item t="default"/>
      </items>
    </pivotField>
    <pivotField axis="axisRow" showAll="0">
      <items count="22">
        <item x="7"/>
        <item x="13"/>
        <item x="8"/>
        <item x="6"/>
        <item m="1" x="19"/>
        <item x="5"/>
        <item m="1" x="20"/>
        <item x="1"/>
        <item m="1" x="17"/>
        <item x="12"/>
        <item x="9"/>
        <item x="4"/>
        <item x="2"/>
        <item x="11"/>
        <item x="14"/>
        <item x="0"/>
        <item m="1" x="16"/>
        <item x="10"/>
        <item x="3"/>
        <item x="15"/>
        <item m="1" x="18"/>
        <item t="default"/>
      </items>
    </pivotField>
    <pivotField showAll="0">
      <items count="32">
        <item x="22"/>
        <item x="27"/>
        <item x="26"/>
        <item x="11"/>
        <item x="16"/>
        <item x="0"/>
        <item x="2"/>
        <item x="23"/>
        <item x="17"/>
        <item x="6"/>
        <item x="4"/>
        <item x="7"/>
        <item x="25"/>
        <item x="18"/>
        <item x="8"/>
        <item x="10"/>
        <item x="29"/>
        <item x="3"/>
        <item x="20"/>
        <item x="12"/>
        <item x="21"/>
        <item x="13"/>
        <item x="9"/>
        <item x="14"/>
        <item x="1"/>
        <item x="19"/>
        <item x="5"/>
        <item x="15"/>
        <item x="24"/>
        <item x="30"/>
        <item x="28"/>
        <item t="default"/>
      </items>
    </pivotField>
    <pivotField showAll="0"/>
    <pivotField dataField="1" numFmtId="2" showAll="0"/>
    <pivotField showAll="0"/>
    <pivotField showAll="0"/>
    <pivotField axis="axisRow" showAll="0">
      <items count="369">
        <item h="1"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h="1" sd="0" x="367"/>
        <item t="default" sd="0"/>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27">
        <item sd="0" x="0"/>
        <item sd="0" x="1"/>
        <item sd="0" x="2"/>
        <item sd="0" x="3"/>
        <item sd="0" x="4"/>
        <item sd="0" x="5"/>
        <item sd="0" x="6"/>
        <item sd="0" x="7"/>
        <item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3">
    <field x="8"/>
    <field x="7"/>
    <field x="1"/>
  </rowFields>
  <rowItems count="13">
    <i>
      <x v="1"/>
    </i>
    <i>
      <x v="2"/>
    </i>
    <i>
      <x v="3"/>
    </i>
    <i>
      <x v="4"/>
    </i>
    <i>
      <x v="5"/>
    </i>
    <i>
      <x v="6"/>
    </i>
    <i>
      <x v="7"/>
    </i>
    <i>
      <x v="8"/>
    </i>
    <i>
      <x v="9"/>
    </i>
    <i>
      <x v="10"/>
    </i>
    <i>
      <x v="11"/>
    </i>
    <i>
      <x v="12"/>
    </i>
    <i t="grand">
      <x/>
    </i>
  </rowItems>
  <colItems count="1">
    <i/>
  </colItems>
  <dataFields count="1">
    <dataField name="Sum of Hours Worked" fld="4" baseField="0" baseItem="0" numFmtId="2"/>
  </dataFields>
  <formats count="9">
    <format dxfId="18">
      <pivotArea type="all" dataOnly="0" outline="0" fieldPosition="0"/>
    </format>
    <format dxfId="17">
      <pivotArea outline="0" collapsedLevelsAreSubtotals="1" fieldPosition="0"/>
    </format>
    <format dxfId="16">
      <pivotArea field="8" type="button" dataOnly="0" labelOnly="1" outline="0" axis="axisRow" fieldPosition="0"/>
    </format>
    <format dxfId="15">
      <pivotArea dataOnly="0" labelOnly="1" fieldPosition="0">
        <references count="1">
          <reference field="8" count="12">
            <x v="1"/>
            <x v="2"/>
            <x v="3"/>
            <x v="4"/>
            <x v="5"/>
            <x v="6"/>
            <x v="7"/>
            <x v="8"/>
            <x v="9"/>
            <x v="10"/>
            <x v="11"/>
            <x v="12"/>
          </reference>
        </references>
      </pivotArea>
    </format>
    <format dxfId="14">
      <pivotArea dataOnly="0" labelOnly="1" grandRow="1" outline="0" fieldPosition="0"/>
    </format>
    <format dxfId="13">
      <pivotArea dataOnly="0" labelOnly="1" outline="0" axis="axisValues" fieldPosition="0"/>
    </format>
    <format dxfId="12">
      <pivotArea dataOnly="0" labelOnly="1" fieldPosition="0">
        <references count="1">
          <reference field="8" count="12">
            <x v="1"/>
            <x v="2"/>
            <x v="3"/>
            <x v="4"/>
            <x v="5"/>
            <x v="6"/>
            <x v="7"/>
            <x v="8"/>
            <x v="9"/>
            <x v="10"/>
            <x v="11"/>
            <x v="12"/>
          </reference>
        </references>
      </pivotArea>
    </format>
    <format dxfId="11">
      <pivotArea dataOnly="0" labelOnly="1" fieldPosition="0">
        <references count="1">
          <reference field="8" count="0"/>
        </references>
      </pivotArea>
    </format>
    <format dxfId="10">
      <pivotArea dataOnly="0" labelOnly="1" fieldPosition="0">
        <references count="1">
          <reference field="8" count="0"/>
        </references>
      </pivotArea>
    </format>
  </formats>
  <conditionalFormats count="1">
    <conditionalFormat priority="1">
      <pivotAreas count="12">
        <pivotArea type="data" collapsedLevelsAreSubtotals="1" fieldPosition="0">
          <references count="2">
            <reference field="4294967294" count="1" selected="0">
              <x v="0"/>
            </reference>
            <reference field="8" count="1">
              <x v="1"/>
            </reference>
          </references>
        </pivotArea>
        <pivotArea type="data" collapsedLevelsAreSubtotals="1" fieldPosition="0">
          <references count="2">
            <reference field="4294967294" count="1" selected="0">
              <x v="0"/>
            </reference>
            <reference field="8" count="1">
              <x v="2"/>
            </reference>
          </references>
        </pivotArea>
        <pivotArea type="data" collapsedLevelsAreSubtotals="1" fieldPosition="0">
          <references count="2">
            <reference field="4294967294" count="1" selected="0">
              <x v="0"/>
            </reference>
            <reference field="8" count="1">
              <x v="3"/>
            </reference>
          </references>
        </pivotArea>
        <pivotArea type="data" collapsedLevelsAreSubtotals="1" fieldPosition="0">
          <references count="2">
            <reference field="4294967294" count="1" selected="0">
              <x v="0"/>
            </reference>
            <reference field="8" count="1">
              <x v="4"/>
            </reference>
          </references>
        </pivotArea>
        <pivotArea type="data" collapsedLevelsAreSubtotals="1" fieldPosition="0">
          <references count="2">
            <reference field="4294967294" count="1" selected="0">
              <x v="0"/>
            </reference>
            <reference field="8" count="1">
              <x v="5"/>
            </reference>
          </references>
        </pivotArea>
        <pivotArea type="data" collapsedLevelsAreSubtotals="1" fieldPosition="0">
          <references count="2">
            <reference field="4294967294" count="1" selected="0">
              <x v="0"/>
            </reference>
            <reference field="8" count="1">
              <x v="6"/>
            </reference>
          </references>
        </pivotArea>
        <pivotArea type="data" collapsedLevelsAreSubtotals="1" fieldPosition="0">
          <references count="2">
            <reference field="4294967294" count="1" selected="0">
              <x v="0"/>
            </reference>
            <reference field="8" count="1">
              <x v="7"/>
            </reference>
          </references>
        </pivotArea>
        <pivotArea type="data" collapsedLevelsAreSubtotals="1" fieldPosition="0">
          <references count="2">
            <reference field="4294967294" count="1" selected="0">
              <x v="0"/>
            </reference>
            <reference field="8" count="1">
              <x v="8"/>
            </reference>
          </references>
        </pivotArea>
        <pivotArea type="data" collapsedLevelsAreSubtotals="1" fieldPosition="0">
          <references count="2">
            <reference field="4294967294" count="1" selected="0">
              <x v="0"/>
            </reference>
            <reference field="8" count="1">
              <x v="9"/>
            </reference>
          </references>
        </pivotArea>
        <pivotArea type="data" collapsedLevelsAreSubtotals="1" fieldPosition="0">
          <references count="2">
            <reference field="4294967294" count="1" selected="0">
              <x v="0"/>
            </reference>
            <reference field="8" count="1">
              <x v="10"/>
            </reference>
          </references>
        </pivotArea>
        <pivotArea type="data" collapsedLevelsAreSubtotals="1" fieldPosition="0">
          <references count="2">
            <reference field="4294967294" count="1" selected="0">
              <x v="0"/>
            </reference>
            <reference field="8" count="1">
              <x v="11"/>
            </reference>
          </references>
        </pivotArea>
        <pivotArea type="data" collapsedLevelsAreSubtotals="1" fieldPosition="0">
          <references count="2">
            <reference field="4294967294" count="1" selected="0">
              <x v="0"/>
            </reference>
            <reference field="8" count="1">
              <x v="12"/>
            </reference>
          </references>
        </pivotArea>
      </pivotAreas>
    </conditionalFormat>
  </conditionalFormats>
  <chartFormats count="1">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88EE67-BB91-4D6E-B032-011FF42DA44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3" firstHeaderRow="1" firstDataRow="1" firstDataCol="1"/>
  <pivotFields count="2">
    <pivotField axis="axisRow" showAll="0">
      <items count="40">
        <item x="2"/>
        <item x="3"/>
        <item x="4"/>
        <item x="5"/>
        <item x="0"/>
        <item x="6"/>
        <item x="7"/>
        <item x="8"/>
        <item x="9"/>
        <item x="10"/>
        <item x="11"/>
        <item x="12"/>
        <item x="13"/>
        <item x="14"/>
        <item x="16"/>
        <item x="15"/>
        <item x="17"/>
        <item x="18"/>
        <item x="19"/>
        <item x="20"/>
        <item x="21"/>
        <item x="22"/>
        <item x="1"/>
        <item x="23"/>
        <item x="24"/>
        <item x="25"/>
        <item x="26"/>
        <item x="27"/>
        <item x="28"/>
        <item x="29"/>
        <item x="30"/>
        <item x="31"/>
        <item x="32"/>
        <item x="33"/>
        <item x="34"/>
        <item x="35"/>
        <item x="36"/>
        <item x="37"/>
        <item x="38"/>
        <item t="default"/>
      </items>
    </pivotField>
    <pivotField dataField="1" showAll="0"/>
  </pivotFields>
  <rowFields count="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Sum of Hour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FFE9B1-7191-4E3C-B47E-0BE91AB9C237}"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7" firstHeaderRow="1" firstDataRow="1" firstDataCol="1"/>
  <pivotFields count="2">
    <pivotField axis="axisRow" showAll="0">
      <items count="34">
        <item x="2"/>
        <item x="3"/>
        <item x="4"/>
        <item x="5"/>
        <item x="0"/>
        <item x="6"/>
        <item x="7"/>
        <item x="8"/>
        <item x="9"/>
        <item x="10"/>
        <item x="11"/>
        <item x="12"/>
        <item x="13"/>
        <item x="14"/>
        <item x="15"/>
        <item x="16"/>
        <item x="17"/>
        <item x="18"/>
        <item x="19"/>
        <item x="20"/>
        <item x="1"/>
        <item x="21"/>
        <item x="23"/>
        <item x="24"/>
        <item x="22"/>
        <item x="25"/>
        <item x="26"/>
        <item x="27"/>
        <item x="28"/>
        <item x="29"/>
        <item x="30"/>
        <item x="31"/>
        <item x="32"/>
        <item t="default"/>
      </items>
    </pivotField>
    <pivotField dataField="1" showAl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Hour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4.xml"/><Relationship Id="rId5" Type="http://schemas.openxmlformats.org/officeDocument/2006/relationships/printerSettings" Target="../printerSettings/printerSettings3.bin"/><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4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C0A7D-76B7-4242-838F-BCEF5A1A4819}">
  <sheetPr>
    <tabColor theme="3" tint="0.59999389629810485"/>
  </sheetPr>
  <dimension ref="A1:K101"/>
  <sheetViews>
    <sheetView zoomScaleNormal="100" workbookViewId="0">
      <pane ySplit="3" topLeftCell="A4" activePane="bottomLeft" state="frozen"/>
      <selection activeCell="A2" sqref="A1:B1048576"/>
      <selection pane="bottomLeft" activeCell="F65" sqref="F65"/>
    </sheetView>
  </sheetViews>
  <sheetFormatPr defaultRowHeight="15" x14ac:dyDescent="0.25"/>
  <cols>
    <col min="1" max="10" width="26.7109375" customWidth="1"/>
  </cols>
  <sheetData>
    <row r="1" spans="1:11" ht="15.75" customHeight="1" x14ac:dyDescent="0.25">
      <c r="A1" s="176" t="s">
        <v>365</v>
      </c>
      <c r="B1" s="176"/>
      <c r="C1" s="176"/>
      <c r="D1" s="176"/>
      <c r="E1" s="176"/>
      <c r="F1" s="176"/>
      <c r="G1" s="177"/>
      <c r="H1" s="177"/>
      <c r="I1" s="177"/>
      <c r="J1" s="177"/>
    </row>
    <row r="2" spans="1:11" s="3" customFormat="1" ht="15" customHeight="1" x14ac:dyDescent="0.25">
      <c r="A2" s="99" t="s">
        <v>366</v>
      </c>
      <c r="B2" s="99" t="s">
        <v>394</v>
      </c>
      <c r="C2" s="99" t="s">
        <v>36</v>
      </c>
      <c r="D2" s="99" t="s">
        <v>40</v>
      </c>
      <c r="E2" s="99" t="s">
        <v>42</v>
      </c>
      <c r="F2" s="99" t="s">
        <v>378</v>
      </c>
      <c r="G2" s="99" t="s">
        <v>369</v>
      </c>
      <c r="H2" s="179" t="s">
        <v>421</v>
      </c>
      <c r="I2" s="180"/>
      <c r="J2" s="181"/>
    </row>
    <row r="3" spans="1:11" ht="15" customHeight="1" x14ac:dyDescent="0.25">
      <c r="A3" s="101">
        <v>5520</v>
      </c>
      <c r="B3" s="102">
        <f>F3*A3</f>
        <v>115920</v>
      </c>
      <c r="C3" s="100">
        <v>460</v>
      </c>
      <c r="D3" s="100" t="s">
        <v>367</v>
      </c>
      <c r="E3" s="100" t="s">
        <v>368</v>
      </c>
      <c r="F3" s="102">
        <v>21</v>
      </c>
      <c r="G3" s="102">
        <f>(F3*20)*4</f>
        <v>1680</v>
      </c>
      <c r="H3" s="172" t="s">
        <v>382</v>
      </c>
      <c r="I3" s="172" t="s">
        <v>381</v>
      </c>
      <c r="J3" s="174" t="s">
        <v>418</v>
      </c>
    </row>
    <row r="4" spans="1:11" x14ac:dyDescent="0.25">
      <c r="A4" s="178" t="s">
        <v>379</v>
      </c>
      <c r="B4" s="178"/>
      <c r="C4" s="178"/>
      <c r="D4" s="178"/>
      <c r="E4" s="178"/>
      <c r="F4" s="178"/>
      <c r="G4" s="178"/>
      <c r="H4" s="178"/>
      <c r="I4" s="178"/>
      <c r="J4" s="178"/>
    </row>
    <row r="5" spans="1:11" x14ac:dyDescent="0.25">
      <c r="A5" s="178"/>
      <c r="B5" s="178"/>
      <c r="C5" s="178"/>
      <c r="D5" s="178"/>
      <c r="E5" s="178"/>
      <c r="F5" s="178"/>
      <c r="G5" s="178"/>
      <c r="H5" s="178"/>
      <c r="I5" s="178"/>
      <c r="J5" s="178"/>
    </row>
    <row r="13" spans="1:11" x14ac:dyDescent="0.25">
      <c r="H13" s="89"/>
      <c r="J13" s="175"/>
      <c r="K13" s="175"/>
    </row>
    <row r="43" spans="1:10" ht="15" customHeight="1" x14ac:dyDescent="0.25">
      <c r="A43" s="178" t="s">
        <v>381</v>
      </c>
      <c r="B43" s="178"/>
      <c r="C43" s="178"/>
      <c r="D43" s="178"/>
      <c r="E43" s="178"/>
      <c r="F43" s="178"/>
      <c r="G43" s="178"/>
      <c r="H43" s="178"/>
      <c r="I43" s="178"/>
      <c r="J43" s="178"/>
    </row>
    <row r="44" spans="1:10" x14ac:dyDescent="0.25">
      <c r="A44" s="178"/>
      <c r="B44" s="178"/>
      <c r="C44" s="178"/>
      <c r="D44" s="178"/>
      <c r="E44" s="178"/>
      <c r="F44" s="178"/>
      <c r="G44" s="178"/>
      <c r="H44" s="178"/>
      <c r="I44" s="178"/>
      <c r="J44" s="178"/>
    </row>
    <row r="46" spans="1:10" ht="15.75" x14ac:dyDescent="0.25">
      <c r="A46" s="117" t="s">
        <v>316</v>
      </c>
      <c r="B46" s="118"/>
      <c r="C46" s="118"/>
      <c r="D46" s="118"/>
      <c r="E46" s="118"/>
      <c r="F46" s="119"/>
      <c r="G46" s="72"/>
      <c r="H46" s="117" t="s">
        <v>354</v>
      </c>
      <c r="I46" s="119"/>
    </row>
    <row r="47" spans="1:10" x14ac:dyDescent="0.25">
      <c r="A47" s="82" t="s">
        <v>15</v>
      </c>
      <c r="B47" s="82" t="s">
        <v>16</v>
      </c>
      <c r="C47" s="82" t="s">
        <v>17</v>
      </c>
      <c r="D47" s="82" t="s">
        <v>18</v>
      </c>
      <c r="E47" s="82" t="s">
        <v>20</v>
      </c>
      <c r="F47" s="82" t="s">
        <v>19</v>
      </c>
      <c r="G47" s="3"/>
      <c r="H47" s="84" t="s">
        <v>355</v>
      </c>
      <c r="I47" s="90" t="s">
        <v>319</v>
      </c>
    </row>
    <row r="48" spans="1:10" x14ac:dyDescent="0.25">
      <c r="A48" s="57" t="s">
        <v>21</v>
      </c>
      <c r="B48" s="57">
        <f>SUM(C48:F48)</f>
        <v>333</v>
      </c>
      <c r="C48" s="11">
        <v>181.25</v>
      </c>
      <c r="D48" s="11">
        <v>119.75</v>
      </c>
      <c r="E48" s="11">
        <v>9</v>
      </c>
      <c r="F48" s="11">
        <v>23</v>
      </c>
      <c r="G48" s="121"/>
      <c r="H48" s="52" t="s">
        <v>320</v>
      </c>
      <c r="I48" s="51">
        <v>239.5</v>
      </c>
    </row>
    <row r="49" spans="1:9" x14ac:dyDescent="0.25">
      <c r="A49" s="57" t="s">
        <v>24</v>
      </c>
      <c r="B49" s="57">
        <f t="shared" ref="B49:B59" si="0">SUM(C49:F49)</f>
        <v>392.25</v>
      </c>
      <c r="C49" s="11">
        <v>203.25</v>
      </c>
      <c r="D49" s="11">
        <v>100.5</v>
      </c>
      <c r="E49" s="11">
        <v>0</v>
      </c>
      <c r="F49" s="11">
        <v>88.5</v>
      </c>
      <c r="G49" s="121"/>
      <c r="H49" s="52" t="s">
        <v>350</v>
      </c>
      <c r="I49" s="51">
        <v>152</v>
      </c>
    </row>
    <row r="50" spans="1:9" x14ac:dyDescent="0.25">
      <c r="A50" s="57" t="s">
        <v>26</v>
      </c>
      <c r="B50" s="57">
        <f t="shared" si="0"/>
        <v>464.5</v>
      </c>
      <c r="C50" s="11">
        <v>188</v>
      </c>
      <c r="D50" s="11">
        <v>174</v>
      </c>
      <c r="E50" s="11">
        <v>13.5</v>
      </c>
      <c r="F50" s="11">
        <v>89</v>
      </c>
      <c r="G50" s="121"/>
      <c r="H50" s="52" t="s">
        <v>341</v>
      </c>
      <c r="I50" s="51">
        <v>111.5</v>
      </c>
    </row>
    <row r="51" spans="1:9" x14ac:dyDescent="0.25">
      <c r="A51" s="57" t="s">
        <v>28</v>
      </c>
      <c r="B51" s="57">
        <f t="shared" si="0"/>
        <v>337.5</v>
      </c>
      <c r="C51" s="11">
        <v>178</v>
      </c>
      <c r="D51" s="11">
        <v>134.5</v>
      </c>
      <c r="E51" s="11">
        <v>0</v>
      </c>
      <c r="F51" s="11">
        <v>25</v>
      </c>
      <c r="G51" s="121"/>
      <c r="H51" s="52" t="s">
        <v>332</v>
      </c>
      <c r="I51" s="51">
        <v>92.5</v>
      </c>
    </row>
    <row r="52" spans="1:9" x14ac:dyDescent="0.25">
      <c r="A52" s="57" t="s">
        <v>6</v>
      </c>
      <c r="B52" s="57">
        <f t="shared" si="0"/>
        <v>374</v>
      </c>
      <c r="C52" s="11">
        <v>193</v>
      </c>
      <c r="D52" s="11">
        <v>76.5</v>
      </c>
      <c r="E52" s="11">
        <v>19.999999999999996</v>
      </c>
      <c r="F52" s="11">
        <v>84.5</v>
      </c>
      <c r="G52" s="121"/>
      <c r="H52" s="52" t="s">
        <v>328</v>
      </c>
      <c r="I52" s="51">
        <v>66.5</v>
      </c>
    </row>
    <row r="53" spans="1:9" x14ac:dyDescent="0.25">
      <c r="A53" s="57" t="s">
        <v>31</v>
      </c>
      <c r="B53" s="57">
        <f t="shared" si="0"/>
        <v>600.5</v>
      </c>
      <c r="C53" s="11">
        <v>284.5</v>
      </c>
      <c r="D53" s="11">
        <v>218</v>
      </c>
      <c r="E53" s="11">
        <v>0</v>
      </c>
      <c r="F53" s="11">
        <v>98</v>
      </c>
      <c r="G53" s="121"/>
      <c r="H53" s="52" t="s">
        <v>336</v>
      </c>
      <c r="I53" s="51">
        <v>57</v>
      </c>
    </row>
    <row r="54" spans="1:9" x14ac:dyDescent="0.25">
      <c r="A54" s="57" t="s">
        <v>33</v>
      </c>
      <c r="B54" s="57">
        <f t="shared" si="0"/>
        <v>685.75</v>
      </c>
      <c r="C54" s="11">
        <v>221.75</v>
      </c>
      <c r="D54" s="11">
        <v>146.5</v>
      </c>
      <c r="E54" s="11">
        <v>0</v>
      </c>
      <c r="F54" s="11">
        <v>317.5</v>
      </c>
      <c r="G54" s="121"/>
      <c r="H54" s="52" t="s">
        <v>331</v>
      </c>
      <c r="I54" s="51">
        <v>53.5</v>
      </c>
    </row>
    <row r="55" spans="1:9" x14ac:dyDescent="0.25">
      <c r="A55" s="57" t="s">
        <v>35</v>
      </c>
      <c r="B55" s="57">
        <f t="shared" si="0"/>
        <v>513</v>
      </c>
      <c r="C55" s="11">
        <v>236.5</v>
      </c>
      <c r="D55" s="11">
        <v>128.5</v>
      </c>
      <c r="E55" s="11">
        <v>9.5</v>
      </c>
      <c r="F55" s="11">
        <v>138.5</v>
      </c>
      <c r="G55" s="121"/>
      <c r="H55" s="52" t="s">
        <v>327</v>
      </c>
      <c r="I55" s="51">
        <v>43</v>
      </c>
    </row>
    <row r="56" spans="1:9" x14ac:dyDescent="0.25">
      <c r="A56" s="57" t="s">
        <v>37</v>
      </c>
      <c r="B56" s="57">
        <f t="shared" si="0"/>
        <v>378</v>
      </c>
      <c r="C56" s="11">
        <v>209.5</v>
      </c>
      <c r="D56" s="11">
        <v>161</v>
      </c>
      <c r="E56" s="11">
        <v>7.5</v>
      </c>
      <c r="F56" s="11">
        <v>0</v>
      </c>
      <c r="G56" s="121"/>
      <c r="H56" s="52" t="s">
        <v>266</v>
      </c>
      <c r="I56" s="51">
        <v>41</v>
      </c>
    </row>
    <row r="57" spans="1:9" x14ac:dyDescent="0.25">
      <c r="A57" s="57" t="s">
        <v>39</v>
      </c>
      <c r="B57" s="57">
        <f t="shared" si="0"/>
        <v>571.5</v>
      </c>
      <c r="C57" s="11">
        <v>253.5</v>
      </c>
      <c r="D57" s="11">
        <v>133</v>
      </c>
      <c r="E57" s="11">
        <v>0</v>
      </c>
      <c r="F57" s="11">
        <v>185</v>
      </c>
      <c r="G57" s="121"/>
      <c r="H57" s="52" t="s">
        <v>337</v>
      </c>
      <c r="I57" s="51">
        <v>40</v>
      </c>
    </row>
    <row r="58" spans="1:9" x14ac:dyDescent="0.25">
      <c r="A58" s="57" t="s">
        <v>41</v>
      </c>
      <c r="B58" s="57">
        <f t="shared" si="0"/>
        <v>491.5</v>
      </c>
      <c r="C58" s="11">
        <v>201</v>
      </c>
      <c r="D58" s="11">
        <v>215.5</v>
      </c>
      <c r="E58" s="11">
        <v>4.9999999999999991</v>
      </c>
      <c r="F58" s="11">
        <v>70</v>
      </c>
      <c r="G58" s="121"/>
      <c r="H58" s="52" t="s">
        <v>326</v>
      </c>
      <c r="I58" s="51">
        <v>34</v>
      </c>
    </row>
    <row r="59" spans="1:9" x14ac:dyDescent="0.25">
      <c r="A59" s="57" t="s">
        <v>43</v>
      </c>
      <c r="B59" s="57">
        <f t="shared" si="0"/>
        <v>378.5</v>
      </c>
      <c r="C59" s="16">
        <v>166.5</v>
      </c>
      <c r="D59" s="16">
        <v>96.5</v>
      </c>
      <c r="E59" s="16">
        <v>0</v>
      </c>
      <c r="F59" s="16">
        <v>115.5</v>
      </c>
      <c r="G59" s="121"/>
      <c r="H59" s="52" t="s">
        <v>347</v>
      </c>
      <c r="I59" s="51">
        <v>32.5</v>
      </c>
    </row>
    <row r="60" spans="1:9" x14ac:dyDescent="0.25">
      <c r="A60" s="59" t="s">
        <v>14</v>
      </c>
      <c r="B60" s="59">
        <f>SUM(B48:B59)</f>
        <v>5520</v>
      </c>
      <c r="C60" s="59">
        <f>SUM(C48:C59)</f>
        <v>2516.75</v>
      </c>
      <c r="D60" s="59">
        <f t="shared" ref="D60:F60" si="1">SUM(D48:D59)</f>
        <v>1704.25</v>
      </c>
      <c r="E60" s="59">
        <f t="shared" si="1"/>
        <v>64.5</v>
      </c>
      <c r="F60" s="59">
        <f t="shared" si="1"/>
        <v>1234.5</v>
      </c>
      <c r="G60" s="122"/>
      <c r="H60" s="52" t="s">
        <v>329</v>
      </c>
      <c r="I60" s="51">
        <v>29</v>
      </c>
    </row>
    <row r="61" spans="1:9" x14ac:dyDescent="0.25">
      <c r="H61" s="52" t="s">
        <v>321</v>
      </c>
      <c r="I61" s="51">
        <v>26</v>
      </c>
    </row>
    <row r="62" spans="1:9" ht="15.75" x14ac:dyDescent="0.25">
      <c r="A62" s="117" t="s">
        <v>364</v>
      </c>
      <c r="B62" s="118"/>
      <c r="C62" s="118"/>
      <c r="D62" s="118"/>
      <c r="E62" s="118"/>
      <c r="F62" s="119"/>
      <c r="H62" s="52" t="s">
        <v>340</v>
      </c>
      <c r="I62" s="51">
        <v>25</v>
      </c>
    </row>
    <row r="63" spans="1:9" x14ac:dyDescent="0.25">
      <c r="A63" s="91"/>
      <c r="B63" s="90" t="s">
        <v>359</v>
      </c>
      <c r="C63" s="84" t="s">
        <v>360</v>
      </c>
      <c r="D63" s="84" t="s">
        <v>361</v>
      </c>
      <c r="E63" s="84" t="s">
        <v>363</v>
      </c>
      <c r="F63" s="84" t="s">
        <v>362</v>
      </c>
      <c r="H63" s="52" t="s">
        <v>323</v>
      </c>
      <c r="I63" s="51">
        <v>24</v>
      </c>
    </row>
    <row r="64" spans="1:9" ht="15.75" x14ac:dyDescent="0.25">
      <c r="A64" s="86" t="s">
        <v>17</v>
      </c>
      <c r="B64" s="85">
        <v>23.5</v>
      </c>
      <c r="C64" s="51">
        <v>123</v>
      </c>
      <c r="D64" s="51">
        <v>433.25</v>
      </c>
      <c r="E64" s="51">
        <v>1933</v>
      </c>
      <c r="F64" s="51">
        <v>3.9999999999999991</v>
      </c>
      <c r="H64" s="52" t="s">
        <v>334</v>
      </c>
      <c r="I64" s="51">
        <v>20</v>
      </c>
    </row>
    <row r="65" spans="1:9" ht="15.75" x14ac:dyDescent="0.25">
      <c r="A65" s="86" t="s">
        <v>18</v>
      </c>
      <c r="B65" s="85">
        <v>242</v>
      </c>
      <c r="C65" s="51">
        <v>138.5</v>
      </c>
      <c r="D65" s="51">
        <v>653.5</v>
      </c>
      <c r="E65" s="51">
        <v>637.25</v>
      </c>
      <c r="F65" s="51">
        <v>4</v>
      </c>
      <c r="H65" s="52" t="s">
        <v>351</v>
      </c>
      <c r="I65" s="51">
        <v>16.5</v>
      </c>
    </row>
    <row r="66" spans="1:9" ht="15.75" x14ac:dyDescent="0.25">
      <c r="A66" s="86" t="s">
        <v>20</v>
      </c>
      <c r="B66" s="85">
        <v>7.5</v>
      </c>
      <c r="C66" s="51"/>
      <c r="D66" s="51">
        <v>53</v>
      </c>
      <c r="E66" s="51">
        <v>4</v>
      </c>
      <c r="F66" s="51"/>
      <c r="H66" s="52" t="s">
        <v>333</v>
      </c>
      <c r="I66" s="51">
        <v>14.5</v>
      </c>
    </row>
    <row r="67" spans="1:9" x14ac:dyDescent="0.25">
      <c r="H67" s="52" t="s">
        <v>325</v>
      </c>
      <c r="I67" s="51">
        <v>13.5</v>
      </c>
    </row>
    <row r="68" spans="1:9" x14ac:dyDescent="0.25">
      <c r="H68" s="52" t="s">
        <v>338</v>
      </c>
      <c r="I68" s="51">
        <v>12</v>
      </c>
    </row>
    <row r="69" spans="1:9" x14ac:dyDescent="0.25">
      <c r="H69" s="52" t="s">
        <v>339</v>
      </c>
      <c r="I69" s="51">
        <v>11</v>
      </c>
    </row>
    <row r="70" spans="1:9" x14ac:dyDescent="0.25">
      <c r="H70" s="52" t="s">
        <v>342</v>
      </c>
      <c r="I70" s="51">
        <v>10</v>
      </c>
    </row>
    <row r="71" spans="1:9" x14ac:dyDescent="0.25">
      <c r="H71" s="52" t="s">
        <v>343</v>
      </c>
      <c r="I71" s="51">
        <v>10</v>
      </c>
    </row>
    <row r="72" spans="1:9" x14ac:dyDescent="0.25">
      <c r="H72" s="52" t="s">
        <v>330</v>
      </c>
      <c r="I72" s="51">
        <v>9</v>
      </c>
    </row>
    <row r="73" spans="1:9" x14ac:dyDescent="0.25">
      <c r="H73" s="52" t="s">
        <v>324</v>
      </c>
      <c r="I73" s="51">
        <v>9</v>
      </c>
    </row>
    <row r="74" spans="1:9" x14ac:dyDescent="0.25">
      <c r="H74" s="52" t="s">
        <v>119</v>
      </c>
      <c r="I74" s="51">
        <v>8</v>
      </c>
    </row>
    <row r="75" spans="1:9" x14ac:dyDescent="0.25">
      <c r="H75" s="52" t="s">
        <v>344</v>
      </c>
      <c r="I75" s="51">
        <v>8</v>
      </c>
    </row>
    <row r="76" spans="1:9" x14ac:dyDescent="0.25">
      <c r="H76" s="52" t="s">
        <v>141</v>
      </c>
      <c r="I76" s="51">
        <v>6</v>
      </c>
    </row>
    <row r="77" spans="1:9" x14ac:dyDescent="0.25">
      <c r="H77" s="52" t="s">
        <v>146</v>
      </c>
      <c r="I77" s="51">
        <v>5.5</v>
      </c>
    </row>
    <row r="78" spans="1:9" x14ac:dyDescent="0.25">
      <c r="H78" s="52" t="s">
        <v>147</v>
      </c>
      <c r="I78" s="51">
        <v>4</v>
      </c>
    </row>
    <row r="79" spans="1:9" x14ac:dyDescent="0.25">
      <c r="H79" s="52" t="s">
        <v>293</v>
      </c>
      <c r="I79" s="51">
        <v>4</v>
      </c>
    </row>
    <row r="80" spans="1:9" x14ac:dyDescent="0.25">
      <c r="H80" s="52" t="s">
        <v>176</v>
      </c>
      <c r="I80" s="51">
        <v>3.5</v>
      </c>
    </row>
    <row r="81" spans="8:9" x14ac:dyDescent="0.25">
      <c r="H81" s="52" t="s">
        <v>383</v>
      </c>
      <c r="I81" s="51">
        <v>3</v>
      </c>
    </row>
    <row r="82" spans="8:9" x14ac:dyDescent="0.25">
      <c r="H82" s="112" t="s">
        <v>384</v>
      </c>
      <c r="I82" s="113">
        <f>AVERAGE(I48:I81)</f>
        <v>36.308823529411768</v>
      </c>
    </row>
    <row r="101" spans="1:1" x14ac:dyDescent="0.25">
      <c r="A101" s="111" t="s">
        <v>78</v>
      </c>
    </row>
  </sheetData>
  <autoFilter ref="H47:H81" xr:uid="{216C0A7D-76B7-4242-838F-BCEF5A1A4819}"/>
  <sortState xmlns:xlrd2="http://schemas.microsoft.com/office/spreadsheetml/2017/richdata2" ref="H48:I81">
    <sortCondition descending="1" ref="I47:I81"/>
  </sortState>
  <mergeCells count="5">
    <mergeCell ref="J13:K13"/>
    <mergeCell ref="A1:J1"/>
    <mergeCell ref="A43:J44"/>
    <mergeCell ref="A4:J5"/>
    <mergeCell ref="H2:J2"/>
  </mergeCells>
  <conditionalFormatting sqref="B48:B59">
    <cfRule type="colorScale" priority="10">
      <colorScale>
        <cfvo type="min"/>
        <cfvo type="percentile" val="50"/>
        <cfvo type="max"/>
        <color rgb="FFF8696B"/>
        <color rgb="FFFFEB84"/>
        <color rgb="FF63BE7B"/>
      </colorScale>
    </cfRule>
  </conditionalFormatting>
  <conditionalFormatting sqref="C48:C59">
    <cfRule type="colorScale" priority="4">
      <colorScale>
        <cfvo type="min"/>
        <cfvo type="percentile" val="50"/>
        <cfvo type="max"/>
        <color rgb="FFF8696B"/>
        <color rgb="FFFFEB84"/>
        <color rgb="FF63BE7B"/>
      </colorScale>
    </cfRule>
  </conditionalFormatting>
  <conditionalFormatting sqref="D48:D59">
    <cfRule type="colorScale" priority="3">
      <colorScale>
        <cfvo type="min"/>
        <cfvo type="percentile" val="50"/>
        <cfvo type="max"/>
        <color rgb="FFF8696B"/>
        <color rgb="FFFFEB84"/>
        <color rgb="FF63BE7B"/>
      </colorScale>
    </cfRule>
  </conditionalFormatting>
  <conditionalFormatting sqref="E48:E59">
    <cfRule type="colorScale" priority="2">
      <colorScale>
        <cfvo type="min"/>
        <cfvo type="percentile" val="50"/>
        <cfvo type="max"/>
        <color rgb="FFF8696B"/>
        <color rgb="FFFFEB84"/>
        <color rgb="FF63BE7B"/>
      </colorScale>
    </cfRule>
  </conditionalFormatting>
  <conditionalFormatting sqref="F48:F59">
    <cfRule type="colorScale" priority="1">
      <colorScale>
        <cfvo type="min"/>
        <cfvo type="percentile" val="50"/>
        <cfvo type="max"/>
        <color rgb="FFF8696B"/>
        <color rgb="FFFFEB84"/>
        <color rgb="FF63BE7B"/>
      </colorScale>
    </cfRule>
  </conditionalFormatting>
  <conditionalFormatting sqref="I47:I81">
    <cfRule type="aboveAverage" dxfId="9" priority="6"/>
  </conditionalFormatting>
  <conditionalFormatting sqref="I48:I81">
    <cfRule type="aboveAverage" dxfId="8" priority="5" aboveAverage="0"/>
  </conditionalFormatting>
  <hyperlinks>
    <hyperlink ref="I3" location="'2024 Dashboard'!A73" display="Table" xr:uid="{CA184ECC-D757-4A8C-8158-0E8511AB8E7C}"/>
    <hyperlink ref="H3" location="'2024 Dashboard'!A4" display="Chart" xr:uid="{93E1C848-BC01-4315-9260-56C4D6BC8896}"/>
    <hyperlink ref="J3" location="'2024 Dashboard'!A85" display="Summary" xr:uid="{076B367D-E8A1-4A42-890A-0EE4EA5695CC}"/>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49941-F62A-4214-A871-74D7C2C9D41C}">
  <sheetPr>
    <tabColor theme="3" tint="0.59999389629810485"/>
  </sheetPr>
  <dimension ref="A1:K102"/>
  <sheetViews>
    <sheetView tabSelected="1" zoomScaleNormal="100" workbookViewId="0">
      <pane ySplit="3" topLeftCell="A87" activePane="bottomLeft" state="frozen"/>
      <selection activeCell="A2" sqref="A1:B1048576"/>
      <selection pane="bottomLeft" activeCell="D118" sqref="D118"/>
    </sheetView>
  </sheetViews>
  <sheetFormatPr defaultRowHeight="15" x14ac:dyDescent="0.25"/>
  <cols>
    <col min="1" max="10" width="26.7109375" customWidth="1"/>
  </cols>
  <sheetData>
    <row r="1" spans="1:11" ht="15.75" customHeight="1" x14ac:dyDescent="0.25">
      <c r="A1" s="176" t="s">
        <v>399</v>
      </c>
      <c r="B1" s="176"/>
      <c r="C1" s="176"/>
      <c r="D1" s="176"/>
      <c r="E1" s="176"/>
      <c r="F1" s="176"/>
      <c r="G1" s="177"/>
      <c r="H1" s="177"/>
      <c r="I1" s="177"/>
      <c r="J1" s="177"/>
    </row>
    <row r="2" spans="1:11" s="3" customFormat="1" ht="15" customHeight="1" x14ac:dyDescent="0.25">
      <c r="A2" s="99" t="s">
        <v>366</v>
      </c>
      <c r="B2" s="99" t="s">
        <v>394</v>
      </c>
      <c r="C2" s="99" t="s">
        <v>36</v>
      </c>
      <c r="D2" s="99" t="s">
        <v>400</v>
      </c>
      <c r="E2" s="99" t="s">
        <v>401</v>
      </c>
      <c r="F2" s="99" t="s">
        <v>378</v>
      </c>
      <c r="G2" s="99" t="s">
        <v>369</v>
      </c>
      <c r="H2" s="179" t="s">
        <v>421</v>
      </c>
      <c r="I2" s="180"/>
      <c r="J2" s="181"/>
    </row>
    <row r="3" spans="1:11" ht="15" customHeight="1" x14ac:dyDescent="0.25">
      <c r="A3" s="101">
        <f>D64</f>
        <v>5479.5</v>
      </c>
      <c r="B3" s="102">
        <f>G64</f>
        <v>115069.5</v>
      </c>
      <c r="C3" s="128">
        <f>D64/12</f>
        <v>456.625</v>
      </c>
      <c r="D3" s="129">
        <f>E64</f>
        <v>-40.5</v>
      </c>
      <c r="E3" s="171">
        <f>H64</f>
        <v>-850.5</v>
      </c>
      <c r="F3" s="102">
        <v>21</v>
      </c>
      <c r="G3" s="102">
        <f>(F3*20)*4</f>
        <v>1680</v>
      </c>
      <c r="H3" s="172" t="s">
        <v>382</v>
      </c>
      <c r="I3" s="173" t="s">
        <v>381</v>
      </c>
      <c r="J3" s="172" t="s">
        <v>418</v>
      </c>
    </row>
    <row r="4" spans="1:11" x14ac:dyDescent="0.25">
      <c r="A4" s="178" t="s">
        <v>379</v>
      </c>
      <c r="B4" s="178"/>
      <c r="C4" s="178"/>
      <c r="D4" s="178"/>
      <c r="E4" s="178"/>
      <c r="F4" s="178"/>
      <c r="G4" s="178"/>
      <c r="H4" s="178"/>
      <c r="I4" s="178"/>
      <c r="J4" s="178"/>
    </row>
    <row r="5" spans="1:11" x14ac:dyDescent="0.25">
      <c r="A5" s="178"/>
      <c r="B5" s="178"/>
      <c r="C5" s="178"/>
      <c r="D5" s="178"/>
      <c r="E5" s="178"/>
      <c r="F5" s="178"/>
      <c r="G5" s="178"/>
      <c r="H5" s="178"/>
      <c r="I5" s="178"/>
      <c r="J5" s="178"/>
    </row>
    <row r="13" spans="1:11" x14ac:dyDescent="0.25">
      <c r="H13" s="89"/>
      <c r="J13" s="175"/>
      <c r="K13" s="175"/>
    </row>
    <row r="47" spans="1:10" ht="15" customHeight="1" x14ac:dyDescent="0.25">
      <c r="A47" s="178" t="s">
        <v>381</v>
      </c>
      <c r="B47" s="178"/>
      <c r="C47" s="178"/>
      <c r="D47" s="178"/>
      <c r="E47" s="178"/>
      <c r="F47" s="178"/>
      <c r="G47" s="178"/>
      <c r="H47" s="178"/>
      <c r="I47" s="178"/>
      <c r="J47" s="178"/>
    </row>
    <row r="48" spans="1:10" x14ac:dyDescent="0.25">
      <c r="A48" s="178"/>
      <c r="B48" s="178"/>
      <c r="C48" s="178"/>
      <c r="D48" s="178"/>
      <c r="E48" s="178"/>
      <c r="F48" s="178"/>
      <c r="G48" s="178"/>
      <c r="H48" s="178"/>
      <c r="I48" s="178"/>
      <c r="J48" s="178"/>
    </row>
    <row r="50" spans="2:10" ht="15.75" x14ac:dyDescent="0.25">
      <c r="B50" s="182" t="s">
        <v>412</v>
      </c>
      <c r="C50" s="183"/>
      <c r="D50" s="183"/>
      <c r="E50" s="183"/>
      <c r="F50" s="183"/>
      <c r="G50" s="183"/>
      <c r="H50" s="183"/>
      <c r="I50" s="184"/>
    </row>
    <row r="51" spans="2:10" x14ac:dyDescent="0.25">
      <c r="B51" s="84" t="s">
        <v>388</v>
      </c>
      <c r="C51" s="84" t="s">
        <v>386</v>
      </c>
      <c r="D51" s="84" t="s">
        <v>411</v>
      </c>
      <c r="E51" s="84" t="s">
        <v>397</v>
      </c>
      <c r="F51" s="168" t="s">
        <v>389</v>
      </c>
      <c r="G51" s="168" t="s">
        <v>390</v>
      </c>
      <c r="H51" s="168" t="s">
        <v>397</v>
      </c>
      <c r="I51" s="84" t="s">
        <v>398</v>
      </c>
    </row>
    <row r="52" spans="2:10" x14ac:dyDescent="0.25">
      <c r="B52" s="115" t="s">
        <v>21</v>
      </c>
      <c r="C52" s="51">
        <v>333</v>
      </c>
      <c r="D52" s="51">
        <v>301.5</v>
      </c>
      <c r="E52" s="126">
        <f t="shared" ref="E52:E64" si="0">D52-C52</f>
        <v>-31.5</v>
      </c>
      <c r="F52" s="170">
        <v>6993</v>
      </c>
      <c r="G52" s="170">
        <v>6331.5</v>
      </c>
      <c r="H52" s="166">
        <f>G52-F52</f>
        <v>-661.5</v>
      </c>
      <c r="I52" s="124">
        <f t="shared" ref="I52:I64" si="1">(D52-C52)/C52</f>
        <v>-9.45945945945946E-2</v>
      </c>
      <c r="J52" s="187"/>
    </row>
    <row r="53" spans="2:10" x14ac:dyDescent="0.25">
      <c r="B53" s="115" t="s">
        <v>24</v>
      </c>
      <c r="C53" s="51">
        <v>392.25</v>
      </c>
      <c r="D53" s="51">
        <v>376.25</v>
      </c>
      <c r="E53" s="126">
        <f t="shared" si="0"/>
        <v>-16</v>
      </c>
      <c r="F53" s="170">
        <v>8237.25</v>
      </c>
      <c r="G53" s="170">
        <v>7901.25</v>
      </c>
      <c r="H53" s="166">
        <f t="shared" ref="H53:H64" si="2">G53-F53</f>
        <v>-336</v>
      </c>
      <c r="I53" s="124">
        <f t="shared" si="1"/>
        <v>-4.0790312300828552E-2</v>
      </c>
    </row>
    <row r="54" spans="2:10" x14ac:dyDescent="0.25">
      <c r="B54" s="115" t="s">
        <v>26</v>
      </c>
      <c r="C54" s="51">
        <v>464.5</v>
      </c>
      <c r="D54" s="51">
        <v>442.5</v>
      </c>
      <c r="E54" s="126">
        <f t="shared" si="0"/>
        <v>-22</v>
      </c>
      <c r="F54" s="170">
        <v>9754.5</v>
      </c>
      <c r="G54" s="170">
        <v>9292.5</v>
      </c>
      <c r="H54" s="166">
        <f t="shared" si="2"/>
        <v>-462</v>
      </c>
      <c r="I54" s="124">
        <f t="shared" si="1"/>
        <v>-4.7362755651237889E-2</v>
      </c>
    </row>
    <row r="55" spans="2:10" x14ac:dyDescent="0.25">
      <c r="B55" s="115" t="s">
        <v>28</v>
      </c>
      <c r="C55" s="51">
        <v>337.5</v>
      </c>
      <c r="D55" s="51">
        <v>301.5</v>
      </c>
      <c r="E55" s="126">
        <f t="shared" si="0"/>
        <v>-36</v>
      </c>
      <c r="F55" s="170">
        <v>7087.5</v>
      </c>
      <c r="G55" s="170">
        <v>6331.5</v>
      </c>
      <c r="H55" s="166">
        <f t="shared" si="2"/>
        <v>-756</v>
      </c>
      <c r="I55" s="124">
        <f t="shared" si="1"/>
        <v>-0.10666666666666667</v>
      </c>
    </row>
    <row r="56" spans="2:10" x14ac:dyDescent="0.25">
      <c r="B56" s="115" t="s">
        <v>6</v>
      </c>
      <c r="C56" s="51">
        <v>375</v>
      </c>
      <c r="D56" s="51">
        <v>377</v>
      </c>
      <c r="E56" s="126">
        <f t="shared" si="0"/>
        <v>2</v>
      </c>
      <c r="F56" s="170">
        <v>7875</v>
      </c>
      <c r="G56" s="170">
        <v>7917</v>
      </c>
      <c r="H56" s="166">
        <f t="shared" si="2"/>
        <v>42</v>
      </c>
      <c r="I56" s="124">
        <f t="shared" si="1"/>
        <v>5.3333333333333332E-3</v>
      </c>
    </row>
    <row r="57" spans="2:10" x14ac:dyDescent="0.25">
      <c r="B57" s="115" t="s">
        <v>31</v>
      </c>
      <c r="C57" s="51">
        <v>600.5</v>
      </c>
      <c r="D57" s="51">
        <v>638.5</v>
      </c>
      <c r="E57" s="126">
        <f t="shared" si="0"/>
        <v>38</v>
      </c>
      <c r="F57" s="170">
        <v>12610.5</v>
      </c>
      <c r="G57" s="170">
        <v>13408.5</v>
      </c>
      <c r="H57" s="166">
        <f t="shared" si="2"/>
        <v>798</v>
      </c>
      <c r="I57" s="124">
        <f t="shared" si="1"/>
        <v>6.3280599500416326E-2</v>
      </c>
    </row>
    <row r="58" spans="2:10" x14ac:dyDescent="0.25">
      <c r="B58" s="115" t="s">
        <v>33</v>
      </c>
      <c r="C58" s="51">
        <v>685.75</v>
      </c>
      <c r="D58" s="51">
        <v>727.75</v>
      </c>
      <c r="E58" s="126">
        <f t="shared" si="0"/>
        <v>42</v>
      </c>
      <c r="F58" s="166">
        <v>14400.75</v>
      </c>
      <c r="G58" s="166">
        <v>15282.75</v>
      </c>
      <c r="H58" s="166">
        <f t="shared" si="2"/>
        <v>882</v>
      </c>
      <c r="I58" s="124">
        <f t="shared" si="1"/>
        <v>6.1246810061975937E-2</v>
      </c>
    </row>
    <row r="59" spans="2:10" x14ac:dyDescent="0.25">
      <c r="B59" s="115" t="s">
        <v>35</v>
      </c>
      <c r="C59" s="51">
        <v>513</v>
      </c>
      <c r="D59" s="51">
        <v>523</v>
      </c>
      <c r="E59" s="126">
        <f t="shared" si="0"/>
        <v>10</v>
      </c>
      <c r="F59" s="166">
        <v>10773</v>
      </c>
      <c r="G59" s="166">
        <v>10983</v>
      </c>
      <c r="H59" s="166">
        <f t="shared" si="2"/>
        <v>210</v>
      </c>
      <c r="I59" s="124">
        <f t="shared" si="1"/>
        <v>1.9493177387914229E-2</v>
      </c>
    </row>
    <row r="60" spans="2:10" x14ac:dyDescent="0.25">
      <c r="B60" s="115" t="s">
        <v>37</v>
      </c>
      <c r="C60" s="51">
        <v>378</v>
      </c>
      <c r="D60" s="51">
        <v>336</v>
      </c>
      <c r="E60" s="126">
        <f t="shared" si="0"/>
        <v>-42</v>
      </c>
      <c r="F60" s="166">
        <v>7938</v>
      </c>
      <c r="G60" s="166">
        <v>7056</v>
      </c>
      <c r="H60" s="166">
        <f t="shared" si="2"/>
        <v>-882</v>
      </c>
      <c r="I60" s="124">
        <f t="shared" si="1"/>
        <v>-0.1111111111111111</v>
      </c>
    </row>
    <row r="61" spans="2:10" x14ac:dyDescent="0.25">
      <c r="B61" s="115" t="s">
        <v>39</v>
      </c>
      <c r="C61" s="51">
        <v>571.5</v>
      </c>
      <c r="D61" s="51">
        <v>565.5</v>
      </c>
      <c r="E61" s="126">
        <f t="shared" si="0"/>
        <v>-6</v>
      </c>
      <c r="F61" s="166">
        <v>12001.5</v>
      </c>
      <c r="G61" s="166">
        <v>11875.5</v>
      </c>
      <c r="H61" s="166">
        <f t="shared" si="2"/>
        <v>-126</v>
      </c>
      <c r="I61" s="124">
        <f t="shared" si="1"/>
        <v>-1.0498687664041995E-2</v>
      </c>
    </row>
    <row r="62" spans="2:10" x14ac:dyDescent="0.25">
      <c r="B62" s="115" t="s">
        <v>41</v>
      </c>
      <c r="C62" s="51">
        <v>491.5</v>
      </c>
      <c r="D62" s="51">
        <v>485.5</v>
      </c>
      <c r="E62" s="126">
        <f t="shared" si="0"/>
        <v>-6</v>
      </c>
      <c r="F62" s="166">
        <v>10321.5</v>
      </c>
      <c r="G62" s="166">
        <v>10195.5</v>
      </c>
      <c r="H62" s="166">
        <f t="shared" si="2"/>
        <v>-126</v>
      </c>
      <c r="I62" s="124">
        <f t="shared" si="1"/>
        <v>-1.2207527975584944E-2</v>
      </c>
    </row>
    <row r="63" spans="2:10" x14ac:dyDescent="0.25">
      <c r="B63" s="115" t="s">
        <v>43</v>
      </c>
      <c r="C63" s="51">
        <v>378.5</v>
      </c>
      <c r="D63" s="51">
        <v>404.5</v>
      </c>
      <c r="E63" s="126">
        <f t="shared" si="0"/>
        <v>26</v>
      </c>
      <c r="F63" s="166">
        <v>7948.5</v>
      </c>
      <c r="G63" s="166">
        <v>8494.5</v>
      </c>
      <c r="H63" s="166">
        <f t="shared" si="2"/>
        <v>546</v>
      </c>
      <c r="I63" s="124">
        <f t="shared" si="1"/>
        <v>6.8692206076618231E-2</v>
      </c>
    </row>
    <row r="64" spans="2:10" x14ac:dyDescent="0.25">
      <c r="B64" s="84" t="s">
        <v>14</v>
      </c>
      <c r="C64" s="84">
        <v>5520</v>
      </c>
      <c r="D64" s="84">
        <f>SUM(D52:D63)</f>
        <v>5479.5</v>
      </c>
      <c r="E64" s="127">
        <f t="shared" si="0"/>
        <v>-40.5</v>
      </c>
      <c r="F64" s="169">
        <v>115920</v>
      </c>
      <c r="G64" s="169">
        <f>SUM(G52:G63)</f>
        <v>115069.5</v>
      </c>
      <c r="H64" s="169">
        <f t="shared" si="2"/>
        <v>-850.5</v>
      </c>
      <c r="I64" s="125">
        <f t="shared" si="1"/>
        <v>-7.3369565217391306E-3</v>
      </c>
    </row>
    <row r="65" spans="2:9" x14ac:dyDescent="0.25">
      <c r="H65" s="88"/>
    </row>
    <row r="66" spans="2:9" ht="15.75" x14ac:dyDescent="0.25">
      <c r="B66" s="182" t="s">
        <v>414</v>
      </c>
      <c r="C66" s="183"/>
      <c r="D66" s="183"/>
      <c r="E66" s="183"/>
      <c r="F66" s="183"/>
      <c r="G66" s="183"/>
      <c r="H66" s="183"/>
      <c r="I66" s="184"/>
    </row>
    <row r="67" spans="2:9" x14ac:dyDescent="0.25">
      <c r="B67" s="84" t="s">
        <v>388</v>
      </c>
      <c r="C67" s="84" t="s">
        <v>386</v>
      </c>
      <c r="D67" s="84" t="s">
        <v>411</v>
      </c>
      <c r="E67" s="84" t="s">
        <v>397</v>
      </c>
      <c r="F67" s="168" t="s">
        <v>389</v>
      </c>
      <c r="G67" s="168" t="s">
        <v>390</v>
      </c>
      <c r="H67" s="168" t="s">
        <v>397</v>
      </c>
      <c r="I67" s="84" t="s">
        <v>398</v>
      </c>
    </row>
    <row r="68" spans="2:9" x14ac:dyDescent="0.25">
      <c r="B68" s="115" t="s">
        <v>21</v>
      </c>
      <c r="C68" s="51">
        <v>174.25</v>
      </c>
      <c r="D68" s="51">
        <v>116.25</v>
      </c>
      <c r="E68" s="151">
        <f>D68-C68</f>
        <v>-58</v>
      </c>
      <c r="F68" s="166">
        <v>3659.25</v>
      </c>
      <c r="G68" s="166">
        <v>2441.25</v>
      </c>
      <c r="H68" s="166">
        <f>G68-F68</f>
        <v>-1218</v>
      </c>
      <c r="I68" s="124">
        <f t="shared" ref="I68:I80" si="3">(D68-C68)/C68</f>
        <v>-0.33285509325681489</v>
      </c>
    </row>
    <row r="69" spans="2:9" x14ac:dyDescent="0.25">
      <c r="B69" s="115" t="s">
        <v>24</v>
      </c>
      <c r="C69" s="51">
        <v>156.75</v>
      </c>
      <c r="D69" s="51">
        <v>104.75</v>
      </c>
      <c r="E69" s="151">
        <f t="shared" ref="E69:E80" si="4">D69-C69</f>
        <v>-52</v>
      </c>
      <c r="F69" s="166">
        <v>3291.75</v>
      </c>
      <c r="G69" s="166">
        <v>2199.75</v>
      </c>
      <c r="H69" s="166">
        <v>-1092</v>
      </c>
      <c r="I69" s="124">
        <f t="shared" si="3"/>
        <v>-0.33173843700159489</v>
      </c>
    </row>
    <row r="70" spans="2:9" x14ac:dyDescent="0.25">
      <c r="B70" s="115" t="s">
        <v>26</v>
      </c>
      <c r="C70" s="51">
        <v>170</v>
      </c>
      <c r="D70" s="51">
        <v>112</v>
      </c>
      <c r="E70" s="151">
        <f t="shared" si="4"/>
        <v>-58</v>
      </c>
      <c r="F70" s="166">
        <v>3570</v>
      </c>
      <c r="G70" s="166">
        <v>2352</v>
      </c>
      <c r="H70" s="166">
        <v>-1218</v>
      </c>
      <c r="I70" s="124">
        <f t="shared" si="3"/>
        <v>-0.3411764705882353</v>
      </c>
    </row>
    <row r="71" spans="2:9" x14ac:dyDescent="0.25">
      <c r="B71" s="115" t="s">
        <v>28</v>
      </c>
      <c r="C71" s="51">
        <v>161</v>
      </c>
      <c r="D71" s="51">
        <v>107.00000000000001</v>
      </c>
      <c r="E71" s="151">
        <f t="shared" si="4"/>
        <v>-53.999999999999986</v>
      </c>
      <c r="F71" s="166">
        <v>3381</v>
      </c>
      <c r="G71" s="166">
        <v>2247.0000000000005</v>
      </c>
      <c r="H71" s="166">
        <v>-1133.9999999999995</v>
      </c>
      <c r="I71" s="124">
        <f t="shared" si="3"/>
        <v>-0.33540372670807445</v>
      </c>
    </row>
    <row r="72" spans="2:9" x14ac:dyDescent="0.25">
      <c r="B72" s="115" t="s">
        <v>6</v>
      </c>
      <c r="C72" s="51">
        <v>155.5</v>
      </c>
      <c r="D72" s="51">
        <v>97.500000000000014</v>
      </c>
      <c r="E72" s="151">
        <f t="shared" si="4"/>
        <v>-57.999999999999986</v>
      </c>
      <c r="F72" s="166">
        <v>3265.5</v>
      </c>
      <c r="G72" s="166">
        <v>2047.5000000000002</v>
      </c>
      <c r="H72" s="166">
        <v>-1217.9999999999998</v>
      </c>
      <c r="I72" s="124">
        <f t="shared" si="3"/>
        <v>-0.37299035369774908</v>
      </c>
    </row>
    <row r="73" spans="2:9" x14ac:dyDescent="0.25">
      <c r="B73" s="115" t="s">
        <v>31</v>
      </c>
      <c r="C73" s="51">
        <v>148.00000000000003</v>
      </c>
      <c r="D73" s="51">
        <v>100.00000000000001</v>
      </c>
      <c r="E73" s="151">
        <f t="shared" si="4"/>
        <v>-48.000000000000014</v>
      </c>
      <c r="F73" s="166">
        <v>3108.0000000000005</v>
      </c>
      <c r="G73" s="166">
        <v>2100.0000000000005</v>
      </c>
      <c r="H73" s="166">
        <v>-1008</v>
      </c>
      <c r="I73" s="124">
        <f t="shared" si="3"/>
        <v>-0.32432432432432434</v>
      </c>
    </row>
    <row r="74" spans="2:9" x14ac:dyDescent="0.25">
      <c r="B74" s="115" t="s">
        <v>33</v>
      </c>
      <c r="C74" s="51">
        <v>161.5</v>
      </c>
      <c r="D74" s="51">
        <v>109.50000000000001</v>
      </c>
      <c r="E74" s="151">
        <f t="shared" si="4"/>
        <v>-51.999999999999986</v>
      </c>
      <c r="F74" s="166">
        <v>3391.5</v>
      </c>
      <c r="G74" s="166">
        <v>2299.5000000000005</v>
      </c>
      <c r="H74" s="166">
        <v>-1091.9999999999995</v>
      </c>
      <c r="I74" s="124">
        <f t="shared" si="3"/>
        <v>-0.3219814241486067</v>
      </c>
    </row>
    <row r="75" spans="2:9" x14ac:dyDescent="0.25">
      <c r="B75" s="115" t="s">
        <v>35</v>
      </c>
      <c r="C75" s="51">
        <v>181</v>
      </c>
      <c r="D75" s="51">
        <v>125.00000000000001</v>
      </c>
      <c r="E75" s="151">
        <f t="shared" si="4"/>
        <v>-55.999999999999986</v>
      </c>
      <c r="F75" s="166">
        <v>3801</v>
      </c>
      <c r="G75" s="166">
        <v>2625.0000000000005</v>
      </c>
      <c r="H75" s="166">
        <v>-1175.9999999999995</v>
      </c>
      <c r="I75" s="124">
        <f t="shared" si="3"/>
        <v>-0.3093922651933701</v>
      </c>
    </row>
    <row r="76" spans="2:9" x14ac:dyDescent="0.25">
      <c r="B76" s="115" t="s">
        <v>37</v>
      </c>
      <c r="C76" s="51">
        <v>169</v>
      </c>
      <c r="D76" s="51">
        <v>115</v>
      </c>
      <c r="E76" s="151">
        <f t="shared" si="4"/>
        <v>-54</v>
      </c>
      <c r="F76" s="166">
        <v>3549</v>
      </c>
      <c r="G76" s="166">
        <v>2415</v>
      </c>
      <c r="H76" s="166">
        <v>-1134</v>
      </c>
      <c r="I76" s="124">
        <f t="shared" si="3"/>
        <v>-0.31952662721893493</v>
      </c>
    </row>
    <row r="77" spans="2:9" x14ac:dyDescent="0.25">
      <c r="B77" s="115" t="s">
        <v>39</v>
      </c>
      <c r="C77" s="51">
        <v>195</v>
      </c>
      <c r="D77" s="51">
        <v>127.00000000000001</v>
      </c>
      <c r="E77" s="151">
        <f t="shared" si="4"/>
        <v>-67.999999999999986</v>
      </c>
      <c r="F77" s="166">
        <v>4095</v>
      </c>
      <c r="G77" s="166">
        <v>2667.0000000000005</v>
      </c>
      <c r="H77" s="166">
        <v>-1427.9999999999995</v>
      </c>
      <c r="I77" s="124">
        <f t="shared" si="3"/>
        <v>-0.34871794871794864</v>
      </c>
    </row>
    <row r="78" spans="2:9" x14ac:dyDescent="0.25">
      <c r="B78" s="115" t="s">
        <v>41</v>
      </c>
      <c r="C78" s="51">
        <v>139.5</v>
      </c>
      <c r="D78" s="51">
        <v>93.5</v>
      </c>
      <c r="E78" s="151">
        <f t="shared" si="4"/>
        <v>-46</v>
      </c>
      <c r="F78" s="166">
        <v>2929.5</v>
      </c>
      <c r="G78" s="166">
        <v>1963.5</v>
      </c>
      <c r="H78" s="166">
        <v>-966</v>
      </c>
      <c r="I78" s="124">
        <f t="shared" si="3"/>
        <v>-0.32974910394265233</v>
      </c>
    </row>
    <row r="79" spans="2:9" x14ac:dyDescent="0.25">
      <c r="B79" s="115" t="s">
        <v>43</v>
      </c>
      <c r="C79" s="51">
        <v>121.50000000000001</v>
      </c>
      <c r="D79" s="51">
        <v>83.500000000000014</v>
      </c>
      <c r="E79" s="151">
        <f t="shared" si="4"/>
        <v>-38</v>
      </c>
      <c r="F79" s="166">
        <v>2551.5000000000005</v>
      </c>
      <c r="G79" s="166">
        <v>1753.5000000000002</v>
      </c>
      <c r="H79" s="166">
        <v>-798.00000000000023</v>
      </c>
      <c r="I79" s="124">
        <f t="shared" si="3"/>
        <v>-0.3127572016460905</v>
      </c>
    </row>
    <row r="80" spans="2:9" x14ac:dyDescent="0.25">
      <c r="B80" s="84" t="s">
        <v>14</v>
      </c>
      <c r="C80" s="84">
        <v>1933</v>
      </c>
      <c r="D80" s="84">
        <v>1291</v>
      </c>
      <c r="E80" s="152">
        <f t="shared" si="4"/>
        <v>-642</v>
      </c>
      <c r="F80" s="169">
        <v>40593</v>
      </c>
      <c r="G80" s="169">
        <v>27111</v>
      </c>
      <c r="H80" s="169">
        <v>-13482</v>
      </c>
      <c r="I80" s="125">
        <f t="shared" si="3"/>
        <v>-0.33212622866011382</v>
      </c>
    </row>
    <row r="81" spans="1:10" x14ac:dyDescent="0.25">
      <c r="A81" s="3"/>
      <c r="B81" s="3"/>
      <c r="C81" s="3"/>
      <c r="D81" s="163"/>
      <c r="E81" s="164"/>
      <c r="F81" s="3"/>
      <c r="G81" s="3"/>
      <c r="H81" s="3"/>
      <c r="I81" s="165"/>
      <c r="J81" s="164"/>
    </row>
    <row r="82" spans="1:10" ht="15.75" x14ac:dyDescent="0.25">
      <c r="B82" s="182" t="s">
        <v>417</v>
      </c>
      <c r="C82" s="183"/>
      <c r="D82" s="183"/>
      <c r="E82" s="183"/>
      <c r="F82" s="183"/>
      <c r="G82" s="183"/>
      <c r="H82" s="183"/>
      <c r="I82" s="184"/>
      <c r="J82" s="164"/>
    </row>
    <row r="83" spans="1:10" x14ac:dyDescent="0.25">
      <c r="B83" s="84" t="s">
        <v>388</v>
      </c>
      <c r="C83" s="84" t="s">
        <v>386</v>
      </c>
      <c r="D83" s="84" t="s">
        <v>413</v>
      </c>
      <c r="E83" s="84" t="s">
        <v>397</v>
      </c>
      <c r="F83" s="168" t="s">
        <v>389</v>
      </c>
      <c r="G83" s="168" t="s">
        <v>390</v>
      </c>
      <c r="H83" s="168" t="s">
        <v>397</v>
      </c>
      <c r="I83" s="84" t="s">
        <v>398</v>
      </c>
    </row>
    <row r="84" spans="1:10" x14ac:dyDescent="0.25">
      <c r="B84" s="115" t="s">
        <v>21</v>
      </c>
      <c r="C84" s="51">
        <v>158.75</v>
      </c>
      <c r="D84" s="51">
        <v>185.25</v>
      </c>
      <c r="E84" s="149">
        <f t="shared" ref="E84:E96" si="5">D84-C84</f>
        <v>26.5</v>
      </c>
      <c r="F84" s="167">
        <v>3333.75</v>
      </c>
      <c r="G84" s="167">
        <v>3890.25</v>
      </c>
      <c r="H84" s="148">
        <f>G84-F84</f>
        <v>556.5</v>
      </c>
      <c r="I84" s="124">
        <f t="shared" ref="I84:I96" si="6">(D84-C84)/C84</f>
        <v>0.16692913385826771</v>
      </c>
    </row>
    <row r="85" spans="1:10" x14ac:dyDescent="0.25">
      <c r="B85" s="115" t="s">
        <v>24</v>
      </c>
      <c r="C85" s="51">
        <v>235.5</v>
      </c>
      <c r="D85" s="51">
        <v>271.5</v>
      </c>
      <c r="E85" s="149">
        <f t="shared" si="5"/>
        <v>36</v>
      </c>
      <c r="F85" s="167">
        <v>4945.5</v>
      </c>
      <c r="G85" s="167">
        <v>5701.5</v>
      </c>
      <c r="H85" s="148">
        <f t="shared" ref="H85:H95" si="7">G85-F85</f>
        <v>756</v>
      </c>
      <c r="I85" s="124">
        <f t="shared" si="6"/>
        <v>0.15286624203821655</v>
      </c>
    </row>
    <row r="86" spans="1:10" x14ac:dyDescent="0.25">
      <c r="B86" s="115" t="s">
        <v>26</v>
      </c>
      <c r="C86" s="51">
        <v>294.5</v>
      </c>
      <c r="D86" s="51">
        <v>330.5</v>
      </c>
      <c r="E86" s="149">
        <f t="shared" si="5"/>
        <v>36</v>
      </c>
      <c r="F86" s="167">
        <v>6184.5</v>
      </c>
      <c r="G86" s="167">
        <v>6940.5</v>
      </c>
      <c r="H86" s="148">
        <f t="shared" si="7"/>
        <v>756</v>
      </c>
      <c r="I86" s="124">
        <f t="shared" si="6"/>
        <v>0.12224108658743633</v>
      </c>
    </row>
    <row r="87" spans="1:10" x14ac:dyDescent="0.25">
      <c r="B87" s="115" t="s">
        <v>28</v>
      </c>
      <c r="C87" s="51">
        <v>176.5</v>
      </c>
      <c r="D87" s="51">
        <v>194.5</v>
      </c>
      <c r="E87" s="149">
        <f t="shared" si="5"/>
        <v>18</v>
      </c>
      <c r="F87" s="167">
        <v>3706.5</v>
      </c>
      <c r="G87" s="167">
        <v>4084.5</v>
      </c>
      <c r="H87" s="148">
        <f t="shared" si="7"/>
        <v>378</v>
      </c>
      <c r="I87" s="124">
        <f t="shared" si="6"/>
        <v>0.10198300283286119</v>
      </c>
    </row>
    <row r="88" spans="1:10" x14ac:dyDescent="0.25">
      <c r="B88" s="115" t="s">
        <v>6</v>
      </c>
      <c r="C88" s="51">
        <v>219.5</v>
      </c>
      <c r="D88" s="51">
        <v>279.5</v>
      </c>
      <c r="E88" s="149">
        <f t="shared" si="5"/>
        <v>60</v>
      </c>
      <c r="F88" s="167">
        <v>4609.5</v>
      </c>
      <c r="G88" s="167">
        <v>5869.5</v>
      </c>
      <c r="H88" s="148">
        <f t="shared" si="7"/>
        <v>1260</v>
      </c>
      <c r="I88" s="124">
        <f t="shared" si="6"/>
        <v>0.27334851936218679</v>
      </c>
    </row>
    <row r="89" spans="1:10" x14ac:dyDescent="0.25">
      <c r="B89" s="115" t="s">
        <v>31</v>
      </c>
      <c r="C89" s="51">
        <v>452.5</v>
      </c>
      <c r="D89" s="51">
        <v>538.5</v>
      </c>
      <c r="E89" s="149">
        <f t="shared" si="5"/>
        <v>86</v>
      </c>
      <c r="F89" s="167">
        <v>9502.5</v>
      </c>
      <c r="G89" s="167">
        <v>11308.5</v>
      </c>
      <c r="H89" s="148">
        <f t="shared" si="7"/>
        <v>1806</v>
      </c>
      <c r="I89" s="124">
        <f t="shared" si="6"/>
        <v>0.19005524861878453</v>
      </c>
    </row>
    <row r="90" spans="1:10" x14ac:dyDescent="0.25">
      <c r="B90" s="115" t="s">
        <v>33</v>
      </c>
      <c r="C90" s="51">
        <v>524.25</v>
      </c>
      <c r="D90" s="51">
        <v>618.25</v>
      </c>
      <c r="E90" s="149">
        <f t="shared" si="5"/>
        <v>94</v>
      </c>
      <c r="F90" s="167">
        <v>11009.25</v>
      </c>
      <c r="G90" s="167">
        <v>12983.25</v>
      </c>
      <c r="H90" s="148">
        <f t="shared" si="7"/>
        <v>1974</v>
      </c>
      <c r="I90" s="124">
        <f t="shared" si="6"/>
        <v>0.17930376728659991</v>
      </c>
    </row>
    <row r="91" spans="1:10" x14ac:dyDescent="0.25">
      <c r="B91" s="115" t="s">
        <v>35</v>
      </c>
      <c r="C91" s="51">
        <v>332</v>
      </c>
      <c r="D91" s="51">
        <v>398</v>
      </c>
      <c r="E91" s="149">
        <f t="shared" si="5"/>
        <v>66</v>
      </c>
      <c r="F91" s="167">
        <v>6972</v>
      </c>
      <c r="G91" s="167">
        <v>8358</v>
      </c>
      <c r="H91" s="148">
        <f t="shared" si="7"/>
        <v>1386</v>
      </c>
      <c r="I91" s="124">
        <f t="shared" si="6"/>
        <v>0.19879518072289157</v>
      </c>
    </row>
    <row r="92" spans="1:10" x14ac:dyDescent="0.25">
      <c r="B92" s="115" t="s">
        <v>37</v>
      </c>
      <c r="C92" s="51">
        <v>209</v>
      </c>
      <c r="D92" s="51">
        <v>221</v>
      </c>
      <c r="E92" s="149">
        <f t="shared" si="5"/>
        <v>12</v>
      </c>
      <c r="F92" s="167">
        <v>4389</v>
      </c>
      <c r="G92" s="167">
        <v>4641</v>
      </c>
      <c r="H92" s="148">
        <f t="shared" si="7"/>
        <v>252</v>
      </c>
      <c r="I92" s="124">
        <f t="shared" si="6"/>
        <v>5.7416267942583733E-2</v>
      </c>
    </row>
    <row r="93" spans="1:10" x14ac:dyDescent="0.25">
      <c r="B93" s="115" t="s">
        <v>39</v>
      </c>
      <c r="C93" s="51">
        <v>376.5</v>
      </c>
      <c r="D93" s="51">
        <v>438.5</v>
      </c>
      <c r="E93" s="149">
        <f t="shared" si="5"/>
        <v>62</v>
      </c>
      <c r="F93" s="167">
        <v>7906.5</v>
      </c>
      <c r="G93" s="167">
        <v>9208.5</v>
      </c>
      <c r="H93" s="148">
        <f t="shared" si="7"/>
        <v>1302</v>
      </c>
      <c r="I93" s="124">
        <f t="shared" si="6"/>
        <v>0.1646746347941567</v>
      </c>
    </row>
    <row r="94" spans="1:10" x14ac:dyDescent="0.25">
      <c r="B94" s="115" t="s">
        <v>41</v>
      </c>
      <c r="C94" s="51">
        <v>352</v>
      </c>
      <c r="D94" s="51">
        <v>392</v>
      </c>
      <c r="E94" s="149">
        <f t="shared" si="5"/>
        <v>40</v>
      </c>
      <c r="F94" s="167">
        <v>7392</v>
      </c>
      <c r="G94" s="167">
        <v>8232</v>
      </c>
      <c r="H94" s="148">
        <f t="shared" si="7"/>
        <v>840</v>
      </c>
      <c r="I94" s="124">
        <f t="shared" si="6"/>
        <v>0.11363636363636363</v>
      </c>
    </row>
    <row r="95" spans="1:10" x14ac:dyDescent="0.25">
      <c r="B95" s="115" t="s">
        <v>43</v>
      </c>
      <c r="C95" s="51">
        <v>257</v>
      </c>
      <c r="D95" s="51">
        <v>321</v>
      </c>
      <c r="E95" s="149">
        <f t="shared" si="5"/>
        <v>64</v>
      </c>
      <c r="F95" s="167">
        <v>5397</v>
      </c>
      <c r="G95" s="167">
        <v>6741</v>
      </c>
      <c r="H95" s="148">
        <f t="shared" si="7"/>
        <v>1344</v>
      </c>
      <c r="I95" s="124">
        <f t="shared" si="6"/>
        <v>0.24902723735408561</v>
      </c>
    </row>
    <row r="96" spans="1:10" x14ac:dyDescent="0.25">
      <c r="B96" s="84" t="s">
        <v>14</v>
      </c>
      <c r="C96" s="84">
        <v>3588</v>
      </c>
      <c r="D96" s="84">
        <f>SUM(D84:D95)</f>
        <v>4188.5</v>
      </c>
      <c r="E96" s="150">
        <f t="shared" si="5"/>
        <v>600.5</v>
      </c>
      <c r="F96" s="168">
        <v>75348</v>
      </c>
      <c r="G96" s="168">
        <f>SUM(G84:G95)</f>
        <v>87958.5</v>
      </c>
      <c r="H96" s="168">
        <f>G96-F96</f>
        <v>12610.5</v>
      </c>
      <c r="I96" s="125">
        <f t="shared" si="6"/>
        <v>0.1673634336677815</v>
      </c>
    </row>
    <row r="97" spans="1:10" x14ac:dyDescent="0.25">
      <c r="A97" s="3"/>
      <c r="B97" s="3"/>
      <c r="C97" s="3"/>
      <c r="D97" s="163"/>
      <c r="E97" s="164"/>
      <c r="F97" s="3"/>
      <c r="G97" s="3"/>
      <c r="H97" s="3"/>
      <c r="I97" s="165"/>
      <c r="J97" s="164"/>
    </row>
    <row r="98" spans="1:10" x14ac:dyDescent="0.25">
      <c r="A98" s="178" t="s">
        <v>418</v>
      </c>
      <c r="B98" s="178"/>
      <c r="C98" s="178"/>
      <c r="D98" s="178"/>
      <c r="E98" s="178"/>
      <c r="F98" s="178"/>
      <c r="G98" s="178"/>
      <c r="H98" s="178"/>
      <c r="I98" s="178"/>
      <c r="J98" s="178"/>
    </row>
    <row r="99" spans="1:10" x14ac:dyDescent="0.25">
      <c r="A99" s="178"/>
      <c r="B99" s="178"/>
      <c r="C99" s="178"/>
      <c r="D99" s="178"/>
      <c r="E99" s="178"/>
      <c r="F99" s="178"/>
      <c r="G99" s="178"/>
      <c r="H99" s="178"/>
      <c r="I99" s="178"/>
      <c r="J99" s="178"/>
    </row>
    <row r="100" spans="1:10" x14ac:dyDescent="0.25">
      <c r="H100" s="88"/>
    </row>
    <row r="101" spans="1:10" x14ac:dyDescent="0.25">
      <c r="H101" s="88"/>
    </row>
    <row r="102" spans="1:10" x14ac:dyDescent="0.25">
      <c r="H102" s="3"/>
      <c r="I102" s="123"/>
    </row>
  </sheetData>
  <mergeCells count="9">
    <mergeCell ref="A98:J99"/>
    <mergeCell ref="B50:I50"/>
    <mergeCell ref="B66:I66"/>
    <mergeCell ref="B82:I82"/>
    <mergeCell ref="A1:J1"/>
    <mergeCell ref="A4:J5"/>
    <mergeCell ref="J13:K13"/>
    <mergeCell ref="A47:J48"/>
    <mergeCell ref="H2:J2"/>
  </mergeCells>
  <conditionalFormatting sqref="I52:I63">
    <cfRule type="colorScale" priority="4">
      <colorScale>
        <cfvo type="min"/>
        <cfvo type="percentile" val="50"/>
        <cfvo type="max"/>
        <color rgb="FF63BE7B"/>
        <color rgb="FFFFEB84"/>
        <color rgb="FFF8696B"/>
      </colorScale>
    </cfRule>
  </conditionalFormatting>
  <conditionalFormatting sqref="I68:I79">
    <cfRule type="colorScale" priority="1">
      <colorScale>
        <cfvo type="min"/>
        <cfvo type="percentile" val="50"/>
        <cfvo type="max"/>
        <color rgb="FF63BE7B"/>
        <color rgb="FFFFEB84"/>
        <color rgb="FFF8696B"/>
      </colorScale>
    </cfRule>
  </conditionalFormatting>
  <conditionalFormatting sqref="I84:I95">
    <cfRule type="colorScale" priority="3">
      <colorScale>
        <cfvo type="min"/>
        <cfvo type="percentile" val="50"/>
        <cfvo type="max"/>
        <color rgb="FF63BE7B"/>
        <color rgb="FFFFEB84"/>
        <color rgb="FFF8696B"/>
      </colorScale>
    </cfRule>
  </conditionalFormatting>
  <conditionalFormatting sqref="I100:I101 I65">
    <cfRule type="aboveAverage" dxfId="7" priority="14"/>
    <cfRule type="aboveAverage" dxfId="6" priority="15" aboveAverage="0"/>
  </conditionalFormatting>
  <hyperlinks>
    <hyperlink ref="I3" location="'2025 Projected Dashboard'!B80" display="Table" xr:uid="{0A42264E-EA7B-4530-8213-7EBF0036F290}"/>
    <hyperlink ref="H3" location="'2025 Projected Dashboard'!A4" display="Chart" xr:uid="{C555BD03-4192-4ACB-A761-E91A9225A8CB}"/>
    <hyperlink ref="J3" location="'2025 Projected Dashboard'!A117" display="Summary" xr:uid="{2220CD96-E6A4-4A31-A032-48B33F3B311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6F15E-2F45-4935-BBF0-C4A17A09DD82}">
  <dimension ref="A1:G2"/>
  <sheetViews>
    <sheetView workbookViewId="0">
      <selection activeCell="E1" sqref="E1:G2"/>
    </sheetView>
  </sheetViews>
  <sheetFormatPr defaultRowHeight="15" x14ac:dyDescent="0.25"/>
  <cols>
    <col min="1" max="1" width="11.7109375" bestFit="1" customWidth="1"/>
    <col min="2" max="2" width="18.7109375" bestFit="1" customWidth="1"/>
    <col min="3" max="3" width="8.28515625" bestFit="1" customWidth="1"/>
    <col min="5" max="5" width="11.7109375" bestFit="1" customWidth="1"/>
    <col min="6" max="6" width="18.7109375" bestFit="1" customWidth="1"/>
    <col min="7" max="7" width="10.85546875" bestFit="1" customWidth="1"/>
  </cols>
  <sheetData>
    <row r="1" spans="1:7" x14ac:dyDescent="0.25">
      <c r="A1" s="168" t="s">
        <v>389</v>
      </c>
      <c r="B1" s="168" t="s">
        <v>390</v>
      </c>
      <c r="C1" s="168" t="s">
        <v>397</v>
      </c>
      <c r="E1" s="168" t="s">
        <v>389</v>
      </c>
      <c r="F1" s="168" t="s">
        <v>390</v>
      </c>
      <c r="G1" s="168" t="s">
        <v>397</v>
      </c>
    </row>
    <row r="2" spans="1:7" x14ac:dyDescent="0.25">
      <c r="A2" s="169">
        <v>115920</v>
      </c>
      <c r="B2" s="169">
        <v>114933</v>
      </c>
      <c r="C2" s="169">
        <f>ABS(B2-A2)</f>
        <v>987</v>
      </c>
      <c r="E2" s="169">
        <v>40593</v>
      </c>
      <c r="F2" s="169">
        <v>27111</v>
      </c>
      <c r="G2" s="169">
        <f>ABS(-13482)</f>
        <v>13482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5CD02-7FB2-453A-B45E-5A592A6DF2D2}">
  <sheetPr>
    <tabColor rgb="FFFF0000"/>
  </sheetPr>
  <dimension ref="A1:D14"/>
  <sheetViews>
    <sheetView topLeftCell="A7" workbookViewId="0">
      <selection activeCell="A2" sqref="A2"/>
    </sheetView>
  </sheetViews>
  <sheetFormatPr defaultRowHeight="15" x14ac:dyDescent="0.25"/>
  <cols>
    <col min="1" max="1" width="13.140625" bestFit="1" customWidth="1"/>
    <col min="2" max="2" width="27.140625" bestFit="1" customWidth="1"/>
    <col min="3" max="3" width="39.85546875" bestFit="1" customWidth="1"/>
    <col min="4" max="4" width="32.5703125" bestFit="1" customWidth="1"/>
  </cols>
  <sheetData>
    <row r="1" spans="1:4" x14ac:dyDescent="0.25">
      <c r="A1" s="87" t="s">
        <v>0</v>
      </c>
      <c r="B1" t="s">
        <v>385</v>
      </c>
      <c r="C1" t="s">
        <v>410</v>
      </c>
      <c r="D1" t="s">
        <v>409</v>
      </c>
    </row>
    <row r="2" spans="1:4" x14ac:dyDescent="0.25">
      <c r="A2" s="88" t="s">
        <v>2</v>
      </c>
      <c r="B2" s="186">
        <v>178.75</v>
      </c>
      <c r="C2" s="186">
        <v>116.25</v>
      </c>
      <c r="D2" s="186">
        <v>295</v>
      </c>
    </row>
    <row r="3" spans="1:4" x14ac:dyDescent="0.25">
      <c r="A3" s="88" t="s">
        <v>3</v>
      </c>
      <c r="B3" s="186">
        <v>271.5</v>
      </c>
      <c r="C3" s="186">
        <v>104.75</v>
      </c>
      <c r="D3" s="186">
        <v>376.25</v>
      </c>
    </row>
    <row r="4" spans="1:4" x14ac:dyDescent="0.25">
      <c r="A4" s="88" t="s">
        <v>4</v>
      </c>
      <c r="B4" s="186">
        <v>330.5</v>
      </c>
      <c r="C4" s="186">
        <v>112</v>
      </c>
      <c r="D4" s="186">
        <v>442.5</v>
      </c>
    </row>
    <row r="5" spans="1:4" x14ac:dyDescent="0.25">
      <c r="A5" s="88" t="s">
        <v>5</v>
      </c>
      <c r="B5" s="186">
        <v>194.5</v>
      </c>
      <c r="C5" s="186">
        <v>107.00000000000001</v>
      </c>
      <c r="D5" s="186">
        <v>301.5</v>
      </c>
    </row>
    <row r="6" spans="1:4" x14ac:dyDescent="0.25">
      <c r="A6" s="88" t="s">
        <v>6</v>
      </c>
      <c r="B6" s="186">
        <v>279.5</v>
      </c>
      <c r="C6" s="186">
        <v>97.500000000000014</v>
      </c>
      <c r="D6" s="186">
        <v>377</v>
      </c>
    </row>
    <row r="7" spans="1:4" x14ac:dyDescent="0.25">
      <c r="A7" s="88" t="s">
        <v>7</v>
      </c>
      <c r="B7" s="186">
        <v>538.5</v>
      </c>
      <c r="C7" s="186">
        <v>100.00000000000001</v>
      </c>
      <c r="D7" s="186">
        <v>638.5</v>
      </c>
    </row>
    <row r="8" spans="1:4" x14ac:dyDescent="0.25">
      <c r="A8" s="88" t="s">
        <v>8</v>
      </c>
      <c r="B8" s="186">
        <v>618.25</v>
      </c>
      <c r="C8" s="186">
        <v>109.50000000000001</v>
      </c>
      <c r="D8" s="186">
        <v>727.75</v>
      </c>
    </row>
    <row r="9" spans="1:4" x14ac:dyDescent="0.25">
      <c r="A9" s="88" t="s">
        <v>9</v>
      </c>
      <c r="B9" s="186">
        <v>398</v>
      </c>
      <c r="C9" s="186">
        <v>125.00000000000001</v>
      </c>
      <c r="D9" s="186">
        <v>523</v>
      </c>
    </row>
    <row r="10" spans="1:4" x14ac:dyDescent="0.25">
      <c r="A10" s="88" t="s">
        <v>10</v>
      </c>
      <c r="B10" s="186">
        <v>221</v>
      </c>
      <c r="C10" s="186">
        <v>115.00000000000001</v>
      </c>
      <c r="D10" s="186">
        <v>336</v>
      </c>
    </row>
    <row r="11" spans="1:4" x14ac:dyDescent="0.25">
      <c r="A11" s="88" t="s">
        <v>11</v>
      </c>
      <c r="B11" s="186">
        <v>438.5</v>
      </c>
      <c r="C11" s="186">
        <v>127</v>
      </c>
      <c r="D11" s="186">
        <v>565.5</v>
      </c>
    </row>
    <row r="12" spans="1:4" x14ac:dyDescent="0.25">
      <c r="A12" s="88" t="s">
        <v>12</v>
      </c>
      <c r="B12" s="186">
        <v>392</v>
      </c>
      <c r="C12" s="186">
        <v>93.500000000000014</v>
      </c>
      <c r="D12" s="186">
        <v>485.5</v>
      </c>
    </row>
    <row r="13" spans="1:4" x14ac:dyDescent="0.25">
      <c r="A13" s="88" t="s">
        <v>13</v>
      </c>
      <c r="B13" s="186">
        <v>321</v>
      </c>
      <c r="C13" s="186">
        <v>83.500000000000014</v>
      </c>
      <c r="D13" s="186">
        <v>404.5</v>
      </c>
    </row>
    <row r="14" spans="1:4" x14ac:dyDescent="0.25">
      <c r="A14" s="88" t="s">
        <v>14</v>
      </c>
      <c r="B14" s="186">
        <v>4182</v>
      </c>
      <c r="C14" s="186">
        <v>1291</v>
      </c>
      <c r="D14" s="186">
        <v>5473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8755A-82E8-46E0-B1B1-F608DDA58B81}">
  <sheetPr>
    <tabColor theme="3" tint="0.59999389629810485"/>
  </sheetPr>
  <dimension ref="A2:R827"/>
  <sheetViews>
    <sheetView topLeftCell="A208" zoomScale="85" zoomScaleNormal="85" workbookViewId="0">
      <selection activeCell="A2" sqref="A1:B1048576"/>
    </sheetView>
  </sheetViews>
  <sheetFormatPr defaultRowHeight="15" x14ac:dyDescent="0.25"/>
  <cols>
    <col min="1" max="1" width="13.28515625" bestFit="1" customWidth="1"/>
    <col min="2" max="2" width="20.5703125" style="64" bestFit="1" customWidth="1"/>
    <col min="3" max="3" width="27.140625" bestFit="1" customWidth="1"/>
    <col min="4" max="5" width="20.5703125" bestFit="1" customWidth="1"/>
    <col min="6" max="6" width="11.85546875" bestFit="1" customWidth="1"/>
    <col min="7" max="7" width="12" bestFit="1" customWidth="1"/>
    <col min="8" max="8" width="18.7109375" bestFit="1" customWidth="1"/>
    <col min="9" max="9" width="12.5703125" bestFit="1" customWidth="1"/>
    <col min="10" max="10" width="19" bestFit="1" customWidth="1"/>
    <col min="11" max="11" width="11.28515625" bestFit="1" customWidth="1"/>
    <col min="12" max="12" width="11.85546875" bestFit="1" customWidth="1"/>
    <col min="13" max="13" width="11.140625" bestFit="1" customWidth="1"/>
    <col min="14" max="14" width="13" bestFit="1" customWidth="1"/>
    <col min="15" max="15" width="20" bestFit="1" customWidth="1"/>
    <col min="16" max="16" width="12.28515625" bestFit="1" customWidth="1"/>
    <col min="17" max="17" width="13.5703125" bestFit="1" customWidth="1"/>
    <col min="18" max="18" width="11.42578125" bestFit="1" customWidth="1"/>
    <col min="19" max="30" width="6.5703125" bestFit="1" customWidth="1"/>
    <col min="31" max="39" width="6" bestFit="1" customWidth="1"/>
    <col min="40" max="59" width="7" bestFit="1" customWidth="1"/>
    <col min="60" max="68" width="6.28515625" bestFit="1" customWidth="1"/>
    <col min="69" max="89" width="7.28515625" bestFit="1" customWidth="1"/>
    <col min="90" max="97" width="5.85546875" bestFit="1" customWidth="1"/>
    <col min="98" max="117" width="6.85546875" bestFit="1" customWidth="1"/>
    <col min="118" max="125" width="6.5703125" bestFit="1" customWidth="1"/>
    <col min="126" max="147" width="7.5703125" bestFit="1" customWidth="1"/>
    <col min="148" max="156" width="5.7109375" bestFit="1" customWidth="1"/>
    <col min="157" max="176" width="6.7109375" bestFit="1" customWidth="1"/>
    <col min="177" max="179" width="5.5703125" bestFit="1" customWidth="1"/>
    <col min="180" max="180" width="6.5703125" bestFit="1" customWidth="1"/>
    <col min="181" max="182" width="5.5703125" bestFit="1" customWidth="1"/>
    <col min="183" max="183" width="5.140625" bestFit="1" customWidth="1"/>
    <col min="184" max="184" width="5.5703125" bestFit="1" customWidth="1"/>
    <col min="185" max="185" width="5.140625" bestFit="1" customWidth="1"/>
    <col min="186" max="216" width="6.140625" bestFit="1" customWidth="1"/>
    <col min="217" max="237" width="7.140625" bestFit="1" customWidth="1"/>
    <col min="238" max="244" width="6" bestFit="1" customWidth="1"/>
    <col min="245" max="265" width="7" bestFit="1" customWidth="1"/>
    <col min="266" max="274" width="5.7109375" bestFit="1" customWidth="1"/>
    <col min="275" max="296" width="6.7109375" bestFit="1" customWidth="1"/>
    <col min="297" max="305" width="6.28515625" bestFit="1" customWidth="1"/>
    <col min="306" max="324" width="7.28515625" bestFit="1" customWidth="1"/>
    <col min="325" max="333" width="6" bestFit="1" customWidth="1"/>
    <col min="334" max="345" width="7" bestFit="1" customWidth="1"/>
    <col min="346" max="346" width="11.28515625" bestFit="1" customWidth="1"/>
  </cols>
  <sheetData>
    <row r="2" spans="1:18" ht="15.75" x14ac:dyDescent="0.25">
      <c r="A2" s="65" t="s">
        <v>0</v>
      </c>
      <c r="B2" s="65" t="s">
        <v>44</v>
      </c>
      <c r="C2" s="59" t="s">
        <v>45</v>
      </c>
      <c r="D2" s="59" t="s">
        <v>46</v>
      </c>
      <c r="E2" s="59" t="s">
        <v>47</v>
      </c>
      <c r="F2" s="59" t="s">
        <v>48</v>
      </c>
      <c r="G2" s="59" t="s">
        <v>49</v>
      </c>
      <c r="H2" s="59" t="s">
        <v>50</v>
      </c>
      <c r="I2" s="59" t="s">
        <v>51</v>
      </c>
      <c r="J2" s="59" t="s">
        <v>52</v>
      </c>
      <c r="K2" s="59" t="s">
        <v>53</v>
      </c>
      <c r="L2" s="59" t="s">
        <v>54</v>
      </c>
      <c r="M2" s="59" t="s">
        <v>55</v>
      </c>
      <c r="N2" s="59" t="s">
        <v>56</v>
      </c>
      <c r="O2" s="59" t="s">
        <v>57</v>
      </c>
      <c r="P2" s="59" t="s">
        <v>58</v>
      </c>
      <c r="Q2" s="59" t="s">
        <v>19</v>
      </c>
      <c r="R2" s="59" t="s">
        <v>14</v>
      </c>
    </row>
    <row r="3" spans="1:18" ht="15.75" x14ac:dyDescent="0.25">
      <c r="A3" s="61" t="s">
        <v>2</v>
      </c>
      <c r="B3" s="66"/>
      <c r="C3" s="11"/>
      <c r="D3" s="11"/>
      <c r="E3" s="11"/>
      <c r="F3" s="11">
        <v>10</v>
      </c>
      <c r="G3" s="11">
        <v>6.9999999999999991</v>
      </c>
      <c r="H3" s="11"/>
      <c r="I3" s="11"/>
      <c r="J3" s="11">
        <v>9</v>
      </c>
      <c r="K3" s="11">
        <v>40.5</v>
      </c>
      <c r="L3" s="11"/>
      <c r="M3" s="11"/>
      <c r="N3" s="11">
        <v>174.25</v>
      </c>
      <c r="O3" s="11"/>
      <c r="P3" s="11">
        <v>69.25</v>
      </c>
      <c r="Q3" s="11">
        <v>23</v>
      </c>
      <c r="R3" s="11">
        <v>333</v>
      </c>
    </row>
    <row r="4" spans="1:18" ht="15.75" x14ac:dyDescent="0.25">
      <c r="A4" s="61" t="s">
        <v>3</v>
      </c>
      <c r="B4" s="66">
        <v>4.9999999999999982</v>
      </c>
      <c r="C4" s="11"/>
      <c r="D4" s="11">
        <v>6.5000000000000018</v>
      </c>
      <c r="E4" s="11">
        <v>4</v>
      </c>
      <c r="F4" s="11"/>
      <c r="G4" s="11">
        <v>37.5</v>
      </c>
      <c r="H4" s="11"/>
      <c r="I4" s="11"/>
      <c r="J4" s="11"/>
      <c r="K4" s="11">
        <v>55.5</v>
      </c>
      <c r="L4" s="11"/>
      <c r="M4" s="11"/>
      <c r="N4" s="11">
        <v>156.75</v>
      </c>
      <c r="O4" s="11"/>
      <c r="P4" s="11">
        <v>38.5</v>
      </c>
      <c r="Q4" s="11">
        <v>88.5</v>
      </c>
      <c r="R4" s="11">
        <v>392.25</v>
      </c>
    </row>
    <row r="5" spans="1:18" ht="15.75" x14ac:dyDescent="0.25">
      <c r="A5" s="61" t="s">
        <v>4</v>
      </c>
      <c r="B5" s="66"/>
      <c r="C5" s="11"/>
      <c r="D5" s="11">
        <v>17.5</v>
      </c>
      <c r="E5" s="11"/>
      <c r="F5" s="11">
        <v>21</v>
      </c>
      <c r="G5" s="11">
        <v>18</v>
      </c>
      <c r="H5" s="11"/>
      <c r="I5" s="11">
        <v>13.5</v>
      </c>
      <c r="J5" s="11"/>
      <c r="K5" s="11">
        <v>57</v>
      </c>
      <c r="L5" s="11"/>
      <c r="M5" s="11"/>
      <c r="N5" s="11">
        <v>170</v>
      </c>
      <c r="O5" s="11"/>
      <c r="P5" s="11">
        <v>78.5</v>
      </c>
      <c r="Q5" s="11">
        <v>89</v>
      </c>
      <c r="R5" s="11">
        <v>464.5</v>
      </c>
    </row>
    <row r="6" spans="1:18" ht="15.75" x14ac:dyDescent="0.25">
      <c r="A6" s="61" t="s">
        <v>5</v>
      </c>
      <c r="B6" s="66"/>
      <c r="C6" s="11"/>
      <c r="D6" s="11">
        <v>23.5</v>
      </c>
      <c r="E6" s="11"/>
      <c r="F6" s="11">
        <v>12</v>
      </c>
      <c r="G6" s="11">
        <v>17</v>
      </c>
      <c r="H6" s="11"/>
      <c r="I6" s="11"/>
      <c r="J6" s="11"/>
      <c r="K6" s="11">
        <v>62</v>
      </c>
      <c r="L6" s="11"/>
      <c r="M6" s="11"/>
      <c r="N6" s="11">
        <v>161</v>
      </c>
      <c r="O6" s="11"/>
      <c r="P6" s="11">
        <v>37</v>
      </c>
      <c r="Q6" s="11">
        <v>25</v>
      </c>
      <c r="R6" s="11">
        <v>337.5</v>
      </c>
    </row>
    <row r="7" spans="1:18" ht="15.75" x14ac:dyDescent="0.25">
      <c r="A7" s="61" t="s">
        <v>6</v>
      </c>
      <c r="B7" s="66">
        <v>6</v>
      </c>
      <c r="C7" s="11"/>
      <c r="D7" s="11">
        <v>12.499999999999998</v>
      </c>
      <c r="E7" s="11"/>
      <c r="F7" s="11">
        <v>4.9999999999999982</v>
      </c>
      <c r="G7" s="11">
        <v>31.5</v>
      </c>
      <c r="H7" s="11"/>
      <c r="I7" s="11">
        <v>15.999999999999998</v>
      </c>
      <c r="J7" s="11"/>
      <c r="K7" s="11">
        <v>22</v>
      </c>
      <c r="L7" s="11"/>
      <c r="M7" s="11"/>
      <c r="N7" s="11">
        <v>155.5</v>
      </c>
      <c r="O7" s="11">
        <v>3.9999999999999991</v>
      </c>
      <c r="P7" s="11">
        <v>37</v>
      </c>
      <c r="Q7" s="11">
        <v>85.5</v>
      </c>
      <c r="R7" s="11">
        <v>375</v>
      </c>
    </row>
    <row r="8" spans="1:18" ht="15.75" x14ac:dyDescent="0.25">
      <c r="A8" s="61" t="s">
        <v>7</v>
      </c>
      <c r="B8" s="66">
        <v>5</v>
      </c>
      <c r="C8" s="11"/>
      <c r="D8" s="11">
        <v>57.5</v>
      </c>
      <c r="E8" s="11">
        <v>79</v>
      </c>
      <c r="F8" s="11">
        <v>15.5</v>
      </c>
      <c r="G8" s="11">
        <v>48.500000000000007</v>
      </c>
      <c r="H8" s="11">
        <v>29</v>
      </c>
      <c r="I8" s="11"/>
      <c r="J8" s="11"/>
      <c r="K8" s="11">
        <v>63.5</v>
      </c>
      <c r="L8" s="11">
        <v>3.9999999999999991</v>
      </c>
      <c r="M8" s="11"/>
      <c r="N8" s="11">
        <v>148.00000000000003</v>
      </c>
      <c r="O8" s="11"/>
      <c r="P8" s="11">
        <v>52.5</v>
      </c>
      <c r="Q8" s="11">
        <v>98</v>
      </c>
      <c r="R8" s="11">
        <v>600.5</v>
      </c>
    </row>
    <row r="9" spans="1:18" ht="15.75" x14ac:dyDescent="0.25">
      <c r="A9" s="61" t="s">
        <v>8</v>
      </c>
      <c r="B9" s="66"/>
      <c r="C9" s="11"/>
      <c r="D9" s="11">
        <v>26.499999999999996</v>
      </c>
      <c r="E9" s="11">
        <v>8</v>
      </c>
      <c r="F9" s="11">
        <v>7.5</v>
      </c>
      <c r="G9" s="11">
        <v>52.25</v>
      </c>
      <c r="H9" s="11"/>
      <c r="I9" s="11"/>
      <c r="J9" s="11"/>
      <c r="K9" s="11">
        <v>54.5</v>
      </c>
      <c r="L9" s="11"/>
      <c r="M9" s="11"/>
      <c r="N9" s="11">
        <v>161.5</v>
      </c>
      <c r="O9" s="11"/>
      <c r="P9" s="11">
        <v>58</v>
      </c>
      <c r="Q9" s="11">
        <v>317.5</v>
      </c>
      <c r="R9" s="11">
        <v>685.75</v>
      </c>
    </row>
    <row r="10" spans="1:18" ht="15.75" x14ac:dyDescent="0.25">
      <c r="A10" s="61" t="s">
        <v>9</v>
      </c>
      <c r="B10" s="66">
        <v>7.5</v>
      </c>
      <c r="C10" s="11"/>
      <c r="D10" s="11">
        <v>18</v>
      </c>
      <c r="E10" s="11"/>
      <c r="F10" s="11">
        <v>12.5</v>
      </c>
      <c r="G10" s="11">
        <v>48</v>
      </c>
      <c r="H10" s="11"/>
      <c r="I10" s="11">
        <v>9.5</v>
      </c>
      <c r="J10" s="11"/>
      <c r="K10" s="11">
        <v>53.500000000000007</v>
      </c>
      <c r="L10" s="11"/>
      <c r="M10" s="11"/>
      <c r="N10" s="11">
        <v>181</v>
      </c>
      <c r="O10" s="11"/>
      <c r="P10" s="11">
        <v>44.5</v>
      </c>
      <c r="Q10" s="11">
        <v>138.5</v>
      </c>
      <c r="R10" s="11">
        <v>513</v>
      </c>
    </row>
    <row r="11" spans="1:18" ht="15.75" x14ac:dyDescent="0.25">
      <c r="A11" s="61" t="s">
        <v>10</v>
      </c>
      <c r="B11" s="66"/>
      <c r="C11" s="11">
        <v>7.5</v>
      </c>
      <c r="D11" s="11">
        <v>41</v>
      </c>
      <c r="E11" s="11">
        <v>3.5000000000000009</v>
      </c>
      <c r="F11" s="11">
        <v>3.4999999999999996</v>
      </c>
      <c r="G11" s="11">
        <v>37.000000000000007</v>
      </c>
      <c r="H11" s="11"/>
      <c r="I11" s="11"/>
      <c r="J11" s="11"/>
      <c r="K11" s="11">
        <v>57.5</v>
      </c>
      <c r="L11" s="11"/>
      <c r="M11" s="11"/>
      <c r="N11" s="11">
        <v>169</v>
      </c>
      <c r="O11" s="11"/>
      <c r="P11" s="11">
        <v>59</v>
      </c>
      <c r="Q11" s="11"/>
      <c r="R11" s="11">
        <v>378</v>
      </c>
    </row>
    <row r="12" spans="1:18" ht="15.75" x14ac:dyDescent="0.25">
      <c r="A12" s="61" t="s">
        <v>11</v>
      </c>
      <c r="B12" s="66"/>
      <c r="C12" s="11"/>
      <c r="D12" s="11">
        <v>13</v>
      </c>
      <c r="E12" s="11"/>
      <c r="F12" s="11">
        <v>14.5</v>
      </c>
      <c r="G12" s="11">
        <v>58.5</v>
      </c>
      <c r="H12" s="11"/>
      <c r="I12" s="11"/>
      <c r="J12" s="11"/>
      <c r="K12" s="11">
        <v>35.5</v>
      </c>
      <c r="L12" s="11"/>
      <c r="M12" s="11">
        <v>4.0000000000000018</v>
      </c>
      <c r="N12" s="11">
        <v>195</v>
      </c>
      <c r="O12" s="11"/>
      <c r="P12" s="11">
        <v>66</v>
      </c>
      <c r="Q12" s="11">
        <v>185</v>
      </c>
      <c r="R12" s="11">
        <v>571.5</v>
      </c>
    </row>
    <row r="13" spans="1:18" ht="15.75" x14ac:dyDescent="0.25">
      <c r="A13" s="61" t="s">
        <v>12</v>
      </c>
      <c r="B13" s="66"/>
      <c r="C13" s="11"/>
      <c r="D13" s="11">
        <v>26</v>
      </c>
      <c r="E13" s="11">
        <v>14.500000000000002</v>
      </c>
      <c r="F13" s="11">
        <v>24</v>
      </c>
      <c r="G13" s="11">
        <v>47</v>
      </c>
      <c r="H13" s="11"/>
      <c r="I13" s="11">
        <v>4.9999999999999991</v>
      </c>
      <c r="J13" s="11"/>
      <c r="K13" s="11">
        <v>97.5</v>
      </c>
      <c r="L13" s="11"/>
      <c r="M13" s="11"/>
      <c r="N13" s="11">
        <v>139.5</v>
      </c>
      <c r="O13" s="11"/>
      <c r="P13" s="11">
        <v>68</v>
      </c>
      <c r="Q13" s="11">
        <v>70</v>
      </c>
      <c r="R13" s="11">
        <v>491.5</v>
      </c>
    </row>
    <row r="14" spans="1:18" ht="15.75" x14ac:dyDescent="0.25">
      <c r="A14" s="61" t="s">
        <v>13</v>
      </c>
      <c r="B14" s="66"/>
      <c r="C14" s="11"/>
      <c r="D14" s="11"/>
      <c r="E14" s="11">
        <v>14</v>
      </c>
      <c r="F14" s="11">
        <v>13</v>
      </c>
      <c r="G14" s="11">
        <v>30.999999999999993</v>
      </c>
      <c r="H14" s="11"/>
      <c r="I14" s="11"/>
      <c r="J14" s="11"/>
      <c r="K14" s="11">
        <v>54.5</v>
      </c>
      <c r="L14" s="11"/>
      <c r="M14" s="11"/>
      <c r="N14" s="11">
        <v>121.5</v>
      </c>
      <c r="O14" s="11"/>
      <c r="P14" s="11">
        <v>29</v>
      </c>
      <c r="Q14" s="11">
        <v>115.5</v>
      </c>
      <c r="R14" s="11">
        <v>378.5</v>
      </c>
    </row>
    <row r="15" spans="1:18" ht="15.75" x14ac:dyDescent="0.25">
      <c r="A15" s="63" t="s">
        <v>14</v>
      </c>
      <c r="B15" s="67">
        <v>23.5</v>
      </c>
      <c r="C15" s="58">
        <v>7.5</v>
      </c>
      <c r="D15" s="58">
        <v>242</v>
      </c>
      <c r="E15" s="58">
        <v>123</v>
      </c>
      <c r="F15" s="58">
        <v>138.5</v>
      </c>
      <c r="G15" s="58">
        <v>433.25</v>
      </c>
      <c r="H15" s="58">
        <v>29</v>
      </c>
      <c r="I15" s="58">
        <v>44</v>
      </c>
      <c r="J15" s="58">
        <v>9</v>
      </c>
      <c r="K15" s="58">
        <v>653.5</v>
      </c>
      <c r="L15" s="58">
        <v>3.9999999999999991</v>
      </c>
      <c r="M15" s="58">
        <v>4.0000000000000018</v>
      </c>
      <c r="N15" s="58">
        <v>1933</v>
      </c>
      <c r="O15" s="58">
        <v>3.9999999999999991</v>
      </c>
      <c r="P15" s="58">
        <v>637.25</v>
      </c>
      <c r="Q15" s="58">
        <v>1235.5</v>
      </c>
      <c r="R15" s="58">
        <v>5521</v>
      </c>
    </row>
    <row r="18" spans="1:18" ht="15.75" x14ac:dyDescent="0.25">
      <c r="A18" s="65" t="s">
        <v>0</v>
      </c>
      <c r="B18" s="65" t="s">
        <v>44</v>
      </c>
      <c r="C18" s="59" t="s">
        <v>45</v>
      </c>
      <c r="D18" s="59" t="s">
        <v>46</v>
      </c>
      <c r="E18" s="59" t="s">
        <v>47</v>
      </c>
      <c r="F18" s="59" t="s">
        <v>48</v>
      </c>
      <c r="G18" s="59" t="s">
        <v>49</v>
      </c>
      <c r="H18" s="59" t="s">
        <v>50</v>
      </c>
      <c r="I18" s="59" t="s">
        <v>51</v>
      </c>
      <c r="J18" s="59" t="s">
        <v>52</v>
      </c>
      <c r="K18" s="59" t="s">
        <v>53</v>
      </c>
      <c r="L18" s="59" t="s">
        <v>54</v>
      </c>
      <c r="M18" s="59" t="s">
        <v>55</v>
      </c>
      <c r="N18" s="59" t="s">
        <v>56</v>
      </c>
      <c r="O18" s="59" t="s">
        <v>57</v>
      </c>
      <c r="P18" s="59" t="s">
        <v>58</v>
      </c>
      <c r="Q18" s="59" t="s">
        <v>19</v>
      </c>
      <c r="R18" s="59" t="s">
        <v>14</v>
      </c>
    </row>
    <row r="19" spans="1:18" ht="15.75" x14ac:dyDescent="0.25">
      <c r="A19" s="61" t="s">
        <v>2</v>
      </c>
      <c r="B19" s="66"/>
      <c r="C19" s="11"/>
      <c r="D19" s="11"/>
      <c r="E19" s="11"/>
      <c r="F19" s="11">
        <v>10</v>
      </c>
      <c r="G19" s="11">
        <v>6.9999999999999991</v>
      </c>
      <c r="H19" s="11"/>
      <c r="I19" s="11"/>
      <c r="J19" s="11">
        <v>9</v>
      </c>
      <c r="K19" s="11">
        <v>40.5</v>
      </c>
      <c r="L19" s="11"/>
      <c r="M19" s="11"/>
      <c r="N19" s="11">
        <v>174.25</v>
      </c>
      <c r="O19" s="11"/>
      <c r="P19" s="11">
        <v>69.25</v>
      </c>
      <c r="Q19" s="11">
        <v>23</v>
      </c>
      <c r="R19" s="11">
        <v>333</v>
      </c>
    </row>
    <row r="20" spans="1:18" ht="15.75" x14ac:dyDescent="0.25">
      <c r="A20" s="61" t="s">
        <v>3</v>
      </c>
      <c r="B20" s="66">
        <v>4.9999999999999982</v>
      </c>
      <c r="C20" s="11"/>
      <c r="D20" s="11">
        <v>6.5000000000000018</v>
      </c>
      <c r="E20" s="11">
        <v>4</v>
      </c>
      <c r="F20" s="11"/>
      <c r="G20" s="11">
        <v>37.5</v>
      </c>
      <c r="H20" s="11"/>
      <c r="I20" s="11"/>
      <c r="J20" s="11"/>
      <c r="K20" s="11">
        <v>55.5</v>
      </c>
      <c r="L20" s="11"/>
      <c r="M20" s="11"/>
      <c r="N20" s="11">
        <v>156.75</v>
      </c>
      <c r="O20" s="11"/>
      <c r="P20" s="11">
        <v>38.5</v>
      </c>
      <c r="Q20" s="11">
        <v>88.5</v>
      </c>
      <c r="R20" s="11">
        <v>392.25</v>
      </c>
    </row>
    <row r="21" spans="1:18" ht="15.75" x14ac:dyDescent="0.25">
      <c r="A21" s="61" t="s">
        <v>4</v>
      </c>
      <c r="B21" s="66"/>
      <c r="C21" s="11"/>
      <c r="D21" s="11">
        <v>17.5</v>
      </c>
      <c r="E21" s="11"/>
      <c r="F21" s="11">
        <v>21</v>
      </c>
      <c r="G21" s="11">
        <v>18</v>
      </c>
      <c r="H21" s="11"/>
      <c r="I21" s="11">
        <v>13.5</v>
      </c>
      <c r="J21" s="11"/>
      <c r="K21" s="11">
        <v>57</v>
      </c>
      <c r="L21" s="11"/>
      <c r="M21" s="11"/>
      <c r="N21" s="11">
        <v>170</v>
      </c>
      <c r="O21" s="11"/>
      <c r="P21" s="11">
        <v>78.5</v>
      </c>
      <c r="Q21" s="11">
        <v>89</v>
      </c>
      <c r="R21" s="11">
        <v>464.5</v>
      </c>
    </row>
    <row r="22" spans="1:18" ht="15.75" x14ac:dyDescent="0.25">
      <c r="A22" s="61" t="s">
        <v>5</v>
      </c>
      <c r="B22" s="66"/>
      <c r="C22" s="11"/>
      <c r="D22" s="11">
        <v>23.5</v>
      </c>
      <c r="E22" s="11"/>
      <c r="F22" s="11">
        <v>12</v>
      </c>
      <c r="G22" s="11">
        <v>17</v>
      </c>
      <c r="H22" s="11"/>
      <c r="I22" s="11"/>
      <c r="J22" s="11"/>
      <c r="K22" s="11">
        <v>62</v>
      </c>
      <c r="L22" s="11"/>
      <c r="M22" s="11"/>
      <c r="N22" s="11">
        <v>161</v>
      </c>
      <c r="O22" s="11"/>
      <c r="P22" s="11">
        <v>37</v>
      </c>
      <c r="Q22" s="11">
        <v>25</v>
      </c>
      <c r="R22" s="11">
        <v>337.5</v>
      </c>
    </row>
    <row r="23" spans="1:18" ht="15.75" x14ac:dyDescent="0.25">
      <c r="A23" s="61" t="s">
        <v>6</v>
      </c>
      <c r="B23" s="66">
        <v>6</v>
      </c>
      <c r="C23" s="11"/>
      <c r="D23" s="11">
        <v>12.499999999999998</v>
      </c>
      <c r="E23" s="11"/>
      <c r="F23" s="11">
        <v>4.9999999999999982</v>
      </c>
      <c r="G23" s="11">
        <v>31.5</v>
      </c>
      <c r="H23" s="11"/>
      <c r="I23" s="11">
        <v>15.999999999999998</v>
      </c>
      <c r="J23" s="11"/>
      <c r="K23" s="11">
        <v>22</v>
      </c>
      <c r="L23" s="11"/>
      <c r="M23" s="11"/>
      <c r="N23" s="11">
        <v>155.5</v>
      </c>
      <c r="O23" s="11">
        <v>3.9999999999999991</v>
      </c>
      <c r="P23" s="11">
        <v>37</v>
      </c>
      <c r="Q23" s="11">
        <v>85.5</v>
      </c>
      <c r="R23" s="11">
        <v>375</v>
      </c>
    </row>
    <row r="24" spans="1:18" ht="15.75" x14ac:dyDescent="0.25">
      <c r="A24" s="61" t="s">
        <v>7</v>
      </c>
      <c r="B24" s="66">
        <v>5</v>
      </c>
      <c r="C24" s="11"/>
      <c r="D24" s="11">
        <v>57.5</v>
      </c>
      <c r="E24" s="11">
        <v>79</v>
      </c>
      <c r="F24" s="11">
        <v>15.5</v>
      </c>
      <c r="G24" s="11">
        <v>48.500000000000007</v>
      </c>
      <c r="H24" s="11">
        <v>29</v>
      </c>
      <c r="I24" s="11"/>
      <c r="J24" s="11"/>
      <c r="K24" s="11">
        <v>63.5</v>
      </c>
      <c r="L24" s="11">
        <v>3.9999999999999991</v>
      </c>
      <c r="M24" s="11"/>
      <c r="N24" s="11">
        <v>148.00000000000003</v>
      </c>
      <c r="O24" s="11"/>
      <c r="P24" s="11">
        <v>52.5</v>
      </c>
      <c r="Q24" s="11">
        <v>98</v>
      </c>
      <c r="R24" s="11">
        <v>600.5</v>
      </c>
    </row>
    <row r="25" spans="1:18" ht="15.75" x14ac:dyDescent="0.25">
      <c r="A25" s="61" t="s">
        <v>8</v>
      </c>
      <c r="B25" s="66"/>
      <c r="C25" s="11"/>
      <c r="D25" s="11">
        <v>26.499999999999996</v>
      </c>
      <c r="E25" s="11">
        <v>8</v>
      </c>
      <c r="F25" s="11">
        <v>7.5</v>
      </c>
      <c r="G25" s="11">
        <v>52.25</v>
      </c>
      <c r="H25" s="11"/>
      <c r="I25" s="11"/>
      <c r="J25" s="11"/>
      <c r="K25" s="11">
        <v>54.5</v>
      </c>
      <c r="L25" s="11"/>
      <c r="M25" s="11"/>
      <c r="N25" s="11">
        <v>161.5</v>
      </c>
      <c r="O25" s="11"/>
      <c r="P25" s="11">
        <v>58</v>
      </c>
      <c r="Q25" s="11">
        <v>317.5</v>
      </c>
      <c r="R25" s="11">
        <v>685.75</v>
      </c>
    </row>
    <row r="26" spans="1:18" ht="15.75" x14ac:dyDescent="0.25">
      <c r="A26" s="61" t="s">
        <v>9</v>
      </c>
      <c r="B26" s="66">
        <v>7.5</v>
      </c>
      <c r="C26" s="11"/>
      <c r="D26" s="11">
        <v>18</v>
      </c>
      <c r="E26" s="11"/>
      <c r="F26" s="11">
        <v>12.5</v>
      </c>
      <c r="G26" s="11">
        <v>48</v>
      </c>
      <c r="H26" s="11"/>
      <c r="I26" s="11">
        <v>9.5</v>
      </c>
      <c r="J26" s="11"/>
      <c r="K26" s="11">
        <v>53.500000000000007</v>
      </c>
      <c r="L26" s="11"/>
      <c r="M26" s="11"/>
      <c r="N26" s="11">
        <v>181</v>
      </c>
      <c r="O26" s="11"/>
      <c r="P26" s="11">
        <v>44.5</v>
      </c>
      <c r="Q26" s="11">
        <v>138.5</v>
      </c>
      <c r="R26" s="11">
        <v>513</v>
      </c>
    </row>
    <row r="27" spans="1:18" ht="15.75" x14ac:dyDescent="0.25">
      <c r="A27" s="61" t="s">
        <v>10</v>
      </c>
      <c r="B27" s="66"/>
      <c r="C27" s="11">
        <v>7.5</v>
      </c>
      <c r="D27" s="11">
        <v>41</v>
      </c>
      <c r="E27" s="11">
        <v>3.5000000000000009</v>
      </c>
      <c r="F27" s="11">
        <v>3.4999999999999996</v>
      </c>
      <c r="G27" s="11">
        <v>37.000000000000007</v>
      </c>
      <c r="H27" s="11"/>
      <c r="I27" s="11"/>
      <c r="J27" s="11"/>
      <c r="K27" s="11">
        <v>57.5</v>
      </c>
      <c r="L27" s="11"/>
      <c r="M27" s="11"/>
      <c r="N27" s="11">
        <v>169</v>
      </c>
      <c r="O27" s="11"/>
      <c r="P27" s="11">
        <v>59</v>
      </c>
      <c r="Q27" s="11"/>
      <c r="R27" s="11">
        <v>378</v>
      </c>
    </row>
    <row r="28" spans="1:18" ht="15.75" x14ac:dyDescent="0.25">
      <c r="A28" s="61" t="s">
        <v>11</v>
      </c>
      <c r="B28" s="66"/>
      <c r="C28" s="11"/>
      <c r="D28" s="11">
        <v>13</v>
      </c>
      <c r="E28" s="11"/>
      <c r="F28" s="11">
        <v>14.5</v>
      </c>
      <c r="G28" s="11">
        <v>58.5</v>
      </c>
      <c r="H28" s="11"/>
      <c r="I28" s="11"/>
      <c r="J28" s="11"/>
      <c r="K28" s="11">
        <v>35.5</v>
      </c>
      <c r="L28" s="11"/>
      <c r="M28" s="11">
        <v>4.0000000000000018</v>
      </c>
      <c r="N28" s="11">
        <v>195</v>
      </c>
      <c r="O28" s="11"/>
      <c r="P28" s="11">
        <v>66</v>
      </c>
      <c r="Q28" s="11">
        <v>185</v>
      </c>
      <c r="R28" s="11">
        <v>571.5</v>
      </c>
    </row>
    <row r="29" spans="1:18" ht="15.75" x14ac:dyDescent="0.25">
      <c r="A29" s="61" t="s">
        <v>12</v>
      </c>
      <c r="B29" s="66"/>
      <c r="C29" s="11"/>
      <c r="D29" s="11">
        <v>26</v>
      </c>
      <c r="E29" s="11">
        <v>14.500000000000002</v>
      </c>
      <c r="F29" s="11">
        <v>24</v>
      </c>
      <c r="G29" s="11">
        <v>47</v>
      </c>
      <c r="H29" s="11"/>
      <c r="I29" s="11">
        <v>4.9999999999999991</v>
      </c>
      <c r="J29" s="11"/>
      <c r="K29" s="11">
        <v>97.5</v>
      </c>
      <c r="L29" s="11"/>
      <c r="M29" s="11"/>
      <c r="N29" s="11">
        <v>139.5</v>
      </c>
      <c r="O29" s="11"/>
      <c r="P29" s="11">
        <v>68</v>
      </c>
      <c r="Q29" s="11">
        <v>70</v>
      </c>
      <c r="R29" s="11">
        <v>491.5</v>
      </c>
    </row>
    <row r="30" spans="1:18" ht="15.75" x14ac:dyDescent="0.25">
      <c r="A30" s="61" t="s">
        <v>13</v>
      </c>
      <c r="B30" s="66"/>
      <c r="C30" s="11"/>
      <c r="D30" s="11"/>
      <c r="E30" s="11">
        <v>14</v>
      </c>
      <c r="F30" s="11">
        <v>13</v>
      </c>
      <c r="G30" s="11">
        <v>30.999999999999993</v>
      </c>
      <c r="H30" s="11"/>
      <c r="I30" s="11"/>
      <c r="J30" s="11"/>
      <c r="K30" s="11">
        <v>54.5</v>
      </c>
      <c r="L30" s="11"/>
      <c r="M30" s="11"/>
      <c r="N30" s="11">
        <v>121.5</v>
      </c>
      <c r="O30" s="11"/>
      <c r="P30" s="11">
        <v>29</v>
      </c>
      <c r="Q30" s="11">
        <v>115.5</v>
      </c>
      <c r="R30" s="11">
        <v>378.5</v>
      </c>
    </row>
    <row r="31" spans="1:18" ht="15.75" x14ac:dyDescent="0.25">
      <c r="A31" s="63" t="s">
        <v>14</v>
      </c>
      <c r="B31" s="67">
        <v>23.5</v>
      </c>
      <c r="C31" s="58">
        <v>7.5</v>
      </c>
      <c r="D31" s="58">
        <v>242</v>
      </c>
      <c r="E31" s="58">
        <v>123</v>
      </c>
      <c r="F31" s="58">
        <v>138.5</v>
      </c>
      <c r="G31" s="58">
        <v>433.25</v>
      </c>
      <c r="H31" s="58">
        <v>29</v>
      </c>
      <c r="I31" s="58">
        <v>44</v>
      </c>
      <c r="J31" s="58">
        <v>9</v>
      </c>
      <c r="K31" s="58">
        <v>653.5</v>
      </c>
      <c r="L31" s="58">
        <v>3.9999999999999991</v>
      </c>
      <c r="M31" s="58">
        <v>4.0000000000000018</v>
      </c>
      <c r="N31" s="58">
        <v>1933</v>
      </c>
      <c r="O31" s="58">
        <v>3.9999999999999991</v>
      </c>
      <c r="P31" s="58">
        <v>637.25</v>
      </c>
      <c r="Q31" s="58">
        <v>1235.5</v>
      </c>
      <c r="R31" s="58">
        <v>5521</v>
      </c>
    </row>
    <row r="34" spans="1:6" ht="15.75" x14ac:dyDescent="0.25">
      <c r="A34" s="65" t="s">
        <v>0</v>
      </c>
      <c r="B34" s="65" t="s">
        <v>17</v>
      </c>
      <c r="C34" s="60" t="s">
        <v>18</v>
      </c>
      <c r="D34" s="70" t="s">
        <v>20</v>
      </c>
      <c r="E34" s="60" t="s">
        <v>19</v>
      </c>
    </row>
    <row r="35" spans="1:6" ht="15.75" x14ac:dyDescent="0.25">
      <c r="A35" s="61" t="s">
        <v>21</v>
      </c>
      <c r="B35" s="66">
        <f t="shared" ref="B35:B46" si="0">SUM(B19,E19,G19,L19,N19)</f>
        <v>181.25</v>
      </c>
      <c r="C35" s="62">
        <f t="shared" ref="C35:C46" si="1">SUM(D19,F19,H19,K19,M19,P19)</f>
        <v>119.75</v>
      </c>
      <c r="D35" s="71">
        <f t="shared" ref="D35:D46" si="2">SUM(C19,I19,J19,O19)</f>
        <v>9</v>
      </c>
      <c r="E35" s="62">
        <f t="shared" ref="E35:E46" si="3">SUM(Q19)</f>
        <v>23</v>
      </c>
    </row>
    <row r="36" spans="1:6" ht="15.75" x14ac:dyDescent="0.25">
      <c r="A36" s="61" t="s">
        <v>24</v>
      </c>
      <c r="B36" s="66">
        <f t="shared" si="0"/>
        <v>203.25</v>
      </c>
      <c r="C36" s="62">
        <f t="shared" si="1"/>
        <v>100.5</v>
      </c>
      <c r="D36" s="71">
        <f t="shared" si="2"/>
        <v>0</v>
      </c>
      <c r="E36" s="62">
        <f t="shared" si="3"/>
        <v>88.5</v>
      </c>
      <c r="F36" s="68"/>
    </row>
    <row r="37" spans="1:6" ht="15.75" x14ac:dyDescent="0.25">
      <c r="A37" s="61" t="s">
        <v>26</v>
      </c>
      <c r="B37" s="66">
        <f t="shared" si="0"/>
        <v>188</v>
      </c>
      <c r="C37" s="62">
        <f t="shared" si="1"/>
        <v>174</v>
      </c>
      <c r="D37" s="71">
        <f t="shared" si="2"/>
        <v>13.5</v>
      </c>
      <c r="E37" s="62">
        <f t="shared" si="3"/>
        <v>89</v>
      </c>
      <c r="F37" s="68"/>
    </row>
    <row r="38" spans="1:6" ht="15.75" x14ac:dyDescent="0.25">
      <c r="A38" s="61" t="s">
        <v>28</v>
      </c>
      <c r="B38" s="66">
        <f t="shared" si="0"/>
        <v>178</v>
      </c>
      <c r="C38" s="62">
        <f t="shared" si="1"/>
        <v>134.5</v>
      </c>
      <c r="D38" s="71">
        <f t="shared" si="2"/>
        <v>0</v>
      </c>
      <c r="E38" s="62">
        <f t="shared" si="3"/>
        <v>25</v>
      </c>
      <c r="F38" s="68"/>
    </row>
    <row r="39" spans="1:6" ht="15.75" x14ac:dyDescent="0.25">
      <c r="A39" s="61" t="s">
        <v>6</v>
      </c>
      <c r="B39" s="66">
        <f t="shared" si="0"/>
        <v>193</v>
      </c>
      <c r="C39" s="62">
        <f t="shared" si="1"/>
        <v>76.5</v>
      </c>
      <c r="D39" s="71">
        <f t="shared" si="2"/>
        <v>19.999999999999996</v>
      </c>
      <c r="E39" s="62">
        <f t="shared" si="3"/>
        <v>85.5</v>
      </c>
      <c r="F39" s="68"/>
    </row>
    <row r="40" spans="1:6" ht="15.75" x14ac:dyDescent="0.25">
      <c r="A40" s="61" t="s">
        <v>31</v>
      </c>
      <c r="B40" s="66">
        <f t="shared" si="0"/>
        <v>284.5</v>
      </c>
      <c r="C40" s="62">
        <f t="shared" si="1"/>
        <v>218</v>
      </c>
      <c r="D40" s="71">
        <f t="shared" si="2"/>
        <v>0</v>
      </c>
      <c r="E40" s="62">
        <f t="shared" si="3"/>
        <v>98</v>
      </c>
      <c r="F40" s="68"/>
    </row>
    <row r="41" spans="1:6" ht="15.75" x14ac:dyDescent="0.25">
      <c r="A41" s="61" t="s">
        <v>33</v>
      </c>
      <c r="B41" s="66">
        <f t="shared" si="0"/>
        <v>221.75</v>
      </c>
      <c r="C41" s="62">
        <f t="shared" si="1"/>
        <v>146.5</v>
      </c>
      <c r="D41" s="71">
        <f t="shared" si="2"/>
        <v>0</v>
      </c>
      <c r="E41" s="62">
        <f t="shared" si="3"/>
        <v>317.5</v>
      </c>
      <c r="F41" s="68"/>
    </row>
    <row r="42" spans="1:6" ht="15.75" x14ac:dyDescent="0.25">
      <c r="A42" s="61" t="s">
        <v>35</v>
      </c>
      <c r="B42" s="66">
        <f t="shared" si="0"/>
        <v>236.5</v>
      </c>
      <c r="C42" s="62">
        <f t="shared" si="1"/>
        <v>128.5</v>
      </c>
      <c r="D42" s="71">
        <f t="shared" si="2"/>
        <v>9.5</v>
      </c>
      <c r="E42" s="62">
        <f t="shared" si="3"/>
        <v>138.5</v>
      </c>
      <c r="F42" s="68"/>
    </row>
    <row r="43" spans="1:6" ht="15.75" x14ac:dyDescent="0.25">
      <c r="A43" s="61" t="s">
        <v>37</v>
      </c>
      <c r="B43" s="66">
        <f t="shared" si="0"/>
        <v>209.5</v>
      </c>
      <c r="C43" s="62">
        <f t="shared" si="1"/>
        <v>161</v>
      </c>
      <c r="D43" s="71">
        <f t="shared" si="2"/>
        <v>7.5</v>
      </c>
      <c r="E43" s="62">
        <f t="shared" si="3"/>
        <v>0</v>
      </c>
      <c r="F43" s="68"/>
    </row>
    <row r="44" spans="1:6" ht="15.75" x14ac:dyDescent="0.25">
      <c r="A44" s="61" t="s">
        <v>39</v>
      </c>
      <c r="B44" s="66">
        <f t="shared" si="0"/>
        <v>253.5</v>
      </c>
      <c r="C44" s="62">
        <f t="shared" si="1"/>
        <v>133</v>
      </c>
      <c r="D44" s="71">
        <f t="shared" si="2"/>
        <v>0</v>
      </c>
      <c r="E44" s="62">
        <f t="shared" si="3"/>
        <v>185</v>
      </c>
      <c r="F44" s="68"/>
    </row>
    <row r="45" spans="1:6" ht="15.75" x14ac:dyDescent="0.25">
      <c r="A45" s="61" t="s">
        <v>41</v>
      </c>
      <c r="B45" s="66">
        <f t="shared" si="0"/>
        <v>201</v>
      </c>
      <c r="C45" s="62">
        <f t="shared" si="1"/>
        <v>215.5</v>
      </c>
      <c r="D45" s="71">
        <f t="shared" si="2"/>
        <v>4.9999999999999991</v>
      </c>
      <c r="E45" s="62">
        <f t="shared" si="3"/>
        <v>70</v>
      </c>
      <c r="F45" s="68"/>
    </row>
    <row r="46" spans="1:6" ht="15.75" x14ac:dyDescent="0.25">
      <c r="A46" s="61" t="s">
        <v>43</v>
      </c>
      <c r="B46" s="73">
        <f t="shared" si="0"/>
        <v>166.5</v>
      </c>
      <c r="C46" s="74">
        <f t="shared" si="1"/>
        <v>96.5</v>
      </c>
      <c r="D46" s="75">
        <f t="shared" si="2"/>
        <v>0</v>
      </c>
      <c r="E46" s="74">
        <f t="shared" si="3"/>
        <v>115.5</v>
      </c>
      <c r="F46" s="68"/>
    </row>
    <row r="47" spans="1:6" ht="15.75" x14ac:dyDescent="0.25">
      <c r="A47" s="78"/>
      <c r="B47" s="77"/>
      <c r="C47" s="76"/>
      <c r="D47" s="76"/>
      <c r="E47" s="76"/>
      <c r="F47" s="68"/>
    </row>
    <row r="48" spans="1:6" ht="15.75" x14ac:dyDescent="0.25">
      <c r="A48" s="79" t="s">
        <v>14</v>
      </c>
      <c r="B48" s="69">
        <f>SUM(B35:E46)</f>
        <v>5521</v>
      </c>
    </row>
    <row r="58" spans="1:18" ht="15.75" x14ac:dyDescent="0.25">
      <c r="A58" s="65" t="s">
        <v>0</v>
      </c>
      <c r="B58" s="65" t="s">
        <v>44</v>
      </c>
      <c r="C58" s="59" t="s">
        <v>45</v>
      </c>
      <c r="D58" s="59" t="s">
        <v>46</v>
      </c>
      <c r="E58" s="59" t="s">
        <v>47</v>
      </c>
      <c r="F58" s="59" t="s">
        <v>48</v>
      </c>
      <c r="G58" s="59" t="s">
        <v>49</v>
      </c>
      <c r="H58" s="59" t="s">
        <v>50</v>
      </c>
      <c r="I58" s="59" t="s">
        <v>51</v>
      </c>
      <c r="J58" s="59" t="s">
        <v>52</v>
      </c>
      <c r="K58" s="59" t="s">
        <v>53</v>
      </c>
      <c r="L58" s="59" t="s">
        <v>54</v>
      </c>
      <c r="M58" s="59" t="s">
        <v>55</v>
      </c>
      <c r="N58" s="59" t="s">
        <v>56</v>
      </c>
      <c r="O58" s="59" t="s">
        <v>57</v>
      </c>
      <c r="P58" s="59" t="s">
        <v>58</v>
      </c>
      <c r="Q58" s="59" t="s">
        <v>19</v>
      </c>
      <c r="R58" s="59" t="s">
        <v>14</v>
      </c>
    </row>
    <row r="59" spans="1:18" ht="15.75" x14ac:dyDescent="0.25">
      <c r="A59" s="61" t="s">
        <v>2</v>
      </c>
      <c r="B59" s="66"/>
      <c r="C59" s="11"/>
      <c r="D59" s="11"/>
      <c r="E59" s="11"/>
      <c r="F59" s="11">
        <v>10</v>
      </c>
      <c r="G59" s="11">
        <v>6.9999999999999991</v>
      </c>
      <c r="H59" s="11"/>
      <c r="I59" s="11"/>
      <c r="J59" s="11">
        <v>9</v>
      </c>
      <c r="K59" s="11">
        <v>40.5</v>
      </c>
      <c r="L59" s="11"/>
      <c r="M59" s="11"/>
      <c r="N59" s="11">
        <v>174.25</v>
      </c>
      <c r="O59" s="11"/>
      <c r="P59" s="11">
        <v>69.25</v>
      </c>
      <c r="Q59" s="11">
        <v>23</v>
      </c>
      <c r="R59" s="11">
        <v>333</v>
      </c>
    </row>
    <row r="60" spans="1:18" ht="15.75" x14ac:dyDescent="0.25">
      <c r="A60" s="61" t="s">
        <v>3</v>
      </c>
      <c r="B60" s="66">
        <v>4.9999999999999982</v>
      </c>
      <c r="C60" s="11"/>
      <c r="D60" s="11">
        <v>6.5000000000000018</v>
      </c>
      <c r="E60" s="11">
        <v>4</v>
      </c>
      <c r="F60" s="11"/>
      <c r="G60" s="11">
        <v>37.5</v>
      </c>
      <c r="H60" s="11"/>
      <c r="I60" s="11"/>
      <c r="J60" s="11"/>
      <c r="K60" s="11">
        <v>55.5</v>
      </c>
      <c r="L60" s="11"/>
      <c r="M60" s="11"/>
      <c r="N60" s="11">
        <v>156.75</v>
      </c>
      <c r="O60" s="11"/>
      <c r="P60" s="11">
        <v>38.5</v>
      </c>
      <c r="Q60" s="11">
        <v>88.5</v>
      </c>
      <c r="R60" s="11">
        <v>392.25</v>
      </c>
    </row>
    <row r="61" spans="1:18" ht="15.75" x14ac:dyDescent="0.25">
      <c r="A61" s="61" t="s">
        <v>4</v>
      </c>
      <c r="B61" s="66"/>
      <c r="C61" s="11"/>
      <c r="D61" s="11">
        <v>17.5</v>
      </c>
      <c r="E61" s="11"/>
      <c r="F61" s="11">
        <v>21</v>
      </c>
      <c r="G61" s="11">
        <v>18</v>
      </c>
      <c r="H61" s="11"/>
      <c r="I61" s="11">
        <v>13.5</v>
      </c>
      <c r="J61" s="11"/>
      <c r="K61" s="11">
        <v>57</v>
      </c>
      <c r="L61" s="11"/>
      <c r="M61" s="11"/>
      <c r="N61" s="11">
        <v>170</v>
      </c>
      <c r="O61" s="11"/>
      <c r="P61" s="11">
        <v>78.5</v>
      </c>
      <c r="Q61" s="11">
        <v>89</v>
      </c>
      <c r="R61" s="11">
        <v>464.5</v>
      </c>
    </row>
    <row r="62" spans="1:18" ht="15.75" x14ac:dyDescent="0.25">
      <c r="A62" s="61" t="s">
        <v>5</v>
      </c>
      <c r="B62" s="66"/>
      <c r="C62" s="11"/>
      <c r="D62" s="11">
        <v>23.5</v>
      </c>
      <c r="E62" s="11"/>
      <c r="F62" s="11">
        <v>12</v>
      </c>
      <c r="G62" s="11">
        <v>17</v>
      </c>
      <c r="H62" s="11"/>
      <c r="I62" s="11"/>
      <c r="J62" s="11"/>
      <c r="K62" s="11">
        <v>62</v>
      </c>
      <c r="L62" s="11"/>
      <c r="M62" s="11"/>
      <c r="N62" s="11">
        <v>161</v>
      </c>
      <c r="O62" s="11"/>
      <c r="P62" s="11">
        <v>37</v>
      </c>
      <c r="Q62" s="11">
        <v>25</v>
      </c>
      <c r="R62" s="11">
        <v>337.5</v>
      </c>
    </row>
    <row r="63" spans="1:18" ht="15.75" x14ac:dyDescent="0.25">
      <c r="A63" s="61" t="s">
        <v>6</v>
      </c>
      <c r="B63" s="66">
        <v>6</v>
      </c>
      <c r="C63" s="11"/>
      <c r="D63" s="11">
        <v>12.499999999999998</v>
      </c>
      <c r="E63" s="11"/>
      <c r="F63" s="11">
        <v>4.9999999999999982</v>
      </c>
      <c r="G63" s="11">
        <v>31.5</v>
      </c>
      <c r="H63" s="11"/>
      <c r="I63" s="11">
        <v>15.999999999999998</v>
      </c>
      <c r="J63" s="11"/>
      <c r="K63" s="11">
        <v>22</v>
      </c>
      <c r="L63" s="11"/>
      <c r="M63" s="11"/>
      <c r="N63" s="11">
        <v>155.5</v>
      </c>
      <c r="O63" s="11">
        <v>3.9999999999999991</v>
      </c>
      <c r="P63" s="11">
        <v>37</v>
      </c>
      <c r="Q63" s="11">
        <v>85.5</v>
      </c>
      <c r="R63" s="11">
        <v>375</v>
      </c>
    </row>
    <row r="64" spans="1:18" ht="15.75" x14ac:dyDescent="0.25">
      <c r="A64" s="61" t="s">
        <v>7</v>
      </c>
      <c r="B64" s="66">
        <v>5</v>
      </c>
      <c r="C64" s="11"/>
      <c r="D64" s="11">
        <v>57.5</v>
      </c>
      <c r="E64" s="11">
        <v>79</v>
      </c>
      <c r="F64" s="11">
        <v>15.5</v>
      </c>
      <c r="G64" s="11">
        <v>48.500000000000007</v>
      </c>
      <c r="H64" s="11">
        <v>29</v>
      </c>
      <c r="I64" s="11"/>
      <c r="J64" s="11"/>
      <c r="K64" s="11">
        <v>63.5</v>
      </c>
      <c r="L64" s="11">
        <v>3.9999999999999991</v>
      </c>
      <c r="M64" s="11"/>
      <c r="N64" s="11">
        <v>148.00000000000003</v>
      </c>
      <c r="O64" s="11"/>
      <c r="P64" s="11">
        <v>52.5</v>
      </c>
      <c r="Q64" s="11">
        <v>98</v>
      </c>
      <c r="R64" s="11">
        <v>600.5</v>
      </c>
    </row>
    <row r="65" spans="1:18" ht="15.75" x14ac:dyDescent="0.25">
      <c r="A65" s="61" t="s">
        <v>8</v>
      </c>
      <c r="B65" s="66"/>
      <c r="C65" s="11"/>
      <c r="D65" s="11">
        <v>26.499999999999996</v>
      </c>
      <c r="E65" s="11">
        <v>8</v>
      </c>
      <c r="F65" s="11">
        <v>7.5</v>
      </c>
      <c r="G65" s="11">
        <v>52.25</v>
      </c>
      <c r="H65" s="11"/>
      <c r="I65" s="11"/>
      <c r="J65" s="11"/>
      <c r="K65" s="11">
        <v>54.5</v>
      </c>
      <c r="L65" s="11"/>
      <c r="M65" s="11"/>
      <c r="N65" s="11">
        <v>161.5</v>
      </c>
      <c r="O65" s="11"/>
      <c r="P65" s="11">
        <v>58</v>
      </c>
      <c r="Q65" s="11">
        <v>317.5</v>
      </c>
      <c r="R65" s="11">
        <v>685.75</v>
      </c>
    </row>
    <row r="66" spans="1:18" ht="15.75" x14ac:dyDescent="0.25">
      <c r="A66" s="61" t="s">
        <v>9</v>
      </c>
      <c r="B66" s="66">
        <v>7.5</v>
      </c>
      <c r="C66" s="11"/>
      <c r="D66" s="11">
        <v>18</v>
      </c>
      <c r="E66" s="11"/>
      <c r="F66" s="11">
        <v>12.5</v>
      </c>
      <c r="G66" s="11">
        <v>48</v>
      </c>
      <c r="H66" s="11"/>
      <c r="I66" s="11">
        <v>9.5</v>
      </c>
      <c r="J66" s="11"/>
      <c r="K66" s="11">
        <v>53.500000000000007</v>
      </c>
      <c r="L66" s="11"/>
      <c r="M66" s="11"/>
      <c r="N66" s="11">
        <v>181</v>
      </c>
      <c r="O66" s="11"/>
      <c r="P66" s="11">
        <v>44.5</v>
      </c>
      <c r="Q66" s="11">
        <v>138.5</v>
      </c>
      <c r="R66" s="11">
        <v>513</v>
      </c>
    </row>
    <row r="67" spans="1:18" ht="15.75" x14ac:dyDescent="0.25">
      <c r="A67" s="61" t="s">
        <v>10</v>
      </c>
      <c r="B67" s="66"/>
      <c r="C67" s="11">
        <v>7.5</v>
      </c>
      <c r="D67" s="11">
        <v>41</v>
      </c>
      <c r="E67" s="11">
        <v>3.5000000000000009</v>
      </c>
      <c r="F67" s="11">
        <v>3.4999999999999996</v>
      </c>
      <c r="G67" s="11">
        <v>37.000000000000007</v>
      </c>
      <c r="H67" s="11"/>
      <c r="I67" s="11"/>
      <c r="J67" s="11"/>
      <c r="K67" s="11">
        <v>57.5</v>
      </c>
      <c r="L67" s="11"/>
      <c r="M67" s="11"/>
      <c r="N67" s="11">
        <v>169</v>
      </c>
      <c r="O67" s="11"/>
      <c r="P67" s="11">
        <v>59</v>
      </c>
      <c r="Q67" s="11"/>
      <c r="R67" s="11">
        <v>378</v>
      </c>
    </row>
    <row r="68" spans="1:18" ht="15.75" x14ac:dyDescent="0.25">
      <c r="A68" s="61" t="s">
        <v>11</v>
      </c>
      <c r="B68" s="66"/>
      <c r="C68" s="11"/>
      <c r="D68" s="11">
        <v>13</v>
      </c>
      <c r="E68" s="11"/>
      <c r="F68" s="11">
        <v>14.5</v>
      </c>
      <c r="G68" s="11">
        <v>58.5</v>
      </c>
      <c r="H68" s="11"/>
      <c r="I68" s="11"/>
      <c r="J68" s="11"/>
      <c r="K68" s="11">
        <v>35.5</v>
      </c>
      <c r="L68" s="11"/>
      <c r="M68" s="11">
        <v>4.0000000000000018</v>
      </c>
      <c r="N68" s="11">
        <v>195</v>
      </c>
      <c r="O68" s="11"/>
      <c r="P68" s="11">
        <v>66</v>
      </c>
      <c r="Q68" s="11">
        <v>185</v>
      </c>
      <c r="R68" s="11">
        <v>571.5</v>
      </c>
    </row>
    <row r="69" spans="1:18" ht="15.75" x14ac:dyDescent="0.25">
      <c r="A69" s="61" t="s">
        <v>12</v>
      </c>
      <c r="B69" s="66"/>
      <c r="C69" s="11"/>
      <c r="D69" s="11">
        <v>26</v>
      </c>
      <c r="E69" s="11">
        <v>14.500000000000002</v>
      </c>
      <c r="F69" s="11">
        <v>24</v>
      </c>
      <c r="G69" s="11">
        <v>47</v>
      </c>
      <c r="H69" s="11"/>
      <c r="I69" s="11">
        <v>4.9999999999999991</v>
      </c>
      <c r="J69" s="11"/>
      <c r="K69" s="11">
        <v>97.5</v>
      </c>
      <c r="L69" s="11"/>
      <c r="M69" s="11"/>
      <c r="N69" s="11">
        <v>139.5</v>
      </c>
      <c r="O69" s="11"/>
      <c r="P69" s="11">
        <v>68</v>
      </c>
      <c r="Q69" s="11">
        <v>70</v>
      </c>
      <c r="R69" s="11">
        <v>491.5</v>
      </c>
    </row>
    <row r="70" spans="1:18" ht="15.75" x14ac:dyDescent="0.25">
      <c r="A70" s="61" t="s">
        <v>13</v>
      </c>
      <c r="B70" s="66"/>
      <c r="C70" s="11"/>
      <c r="D70" s="11"/>
      <c r="E70" s="11">
        <v>14</v>
      </c>
      <c r="F70" s="11">
        <v>13</v>
      </c>
      <c r="G70" s="11">
        <v>30.999999999999993</v>
      </c>
      <c r="H70" s="11"/>
      <c r="I70" s="11"/>
      <c r="J70" s="11"/>
      <c r="K70" s="11">
        <v>54.5</v>
      </c>
      <c r="L70" s="11"/>
      <c r="M70" s="11"/>
      <c r="N70" s="11">
        <v>121.5</v>
      </c>
      <c r="O70" s="11"/>
      <c r="P70" s="11">
        <v>29</v>
      </c>
      <c r="Q70" s="11">
        <v>115.5</v>
      </c>
      <c r="R70" s="11">
        <v>378.5</v>
      </c>
    </row>
    <row r="71" spans="1:18" ht="15.75" x14ac:dyDescent="0.25">
      <c r="A71" s="63" t="s">
        <v>14</v>
      </c>
      <c r="B71" s="67">
        <v>23.5</v>
      </c>
      <c r="C71" s="58">
        <v>7.5</v>
      </c>
      <c r="D71" s="58">
        <v>242</v>
      </c>
      <c r="E71" s="58">
        <v>123</v>
      </c>
      <c r="F71" s="58">
        <v>138.5</v>
      </c>
      <c r="G71" s="58">
        <v>433.25</v>
      </c>
      <c r="H71" s="58">
        <v>29</v>
      </c>
      <c r="I71" s="58">
        <v>44</v>
      </c>
      <c r="J71" s="58">
        <v>9</v>
      </c>
      <c r="K71" s="58">
        <v>653.5</v>
      </c>
      <c r="L71" s="58">
        <v>3.9999999999999991</v>
      </c>
      <c r="M71" s="58">
        <v>4.0000000000000018</v>
      </c>
      <c r="N71" s="58">
        <v>1933</v>
      </c>
      <c r="O71" s="58">
        <v>3.9999999999999991</v>
      </c>
      <c r="P71" s="58">
        <v>637.25</v>
      </c>
      <c r="Q71" s="58">
        <v>1235.5</v>
      </c>
      <c r="R71" s="58">
        <v>5521</v>
      </c>
    </row>
    <row r="73" spans="1:18" ht="15.75" x14ac:dyDescent="0.25">
      <c r="A73" s="51"/>
      <c r="B73" s="83" t="s">
        <v>44</v>
      </c>
      <c r="C73" s="84" t="s">
        <v>45</v>
      </c>
      <c r="D73" s="84" t="s">
        <v>46</v>
      </c>
      <c r="E73" s="84" t="s">
        <v>47</v>
      </c>
      <c r="F73" s="84" t="s">
        <v>48</v>
      </c>
      <c r="G73" s="84" t="s">
        <v>49</v>
      </c>
      <c r="H73" s="84" t="s">
        <v>51</v>
      </c>
      <c r="I73" s="84" t="s">
        <v>53</v>
      </c>
      <c r="J73" s="84" t="s">
        <v>54</v>
      </c>
      <c r="K73" s="84" t="s">
        <v>55</v>
      </c>
      <c r="L73" s="84" t="s">
        <v>56</v>
      </c>
      <c r="M73" s="84" t="s">
        <v>57</v>
      </c>
      <c r="N73" s="84" t="s">
        <v>58</v>
      </c>
      <c r="O73" s="84" t="s">
        <v>19</v>
      </c>
    </row>
    <row r="74" spans="1:18" ht="15.75" x14ac:dyDescent="0.25">
      <c r="A74" s="83" t="s">
        <v>17</v>
      </c>
      <c r="B74" s="85">
        <f>B71</f>
        <v>23.5</v>
      </c>
      <c r="C74" s="51"/>
      <c r="D74" s="51"/>
      <c r="E74" s="51">
        <f>E71</f>
        <v>123</v>
      </c>
      <c r="F74" s="51"/>
      <c r="G74" s="51">
        <f>G71</f>
        <v>433.25</v>
      </c>
      <c r="H74" s="51"/>
      <c r="I74" s="51"/>
      <c r="J74" s="51">
        <f>L71</f>
        <v>3.9999999999999991</v>
      </c>
      <c r="K74" s="51"/>
      <c r="L74" s="51">
        <f>N71</f>
        <v>1933</v>
      </c>
      <c r="M74" s="51"/>
      <c r="N74" s="51"/>
      <c r="O74" s="51"/>
    </row>
    <row r="75" spans="1:18" ht="15.75" x14ac:dyDescent="0.25">
      <c r="A75" s="86" t="s">
        <v>18</v>
      </c>
      <c r="B75" s="85"/>
      <c r="C75" s="51"/>
      <c r="D75" s="51">
        <f>D71</f>
        <v>242</v>
      </c>
      <c r="E75" s="51"/>
      <c r="F75" s="51">
        <f>F71</f>
        <v>138.5</v>
      </c>
      <c r="G75" s="51"/>
      <c r="H75" s="51"/>
      <c r="I75" s="51">
        <f>K71</f>
        <v>653.5</v>
      </c>
      <c r="J75" s="51"/>
      <c r="K75" s="51">
        <f>M71</f>
        <v>4.0000000000000018</v>
      </c>
      <c r="L75" s="51"/>
      <c r="M75" s="51"/>
      <c r="N75" s="51">
        <f>P71</f>
        <v>637.25</v>
      </c>
      <c r="O75" s="51"/>
    </row>
    <row r="76" spans="1:18" ht="15.75" x14ac:dyDescent="0.25">
      <c r="A76" s="86" t="s">
        <v>20</v>
      </c>
      <c r="B76" s="85"/>
      <c r="C76" s="51">
        <f>C71</f>
        <v>7.5</v>
      </c>
      <c r="D76" s="51"/>
      <c r="E76" s="51"/>
      <c r="F76" s="51"/>
      <c r="G76" s="51"/>
      <c r="H76" s="51">
        <f>I71+J71</f>
        <v>53</v>
      </c>
      <c r="I76" s="51"/>
      <c r="J76" s="51"/>
      <c r="K76" s="51"/>
      <c r="L76" s="51"/>
      <c r="M76" s="51">
        <f>M71</f>
        <v>4.0000000000000018</v>
      </c>
      <c r="O76" s="51"/>
    </row>
    <row r="77" spans="1:18" ht="15.75" x14ac:dyDescent="0.25">
      <c r="A77" s="86" t="s">
        <v>19</v>
      </c>
      <c r="B77" s="85"/>
      <c r="C77" s="51"/>
      <c r="D77" s="51"/>
      <c r="E77" s="51"/>
      <c r="F77" s="51"/>
      <c r="G77" s="51"/>
      <c r="H77" s="51"/>
      <c r="I77" s="51"/>
      <c r="J77" s="51"/>
      <c r="K77" s="51"/>
      <c r="L77" s="51"/>
      <c r="M77" s="51"/>
      <c r="N77" s="51"/>
      <c r="O77" s="51">
        <f>Q71</f>
        <v>1235.5</v>
      </c>
    </row>
    <row r="79" spans="1:18" x14ac:dyDescent="0.25">
      <c r="A79" s="51"/>
      <c r="B79" s="85" t="s">
        <v>44</v>
      </c>
      <c r="C79" s="51" t="s">
        <v>47</v>
      </c>
      <c r="D79" s="51" t="s">
        <v>49</v>
      </c>
      <c r="E79" s="51" t="s">
        <v>54</v>
      </c>
      <c r="F79" s="51" t="s">
        <v>56</v>
      </c>
    </row>
    <row r="80" spans="1:18" x14ac:dyDescent="0.25">
      <c r="A80" s="51" t="s">
        <v>17</v>
      </c>
      <c r="B80" s="85">
        <v>23.5</v>
      </c>
      <c r="C80" s="51">
        <v>123</v>
      </c>
      <c r="D80" s="51">
        <v>433.25</v>
      </c>
      <c r="E80" s="51">
        <v>3.9999999999999991</v>
      </c>
      <c r="F80" s="51">
        <v>1933</v>
      </c>
    </row>
    <row r="81" spans="1:6" x14ac:dyDescent="0.25">
      <c r="A81" s="51"/>
      <c r="B81" s="85"/>
      <c r="C81" s="51"/>
      <c r="D81" s="51"/>
      <c r="E81" s="51"/>
      <c r="F81" s="51"/>
    </row>
    <row r="82" spans="1:6" x14ac:dyDescent="0.25">
      <c r="A82" s="51"/>
      <c r="B82" s="84" t="s">
        <v>46</v>
      </c>
      <c r="C82" s="84" t="s">
        <v>48</v>
      </c>
      <c r="D82" s="84" t="s">
        <v>53</v>
      </c>
      <c r="E82" s="84" t="s">
        <v>55</v>
      </c>
      <c r="F82" s="84" t="s">
        <v>58</v>
      </c>
    </row>
    <row r="83" spans="1:6" ht="15.75" x14ac:dyDescent="0.25">
      <c r="A83" s="86" t="s">
        <v>18</v>
      </c>
      <c r="B83" s="85">
        <v>242</v>
      </c>
      <c r="C83" s="51">
        <v>138.5</v>
      </c>
      <c r="D83" s="51">
        <v>653.5</v>
      </c>
      <c r="E83" s="51">
        <v>4</v>
      </c>
      <c r="F83" s="51">
        <v>637.25</v>
      </c>
    </row>
    <row r="84" spans="1:6" x14ac:dyDescent="0.25">
      <c r="A84" s="51"/>
      <c r="B84" s="85"/>
      <c r="C84" s="51"/>
      <c r="D84" s="51"/>
      <c r="E84" s="51"/>
      <c r="F84" s="51"/>
    </row>
    <row r="85" spans="1:6" x14ac:dyDescent="0.25">
      <c r="A85" s="51"/>
      <c r="B85" s="84" t="s">
        <v>45</v>
      </c>
      <c r="C85" s="84" t="s">
        <v>51</v>
      </c>
      <c r="D85" s="84" t="s">
        <v>57</v>
      </c>
      <c r="E85" s="51"/>
      <c r="F85" s="51"/>
    </row>
    <row r="86" spans="1:6" ht="15.75" x14ac:dyDescent="0.25">
      <c r="A86" s="86" t="s">
        <v>20</v>
      </c>
      <c r="B86" s="85">
        <v>7.5</v>
      </c>
      <c r="C86" s="51">
        <v>53</v>
      </c>
      <c r="D86" s="51">
        <v>4</v>
      </c>
      <c r="E86" s="51"/>
      <c r="F86" s="51"/>
    </row>
    <row r="87" spans="1:6" x14ac:dyDescent="0.25">
      <c r="A87" s="51"/>
      <c r="B87" s="85"/>
      <c r="C87" s="51"/>
      <c r="D87" s="51"/>
      <c r="E87" s="51"/>
      <c r="F87" s="51"/>
    </row>
    <row r="88" spans="1:6" x14ac:dyDescent="0.25">
      <c r="A88" s="51"/>
      <c r="B88" s="84" t="s">
        <v>19</v>
      </c>
      <c r="C88" s="51"/>
      <c r="D88" s="51"/>
      <c r="E88" s="51"/>
      <c r="F88" s="51"/>
    </row>
    <row r="89" spans="1:6" ht="15.75" x14ac:dyDescent="0.25">
      <c r="A89" s="86" t="s">
        <v>19</v>
      </c>
      <c r="B89" s="85">
        <v>1235.5</v>
      </c>
      <c r="C89" s="51"/>
      <c r="D89" s="51"/>
      <c r="E89" s="51"/>
      <c r="F89" s="51"/>
    </row>
    <row r="96" spans="1:6" ht="15.75" x14ac:dyDescent="0.25">
      <c r="A96" s="86" t="s">
        <v>19</v>
      </c>
      <c r="B96" s="89" t="s">
        <v>319</v>
      </c>
    </row>
    <row r="97" spans="1:4" x14ac:dyDescent="0.25">
      <c r="A97" s="88" t="s">
        <v>320</v>
      </c>
      <c r="B97">
        <v>239.5</v>
      </c>
    </row>
    <row r="98" spans="1:4" x14ac:dyDescent="0.25">
      <c r="A98" s="88" t="s">
        <v>350</v>
      </c>
      <c r="B98">
        <v>152</v>
      </c>
    </row>
    <row r="99" spans="1:4" x14ac:dyDescent="0.25">
      <c r="A99" s="88" t="s">
        <v>341</v>
      </c>
      <c r="B99">
        <v>111.5</v>
      </c>
      <c r="C99" s="88"/>
    </row>
    <row r="100" spans="1:4" x14ac:dyDescent="0.25">
      <c r="A100" s="88" t="s">
        <v>332</v>
      </c>
      <c r="B100">
        <v>92.5</v>
      </c>
    </row>
    <row r="101" spans="1:4" x14ac:dyDescent="0.25">
      <c r="A101" s="88" t="s">
        <v>328</v>
      </c>
      <c r="B101">
        <v>66.5</v>
      </c>
      <c r="C101" s="88"/>
    </row>
    <row r="102" spans="1:4" x14ac:dyDescent="0.25">
      <c r="A102" s="88" t="s">
        <v>336</v>
      </c>
      <c r="B102">
        <v>57</v>
      </c>
    </row>
    <row r="103" spans="1:4" x14ac:dyDescent="0.25">
      <c r="A103" s="88" t="s">
        <v>327</v>
      </c>
      <c r="B103">
        <v>43</v>
      </c>
      <c r="C103" t="s">
        <v>353</v>
      </c>
      <c r="D103">
        <f>AVERAGE(B97:B133)</f>
        <v>33.364864864864863</v>
      </c>
    </row>
    <row r="104" spans="1:4" x14ac:dyDescent="0.25">
      <c r="A104" s="88" t="s">
        <v>266</v>
      </c>
      <c r="B104">
        <v>41</v>
      </c>
    </row>
    <row r="105" spans="1:4" x14ac:dyDescent="0.25">
      <c r="A105" s="88" t="s">
        <v>337</v>
      </c>
      <c r="B105">
        <v>40</v>
      </c>
    </row>
    <row r="106" spans="1:4" x14ac:dyDescent="0.25">
      <c r="A106" s="88" t="s">
        <v>331</v>
      </c>
      <c r="B106">
        <v>39.5</v>
      </c>
    </row>
    <row r="107" spans="1:4" x14ac:dyDescent="0.25">
      <c r="A107" s="88" t="s">
        <v>326</v>
      </c>
      <c r="B107">
        <v>34</v>
      </c>
    </row>
    <row r="108" spans="1:4" x14ac:dyDescent="0.25">
      <c r="A108" s="88" t="s">
        <v>347</v>
      </c>
      <c r="B108">
        <v>32.5</v>
      </c>
    </row>
    <row r="109" spans="1:4" x14ac:dyDescent="0.25">
      <c r="A109" s="88" t="s">
        <v>329</v>
      </c>
      <c r="B109">
        <v>29</v>
      </c>
    </row>
    <row r="110" spans="1:4" x14ac:dyDescent="0.25">
      <c r="A110" s="88" t="s">
        <v>321</v>
      </c>
      <c r="B110">
        <v>26</v>
      </c>
    </row>
    <row r="111" spans="1:4" x14ac:dyDescent="0.25">
      <c r="A111" s="88" t="s">
        <v>340</v>
      </c>
      <c r="B111">
        <v>25</v>
      </c>
    </row>
    <row r="112" spans="1:4" x14ac:dyDescent="0.25">
      <c r="A112" s="88" t="s">
        <v>323</v>
      </c>
      <c r="B112">
        <v>24</v>
      </c>
    </row>
    <row r="113" spans="1:2" x14ac:dyDescent="0.25">
      <c r="A113" s="88" t="s">
        <v>351</v>
      </c>
      <c r="B113">
        <v>16.5</v>
      </c>
    </row>
    <row r="114" spans="1:2" x14ac:dyDescent="0.25">
      <c r="A114" s="88" t="s">
        <v>333</v>
      </c>
      <c r="B114">
        <v>14.5</v>
      </c>
    </row>
    <row r="115" spans="1:2" x14ac:dyDescent="0.25">
      <c r="A115" s="88" t="s">
        <v>346</v>
      </c>
      <c r="B115">
        <v>14</v>
      </c>
    </row>
    <row r="116" spans="1:2" x14ac:dyDescent="0.25">
      <c r="A116" s="88" t="s">
        <v>325</v>
      </c>
      <c r="B116">
        <v>13.5</v>
      </c>
    </row>
    <row r="117" spans="1:2" x14ac:dyDescent="0.25">
      <c r="A117" s="88" t="s">
        <v>334</v>
      </c>
      <c r="B117">
        <v>13</v>
      </c>
    </row>
    <row r="118" spans="1:2" x14ac:dyDescent="0.25">
      <c r="A118" s="88" t="s">
        <v>338</v>
      </c>
      <c r="B118">
        <v>12</v>
      </c>
    </row>
    <row r="119" spans="1:2" x14ac:dyDescent="0.25">
      <c r="A119" s="88" t="s">
        <v>339</v>
      </c>
      <c r="B119">
        <v>11</v>
      </c>
    </row>
    <row r="120" spans="1:2" x14ac:dyDescent="0.25">
      <c r="A120" s="88" t="s">
        <v>342</v>
      </c>
      <c r="B120">
        <v>10</v>
      </c>
    </row>
    <row r="121" spans="1:2" x14ac:dyDescent="0.25">
      <c r="A121" s="88" t="s">
        <v>343</v>
      </c>
      <c r="B121">
        <v>10</v>
      </c>
    </row>
    <row r="122" spans="1:2" x14ac:dyDescent="0.25">
      <c r="A122" s="88" t="s">
        <v>330</v>
      </c>
      <c r="B122">
        <v>9</v>
      </c>
    </row>
    <row r="123" spans="1:2" x14ac:dyDescent="0.25">
      <c r="A123" s="88" t="s">
        <v>324</v>
      </c>
      <c r="B123">
        <v>9</v>
      </c>
    </row>
    <row r="124" spans="1:2" x14ac:dyDescent="0.25">
      <c r="A124" s="88" t="s">
        <v>119</v>
      </c>
      <c r="B124">
        <v>8</v>
      </c>
    </row>
    <row r="125" spans="1:2" x14ac:dyDescent="0.25">
      <c r="A125" s="88" t="s">
        <v>344</v>
      </c>
      <c r="B125">
        <v>8</v>
      </c>
    </row>
    <row r="126" spans="1:2" x14ac:dyDescent="0.25">
      <c r="A126" s="88" t="s">
        <v>141</v>
      </c>
      <c r="B126">
        <v>6</v>
      </c>
    </row>
    <row r="127" spans="1:2" x14ac:dyDescent="0.25">
      <c r="A127" s="88" t="s">
        <v>146</v>
      </c>
      <c r="B127">
        <v>5.5</v>
      </c>
    </row>
    <row r="128" spans="1:2" x14ac:dyDescent="0.25">
      <c r="A128" s="88" t="s">
        <v>147</v>
      </c>
      <c r="B128">
        <v>4</v>
      </c>
    </row>
    <row r="129" spans="1:3" x14ac:dyDescent="0.25">
      <c r="A129" s="88" t="s">
        <v>345</v>
      </c>
      <c r="B129">
        <v>4</v>
      </c>
    </row>
    <row r="130" spans="1:3" x14ac:dyDescent="0.25">
      <c r="A130" s="88" t="s">
        <v>293</v>
      </c>
      <c r="B130">
        <v>4</v>
      </c>
    </row>
    <row r="131" spans="1:3" x14ac:dyDescent="0.25">
      <c r="A131" s="88" t="s">
        <v>176</v>
      </c>
      <c r="B131">
        <v>3.5</v>
      </c>
    </row>
    <row r="132" spans="1:3" x14ac:dyDescent="0.25">
      <c r="A132" s="88" t="s">
        <v>335</v>
      </c>
      <c r="B132">
        <v>3</v>
      </c>
    </row>
    <row r="133" spans="1:3" x14ac:dyDescent="0.25">
      <c r="A133" s="88" t="s">
        <v>158</v>
      </c>
      <c r="B133">
        <v>3</v>
      </c>
    </row>
    <row r="134" spans="1:3" x14ac:dyDescent="0.25">
      <c r="A134" s="88"/>
      <c r="B134"/>
    </row>
    <row r="135" spans="1:3" x14ac:dyDescent="0.25">
      <c r="A135" s="88"/>
      <c r="B135"/>
    </row>
    <row r="136" spans="1:3" x14ac:dyDescent="0.25">
      <c r="A136" s="87" t="s">
        <v>0</v>
      </c>
      <c r="B136" t="s">
        <v>385</v>
      </c>
      <c r="C136" t="s">
        <v>1</v>
      </c>
    </row>
    <row r="137" spans="1:3" x14ac:dyDescent="0.25">
      <c r="A137" s="88" t="s">
        <v>2</v>
      </c>
      <c r="B137">
        <v>411</v>
      </c>
      <c r="C137">
        <v>333</v>
      </c>
    </row>
    <row r="138" spans="1:3" x14ac:dyDescent="0.25">
      <c r="A138" s="88" t="s">
        <v>3</v>
      </c>
      <c r="B138">
        <v>480.25</v>
      </c>
      <c r="C138">
        <v>392.25</v>
      </c>
    </row>
    <row r="139" spans="1:3" x14ac:dyDescent="0.25">
      <c r="A139" s="88" t="s">
        <v>4</v>
      </c>
      <c r="B139">
        <v>558.5</v>
      </c>
      <c r="C139">
        <v>464.5</v>
      </c>
    </row>
    <row r="140" spans="1:3" x14ac:dyDescent="0.25">
      <c r="A140" s="88" t="s">
        <v>5</v>
      </c>
      <c r="B140">
        <v>409.5</v>
      </c>
      <c r="C140">
        <v>337.5</v>
      </c>
    </row>
    <row r="141" spans="1:3" x14ac:dyDescent="0.25">
      <c r="A141" s="88" t="s">
        <v>6</v>
      </c>
      <c r="B141">
        <v>493</v>
      </c>
      <c r="C141">
        <v>375</v>
      </c>
    </row>
    <row r="142" spans="1:3" x14ac:dyDescent="0.25">
      <c r="A142" s="88" t="s">
        <v>7</v>
      </c>
      <c r="B142">
        <v>734.5</v>
      </c>
      <c r="C142">
        <v>600.5</v>
      </c>
    </row>
    <row r="143" spans="1:3" x14ac:dyDescent="0.25">
      <c r="A143" s="88" t="s">
        <v>8</v>
      </c>
      <c r="B143">
        <v>831.75</v>
      </c>
      <c r="C143">
        <v>685.75</v>
      </c>
    </row>
    <row r="144" spans="1:3" x14ac:dyDescent="0.25">
      <c r="A144" s="88" t="s">
        <v>9</v>
      </c>
      <c r="B144">
        <v>635</v>
      </c>
      <c r="C144">
        <v>513</v>
      </c>
    </row>
    <row r="145" spans="1:7" x14ac:dyDescent="0.25">
      <c r="A145" s="88" t="s">
        <v>10</v>
      </c>
      <c r="B145">
        <v>444</v>
      </c>
      <c r="C145">
        <v>378</v>
      </c>
    </row>
    <row r="146" spans="1:7" x14ac:dyDescent="0.25">
      <c r="A146" s="88" t="s">
        <v>11</v>
      </c>
      <c r="B146">
        <v>701.5</v>
      </c>
      <c r="C146">
        <v>571.5</v>
      </c>
    </row>
    <row r="147" spans="1:7" x14ac:dyDescent="0.25">
      <c r="A147" s="88" t="s">
        <v>12</v>
      </c>
      <c r="B147">
        <v>577.5</v>
      </c>
      <c r="C147">
        <v>491.5</v>
      </c>
    </row>
    <row r="148" spans="1:7" x14ac:dyDescent="0.25">
      <c r="A148" s="88" t="s">
        <v>13</v>
      </c>
      <c r="B148">
        <v>480.5</v>
      </c>
      <c r="C148">
        <v>378.5</v>
      </c>
    </row>
    <row r="149" spans="1:7" x14ac:dyDescent="0.25">
      <c r="A149" s="88" t="s">
        <v>14</v>
      </c>
      <c r="B149">
        <v>6757</v>
      </c>
      <c r="C149">
        <v>5521</v>
      </c>
    </row>
    <row r="150" spans="1:7" x14ac:dyDescent="0.25">
      <c r="B150"/>
    </row>
    <row r="151" spans="1:7" x14ac:dyDescent="0.25">
      <c r="B151"/>
    </row>
    <row r="152" spans="1:7" ht="15.75" x14ac:dyDescent="0.25">
      <c r="A152" s="182" t="s">
        <v>393</v>
      </c>
      <c r="B152" s="183"/>
      <c r="C152" s="183"/>
      <c r="D152" s="183"/>
      <c r="E152" s="183"/>
      <c r="F152" s="183"/>
      <c r="G152" s="184"/>
    </row>
    <row r="153" spans="1:7" x14ac:dyDescent="0.25">
      <c r="A153" s="84" t="s">
        <v>388</v>
      </c>
      <c r="B153" s="84" t="s">
        <v>386</v>
      </c>
      <c r="C153" s="84" t="s">
        <v>387</v>
      </c>
      <c r="D153" s="84" t="s">
        <v>391</v>
      </c>
      <c r="E153" s="84" t="s">
        <v>389</v>
      </c>
      <c r="F153" s="84" t="s">
        <v>390</v>
      </c>
      <c r="G153" s="84" t="s">
        <v>392</v>
      </c>
    </row>
    <row r="154" spans="1:7" x14ac:dyDescent="0.25">
      <c r="A154" s="115" t="s">
        <v>21</v>
      </c>
      <c r="B154" s="51">
        <v>333</v>
      </c>
      <c r="C154" s="51">
        <v>411</v>
      </c>
      <c r="D154" s="51">
        <f>C154-B154</f>
        <v>78</v>
      </c>
      <c r="E154" s="116">
        <f>21*B154</f>
        <v>6993</v>
      </c>
      <c r="F154" s="116">
        <f>21*C154</f>
        <v>8631</v>
      </c>
      <c r="G154" s="116">
        <f>F154-E154</f>
        <v>1638</v>
      </c>
    </row>
    <row r="155" spans="1:7" x14ac:dyDescent="0.25">
      <c r="A155" s="115" t="s">
        <v>24</v>
      </c>
      <c r="B155" s="51">
        <v>392.25</v>
      </c>
      <c r="C155" s="51">
        <v>480.25</v>
      </c>
      <c r="D155" s="51">
        <f t="shared" ref="D155:D166" si="4">C155-B155</f>
        <v>88</v>
      </c>
      <c r="E155" s="116">
        <f t="shared" ref="E155:F166" si="5">21*B155</f>
        <v>8237.25</v>
      </c>
      <c r="F155" s="116">
        <f t="shared" si="5"/>
        <v>10085.25</v>
      </c>
      <c r="G155" s="116">
        <f t="shared" ref="G155:G166" si="6">F155-E155</f>
        <v>1848</v>
      </c>
    </row>
    <row r="156" spans="1:7" x14ac:dyDescent="0.25">
      <c r="A156" s="115" t="s">
        <v>26</v>
      </c>
      <c r="B156" s="51">
        <v>464.5</v>
      </c>
      <c r="C156" s="51">
        <v>558.5</v>
      </c>
      <c r="D156" s="51">
        <f t="shared" si="4"/>
        <v>94</v>
      </c>
      <c r="E156" s="116">
        <f t="shared" si="5"/>
        <v>9754.5</v>
      </c>
      <c r="F156" s="116">
        <f t="shared" si="5"/>
        <v>11728.5</v>
      </c>
      <c r="G156" s="116">
        <f t="shared" si="6"/>
        <v>1974</v>
      </c>
    </row>
    <row r="157" spans="1:7" x14ac:dyDescent="0.25">
      <c r="A157" s="115" t="s">
        <v>28</v>
      </c>
      <c r="B157" s="51">
        <v>337.5</v>
      </c>
      <c r="C157" s="51">
        <v>409.5</v>
      </c>
      <c r="D157" s="51">
        <f t="shared" si="4"/>
        <v>72</v>
      </c>
      <c r="E157" s="116">
        <f t="shared" si="5"/>
        <v>7087.5</v>
      </c>
      <c r="F157" s="116">
        <f t="shared" si="5"/>
        <v>8599.5</v>
      </c>
      <c r="G157" s="116">
        <f t="shared" si="6"/>
        <v>1512</v>
      </c>
    </row>
    <row r="158" spans="1:7" x14ac:dyDescent="0.25">
      <c r="A158" s="115" t="s">
        <v>6</v>
      </c>
      <c r="B158" s="51">
        <v>375</v>
      </c>
      <c r="C158" s="51">
        <v>493</v>
      </c>
      <c r="D158" s="51">
        <f t="shared" si="4"/>
        <v>118</v>
      </c>
      <c r="E158" s="116">
        <f t="shared" si="5"/>
        <v>7875</v>
      </c>
      <c r="F158" s="116">
        <f t="shared" si="5"/>
        <v>10353</v>
      </c>
      <c r="G158" s="116">
        <f t="shared" si="6"/>
        <v>2478</v>
      </c>
    </row>
    <row r="159" spans="1:7" x14ac:dyDescent="0.25">
      <c r="A159" s="115" t="s">
        <v>31</v>
      </c>
      <c r="B159" s="51">
        <v>600.5</v>
      </c>
      <c r="C159" s="51">
        <v>734.5</v>
      </c>
      <c r="D159" s="51">
        <f t="shared" si="4"/>
        <v>134</v>
      </c>
      <c r="E159" s="116">
        <f t="shared" si="5"/>
        <v>12610.5</v>
      </c>
      <c r="F159" s="116">
        <f t="shared" si="5"/>
        <v>15424.5</v>
      </c>
      <c r="G159" s="116">
        <f t="shared" si="6"/>
        <v>2814</v>
      </c>
    </row>
    <row r="160" spans="1:7" x14ac:dyDescent="0.25">
      <c r="A160" s="115" t="s">
        <v>33</v>
      </c>
      <c r="B160" s="51">
        <v>685.75</v>
      </c>
      <c r="C160" s="51">
        <v>831.75</v>
      </c>
      <c r="D160" s="51">
        <f t="shared" si="4"/>
        <v>146</v>
      </c>
      <c r="E160" s="116">
        <f t="shared" si="5"/>
        <v>14400.75</v>
      </c>
      <c r="F160" s="116">
        <f t="shared" si="5"/>
        <v>17466.75</v>
      </c>
      <c r="G160" s="116">
        <f t="shared" si="6"/>
        <v>3066</v>
      </c>
    </row>
    <row r="161" spans="1:7" x14ac:dyDescent="0.25">
      <c r="A161" s="115" t="s">
        <v>35</v>
      </c>
      <c r="B161" s="51">
        <v>513</v>
      </c>
      <c r="C161" s="51">
        <v>635</v>
      </c>
      <c r="D161" s="51">
        <f t="shared" si="4"/>
        <v>122</v>
      </c>
      <c r="E161" s="116">
        <f t="shared" si="5"/>
        <v>10773</v>
      </c>
      <c r="F161" s="116">
        <f t="shared" si="5"/>
        <v>13335</v>
      </c>
      <c r="G161" s="116">
        <f t="shared" si="6"/>
        <v>2562</v>
      </c>
    </row>
    <row r="162" spans="1:7" x14ac:dyDescent="0.25">
      <c r="A162" s="115" t="s">
        <v>37</v>
      </c>
      <c r="B162" s="51">
        <v>378</v>
      </c>
      <c r="C162" s="51">
        <v>444</v>
      </c>
      <c r="D162" s="51">
        <f t="shared" si="4"/>
        <v>66</v>
      </c>
      <c r="E162" s="116">
        <f t="shared" si="5"/>
        <v>7938</v>
      </c>
      <c r="F162" s="116">
        <f t="shared" si="5"/>
        <v>9324</v>
      </c>
      <c r="G162" s="116">
        <f t="shared" si="6"/>
        <v>1386</v>
      </c>
    </row>
    <row r="163" spans="1:7" x14ac:dyDescent="0.25">
      <c r="A163" s="115" t="s">
        <v>39</v>
      </c>
      <c r="B163" s="51">
        <v>571.5</v>
      </c>
      <c r="C163" s="51">
        <v>701.5</v>
      </c>
      <c r="D163" s="51">
        <f t="shared" si="4"/>
        <v>130</v>
      </c>
      <c r="E163" s="116">
        <f t="shared" si="5"/>
        <v>12001.5</v>
      </c>
      <c r="F163" s="116">
        <f t="shared" si="5"/>
        <v>14731.5</v>
      </c>
      <c r="G163" s="116">
        <f t="shared" si="6"/>
        <v>2730</v>
      </c>
    </row>
    <row r="164" spans="1:7" x14ac:dyDescent="0.25">
      <c r="A164" s="115" t="s">
        <v>41</v>
      </c>
      <c r="B164" s="51">
        <v>491.5</v>
      </c>
      <c r="C164" s="51">
        <v>577.5</v>
      </c>
      <c r="D164" s="51">
        <f t="shared" si="4"/>
        <v>86</v>
      </c>
      <c r="E164" s="116">
        <f t="shared" si="5"/>
        <v>10321.5</v>
      </c>
      <c r="F164" s="116">
        <f t="shared" si="5"/>
        <v>12127.5</v>
      </c>
      <c r="G164" s="116">
        <f t="shared" si="6"/>
        <v>1806</v>
      </c>
    </row>
    <row r="165" spans="1:7" x14ac:dyDescent="0.25">
      <c r="A165" s="115" t="s">
        <v>43</v>
      </c>
      <c r="B165" s="51">
        <v>378.5</v>
      </c>
      <c r="C165" s="51">
        <v>480.5</v>
      </c>
      <c r="D165" s="51">
        <f t="shared" si="4"/>
        <v>102</v>
      </c>
      <c r="E165" s="116">
        <f t="shared" si="5"/>
        <v>7948.5</v>
      </c>
      <c r="F165" s="116">
        <f t="shared" si="5"/>
        <v>10090.5</v>
      </c>
      <c r="G165" s="116">
        <f t="shared" si="6"/>
        <v>2142</v>
      </c>
    </row>
    <row r="166" spans="1:7" x14ac:dyDescent="0.25">
      <c r="A166" s="84" t="s">
        <v>14</v>
      </c>
      <c r="B166" s="84">
        <v>5520</v>
      </c>
      <c r="C166" s="84">
        <v>6757</v>
      </c>
      <c r="D166" s="84">
        <f t="shared" si="4"/>
        <v>1237</v>
      </c>
      <c r="E166" s="120">
        <f t="shared" si="5"/>
        <v>115920</v>
      </c>
      <c r="F166" s="120">
        <f t="shared" si="5"/>
        <v>141897</v>
      </c>
      <c r="G166" s="120">
        <f t="shared" si="6"/>
        <v>25977</v>
      </c>
    </row>
    <row r="167" spans="1:7" x14ac:dyDescent="0.25">
      <c r="B167"/>
    </row>
    <row r="168" spans="1:7" x14ac:dyDescent="0.25">
      <c r="A168" s="87" t="s">
        <v>0</v>
      </c>
      <c r="B168" t="s">
        <v>1</v>
      </c>
      <c r="C168" t="s">
        <v>409</v>
      </c>
    </row>
    <row r="169" spans="1:7" x14ac:dyDescent="0.25">
      <c r="A169" s="88" t="s">
        <v>2</v>
      </c>
      <c r="B169">
        <v>333</v>
      </c>
      <c r="C169">
        <v>287</v>
      </c>
    </row>
    <row r="170" spans="1:7" x14ac:dyDescent="0.25">
      <c r="A170" s="88" t="s">
        <v>3</v>
      </c>
      <c r="B170">
        <v>392.25</v>
      </c>
      <c r="C170">
        <v>370.25</v>
      </c>
    </row>
    <row r="171" spans="1:7" x14ac:dyDescent="0.25">
      <c r="A171" s="88" t="s">
        <v>4</v>
      </c>
      <c r="B171">
        <v>464.5</v>
      </c>
      <c r="C171">
        <v>432.5</v>
      </c>
    </row>
    <row r="172" spans="1:7" x14ac:dyDescent="0.25">
      <c r="A172" s="88" t="s">
        <v>5</v>
      </c>
      <c r="B172">
        <v>337.5</v>
      </c>
      <c r="C172">
        <v>291.5</v>
      </c>
    </row>
    <row r="173" spans="1:7" x14ac:dyDescent="0.25">
      <c r="A173" s="88" t="s">
        <v>6</v>
      </c>
      <c r="B173">
        <v>375</v>
      </c>
      <c r="C173">
        <v>373</v>
      </c>
    </row>
    <row r="174" spans="1:7" x14ac:dyDescent="0.25">
      <c r="A174" s="88" t="s">
        <v>7</v>
      </c>
      <c r="B174">
        <v>600.5</v>
      </c>
      <c r="C174">
        <v>630.5</v>
      </c>
    </row>
    <row r="175" spans="1:7" x14ac:dyDescent="0.25">
      <c r="A175" s="88" t="s">
        <v>8</v>
      </c>
      <c r="B175">
        <v>685.75</v>
      </c>
      <c r="C175">
        <v>719.75</v>
      </c>
    </row>
    <row r="176" spans="1:7" x14ac:dyDescent="0.25">
      <c r="A176" s="88" t="s">
        <v>9</v>
      </c>
      <c r="B176">
        <v>513</v>
      </c>
      <c r="C176">
        <v>511</v>
      </c>
    </row>
    <row r="177" spans="1:18" x14ac:dyDescent="0.25">
      <c r="A177" s="88" t="s">
        <v>10</v>
      </c>
      <c r="B177">
        <v>378</v>
      </c>
      <c r="C177">
        <v>326</v>
      </c>
    </row>
    <row r="178" spans="1:18" x14ac:dyDescent="0.25">
      <c r="A178" s="88" t="s">
        <v>11</v>
      </c>
      <c r="B178">
        <v>571.5</v>
      </c>
      <c r="C178">
        <v>557.5</v>
      </c>
    </row>
    <row r="179" spans="1:18" x14ac:dyDescent="0.25">
      <c r="A179" s="88" t="s">
        <v>12</v>
      </c>
      <c r="B179">
        <v>491.5</v>
      </c>
      <c r="C179">
        <v>477.5</v>
      </c>
    </row>
    <row r="180" spans="1:18" x14ac:dyDescent="0.25">
      <c r="A180" s="88" t="s">
        <v>13</v>
      </c>
      <c r="B180">
        <v>378.5</v>
      </c>
      <c r="C180">
        <v>396.5</v>
      </c>
    </row>
    <row r="181" spans="1:18" x14ac:dyDescent="0.25">
      <c r="A181" s="88" t="s">
        <v>14</v>
      </c>
      <c r="B181">
        <v>5521</v>
      </c>
      <c r="C181">
        <v>5373</v>
      </c>
    </row>
    <row r="182" spans="1:18" x14ac:dyDescent="0.25">
      <c r="B182"/>
    </row>
    <row r="183" spans="1:18" x14ac:dyDescent="0.25">
      <c r="B183"/>
    </row>
    <row r="184" spans="1:18" x14ac:dyDescent="0.25">
      <c r="B184"/>
    </row>
    <row r="185" spans="1:18" x14ac:dyDescent="0.25">
      <c r="B185"/>
    </row>
    <row r="186" spans="1:18" x14ac:dyDescent="0.25">
      <c r="B186"/>
    </row>
    <row r="187" spans="1:18" x14ac:dyDescent="0.25">
      <c r="B187"/>
    </row>
    <row r="188" spans="1:18" x14ac:dyDescent="0.25">
      <c r="A188" s="87" t="s">
        <v>0</v>
      </c>
      <c r="B188" t="s">
        <v>385</v>
      </c>
      <c r="C188" t="s">
        <v>410</v>
      </c>
      <c r="D188" t="s">
        <v>409</v>
      </c>
      <c r="E188" s="87"/>
      <c r="F188" s="87"/>
      <c r="G188" s="87"/>
      <c r="H188" s="87"/>
      <c r="I188" s="87"/>
      <c r="J188" s="87"/>
      <c r="K188" s="87"/>
      <c r="L188" s="87"/>
      <c r="M188" s="87"/>
      <c r="N188" s="87"/>
      <c r="O188" s="87"/>
      <c r="P188" s="87"/>
      <c r="Q188" s="87"/>
      <c r="R188" s="87"/>
    </row>
    <row r="189" spans="1:18" x14ac:dyDescent="0.25">
      <c r="A189" s="88" t="s">
        <v>2</v>
      </c>
      <c r="B189">
        <v>178.75</v>
      </c>
      <c r="C189">
        <v>108.25</v>
      </c>
      <c r="D189">
        <v>287</v>
      </c>
    </row>
    <row r="190" spans="1:18" x14ac:dyDescent="0.25">
      <c r="A190" s="88" t="s">
        <v>3</v>
      </c>
      <c r="B190">
        <v>271.5</v>
      </c>
      <c r="C190">
        <v>98.75</v>
      </c>
      <c r="D190">
        <v>370.25</v>
      </c>
    </row>
    <row r="191" spans="1:18" x14ac:dyDescent="0.25">
      <c r="A191" s="88" t="s">
        <v>4</v>
      </c>
      <c r="B191">
        <v>330.5</v>
      </c>
      <c r="C191">
        <v>102</v>
      </c>
      <c r="D191">
        <v>432.5</v>
      </c>
    </row>
    <row r="192" spans="1:18" x14ac:dyDescent="0.25">
      <c r="A192" s="88" t="s">
        <v>5</v>
      </c>
      <c r="B192">
        <v>194.5</v>
      </c>
      <c r="C192">
        <v>97.000000000000014</v>
      </c>
      <c r="D192">
        <v>291.5</v>
      </c>
    </row>
    <row r="193" spans="1:15" x14ac:dyDescent="0.25">
      <c r="A193" s="88" t="s">
        <v>6</v>
      </c>
      <c r="B193">
        <v>279.5</v>
      </c>
      <c r="C193">
        <v>93.500000000000014</v>
      </c>
      <c r="D193">
        <v>373</v>
      </c>
    </row>
    <row r="194" spans="1:15" x14ac:dyDescent="0.25">
      <c r="A194" s="88" t="s">
        <v>7</v>
      </c>
      <c r="B194">
        <v>538.5</v>
      </c>
      <c r="C194">
        <v>92.000000000000014</v>
      </c>
      <c r="D194">
        <v>630.5</v>
      </c>
    </row>
    <row r="195" spans="1:15" x14ac:dyDescent="0.25">
      <c r="A195" s="88" t="s">
        <v>8</v>
      </c>
      <c r="B195">
        <v>618.25</v>
      </c>
      <c r="C195">
        <v>101.5</v>
      </c>
      <c r="D195">
        <v>719.75</v>
      </c>
    </row>
    <row r="196" spans="1:15" x14ac:dyDescent="0.25">
      <c r="A196" s="88" t="s">
        <v>9</v>
      </c>
      <c r="B196">
        <v>398</v>
      </c>
      <c r="C196">
        <v>113.00000000000001</v>
      </c>
      <c r="D196">
        <v>511</v>
      </c>
    </row>
    <row r="197" spans="1:15" x14ac:dyDescent="0.25">
      <c r="A197" s="88" t="s">
        <v>10</v>
      </c>
      <c r="B197">
        <v>221</v>
      </c>
      <c r="C197">
        <v>105.00000000000001</v>
      </c>
      <c r="D197">
        <v>326</v>
      </c>
    </row>
    <row r="198" spans="1:15" x14ac:dyDescent="0.25">
      <c r="A198" s="88" t="s">
        <v>11</v>
      </c>
      <c r="B198">
        <v>438.5</v>
      </c>
      <c r="C198">
        <v>119.00000000000001</v>
      </c>
      <c r="D198">
        <v>557.5</v>
      </c>
    </row>
    <row r="199" spans="1:15" x14ac:dyDescent="0.25">
      <c r="A199" s="88" t="s">
        <v>12</v>
      </c>
      <c r="B199">
        <v>392</v>
      </c>
      <c r="C199">
        <v>85.5</v>
      </c>
      <c r="D199">
        <v>477.5</v>
      </c>
    </row>
    <row r="200" spans="1:15" x14ac:dyDescent="0.25">
      <c r="A200" s="88" t="s">
        <v>13</v>
      </c>
      <c r="B200">
        <v>321</v>
      </c>
      <c r="C200">
        <v>75.500000000000014</v>
      </c>
      <c r="D200">
        <v>396.5</v>
      </c>
    </row>
    <row r="201" spans="1:15" x14ac:dyDescent="0.25">
      <c r="A201" s="88" t="s">
        <v>14</v>
      </c>
      <c r="B201">
        <v>4182</v>
      </c>
      <c r="C201">
        <v>1191</v>
      </c>
      <c r="D201">
        <v>5373</v>
      </c>
    </row>
    <row r="202" spans="1:15" x14ac:dyDescent="0.25">
      <c r="B202"/>
    </row>
    <row r="203" spans="1:15" x14ac:dyDescent="0.25">
      <c r="B203"/>
    </row>
    <row r="204" spans="1:15" x14ac:dyDescent="0.25">
      <c r="A204" s="87" t="s">
        <v>0</v>
      </c>
      <c r="B204" t="s">
        <v>1</v>
      </c>
      <c r="C204" t="s">
        <v>385</v>
      </c>
      <c r="E204" s="51" t="s">
        <v>0</v>
      </c>
      <c r="F204" s="51" t="s">
        <v>409</v>
      </c>
      <c r="G204" s="51" t="s">
        <v>1</v>
      </c>
      <c r="I204" s="51" t="s">
        <v>0</v>
      </c>
      <c r="J204" s="51" t="s">
        <v>1</v>
      </c>
      <c r="K204" s="51" t="s">
        <v>410</v>
      </c>
      <c r="M204" s="51" t="s">
        <v>0</v>
      </c>
      <c r="N204" s="51" t="s">
        <v>1</v>
      </c>
      <c r="O204" s="51" t="s">
        <v>385</v>
      </c>
    </row>
    <row r="205" spans="1:15" x14ac:dyDescent="0.25">
      <c r="A205" s="88" t="s">
        <v>2</v>
      </c>
      <c r="B205">
        <v>158.75</v>
      </c>
      <c r="C205">
        <v>178.75</v>
      </c>
      <c r="E205" s="51" t="s">
        <v>2</v>
      </c>
      <c r="F205" s="51">
        <v>295</v>
      </c>
      <c r="G205" s="51">
        <v>333</v>
      </c>
      <c r="I205" s="51" t="s">
        <v>2</v>
      </c>
      <c r="J205" s="51">
        <v>174.25</v>
      </c>
      <c r="K205" s="51">
        <v>116.25</v>
      </c>
      <c r="M205" s="51" t="s">
        <v>2</v>
      </c>
      <c r="N205" s="51">
        <v>158.75</v>
      </c>
      <c r="O205" s="51">
        <v>178.75</v>
      </c>
    </row>
    <row r="206" spans="1:15" x14ac:dyDescent="0.25">
      <c r="A206" s="88" t="s">
        <v>3</v>
      </c>
      <c r="B206">
        <v>235.5</v>
      </c>
      <c r="C206">
        <v>271.5</v>
      </c>
      <c r="E206" s="51" t="s">
        <v>3</v>
      </c>
      <c r="F206" s="51">
        <v>376.25</v>
      </c>
      <c r="G206" s="51">
        <v>392.25</v>
      </c>
      <c r="I206" s="51" t="s">
        <v>3</v>
      </c>
      <c r="J206" s="51">
        <v>156.75</v>
      </c>
      <c r="K206" s="51">
        <v>104.75</v>
      </c>
      <c r="M206" s="51" t="s">
        <v>3</v>
      </c>
      <c r="N206" s="51">
        <v>235.5</v>
      </c>
      <c r="O206" s="51">
        <v>271.5</v>
      </c>
    </row>
    <row r="207" spans="1:15" x14ac:dyDescent="0.25">
      <c r="A207" s="88" t="s">
        <v>4</v>
      </c>
      <c r="B207">
        <v>294.5</v>
      </c>
      <c r="C207">
        <v>330.5</v>
      </c>
      <c r="E207" s="51" t="s">
        <v>4</v>
      </c>
      <c r="F207" s="51">
        <v>442.5</v>
      </c>
      <c r="G207" s="51">
        <v>464.5</v>
      </c>
      <c r="I207" s="51" t="s">
        <v>4</v>
      </c>
      <c r="J207" s="51">
        <v>170</v>
      </c>
      <c r="K207" s="51">
        <v>112</v>
      </c>
      <c r="M207" s="51" t="s">
        <v>4</v>
      </c>
      <c r="N207" s="51">
        <v>294.5</v>
      </c>
      <c r="O207" s="51">
        <v>330.5</v>
      </c>
    </row>
    <row r="208" spans="1:15" x14ac:dyDescent="0.25">
      <c r="A208" s="88" t="s">
        <v>5</v>
      </c>
      <c r="B208">
        <v>176.5</v>
      </c>
      <c r="C208">
        <v>194.5</v>
      </c>
      <c r="E208" s="51" t="s">
        <v>5</v>
      </c>
      <c r="F208" s="51">
        <v>301.5</v>
      </c>
      <c r="G208" s="51">
        <v>337.5</v>
      </c>
      <c r="I208" s="51" t="s">
        <v>5</v>
      </c>
      <c r="J208" s="51">
        <v>161</v>
      </c>
      <c r="K208" s="51">
        <v>107.00000000000001</v>
      </c>
      <c r="M208" s="51" t="s">
        <v>5</v>
      </c>
      <c r="N208" s="51">
        <v>176.5</v>
      </c>
      <c r="O208" s="51">
        <v>194.5</v>
      </c>
    </row>
    <row r="209" spans="1:16" x14ac:dyDescent="0.25">
      <c r="A209" s="88" t="s">
        <v>6</v>
      </c>
      <c r="B209">
        <v>219.5</v>
      </c>
      <c r="C209">
        <v>279.5</v>
      </c>
      <c r="E209" s="51" t="s">
        <v>6</v>
      </c>
      <c r="F209" s="51">
        <v>377</v>
      </c>
      <c r="G209" s="51">
        <v>375</v>
      </c>
      <c r="I209" s="51" t="s">
        <v>6</v>
      </c>
      <c r="J209" s="51">
        <v>155.5</v>
      </c>
      <c r="K209" s="51">
        <v>97.500000000000014</v>
      </c>
      <c r="M209" s="51" t="s">
        <v>6</v>
      </c>
      <c r="N209" s="51">
        <v>219.5</v>
      </c>
      <c r="O209" s="51">
        <v>279.5</v>
      </c>
    </row>
    <row r="210" spans="1:16" x14ac:dyDescent="0.25">
      <c r="A210" s="88" t="s">
        <v>7</v>
      </c>
      <c r="B210">
        <v>452.5</v>
      </c>
      <c r="C210">
        <v>538.5</v>
      </c>
      <c r="E210" s="51" t="s">
        <v>7</v>
      </c>
      <c r="F210" s="51">
        <v>638.5</v>
      </c>
      <c r="G210" s="51">
        <v>600.5</v>
      </c>
      <c r="I210" s="51" t="s">
        <v>7</v>
      </c>
      <c r="J210" s="51">
        <v>148.00000000000003</v>
      </c>
      <c r="K210" s="51">
        <v>100.00000000000001</v>
      </c>
      <c r="M210" s="51" t="s">
        <v>7</v>
      </c>
      <c r="N210" s="51">
        <v>452.5</v>
      </c>
      <c r="O210" s="51">
        <v>538.5</v>
      </c>
    </row>
    <row r="211" spans="1:16" x14ac:dyDescent="0.25">
      <c r="A211" s="88" t="s">
        <v>8</v>
      </c>
      <c r="B211">
        <v>524.25</v>
      </c>
      <c r="C211">
        <v>618.25</v>
      </c>
      <c r="E211" s="51" t="s">
        <v>8</v>
      </c>
      <c r="F211" s="51">
        <v>727.75</v>
      </c>
      <c r="G211" s="51">
        <v>685.75</v>
      </c>
      <c r="I211" s="51" t="s">
        <v>8</v>
      </c>
      <c r="J211" s="51">
        <v>161.5</v>
      </c>
      <c r="K211" s="51">
        <v>109.50000000000001</v>
      </c>
      <c r="M211" s="51" t="s">
        <v>8</v>
      </c>
      <c r="N211" s="51">
        <v>524.25</v>
      </c>
      <c r="O211" s="51">
        <v>618.25</v>
      </c>
    </row>
    <row r="212" spans="1:16" x14ac:dyDescent="0.25">
      <c r="A212" s="88" t="s">
        <v>9</v>
      </c>
      <c r="B212">
        <v>332</v>
      </c>
      <c r="C212">
        <v>398</v>
      </c>
      <c r="E212" s="51" t="s">
        <v>9</v>
      </c>
      <c r="F212" s="51">
        <v>523</v>
      </c>
      <c r="G212" s="51">
        <v>513</v>
      </c>
      <c r="I212" s="51" t="s">
        <v>9</v>
      </c>
      <c r="J212" s="51">
        <v>181</v>
      </c>
      <c r="K212" s="51">
        <v>125.00000000000001</v>
      </c>
      <c r="M212" s="51" t="s">
        <v>9</v>
      </c>
      <c r="N212" s="51">
        <v>332</v>
      </c>
      <c r="O212" s="51">
        <v>398</v>
      </c>
    </row>
    <row r="213" spans="1:16" x14ac:dyDescent="0.25">
      <c r="A213" s="88" t="s">
        <v>10</v>
      </c>
      <c r="B213">
        <v>209</v>
      </c>
      <c r="C213">
        <v>221</v>
      </c>
      <c r="E213" s="51" t="s">
        <v>10</v>
      </c>
      <c r="F213" s="51">
        <v>336</v>
      </c>
      <c r="G213" s="51">
        <v>378</v>
      </c>
      <c r="I213" s="51" t="s">
        <v>10</v>
      </c>
      <c r="J213" s="51">
        <v>169</v>
      </c>
      <c r="K213" s="51">
        <v>115</v>
      </c>
      <c r="M213" s="51" t="s">
        <v>10</v>
      </c>
      <c r="N213" s="51">
        <v>209</v>
      </c>
      <c r="O213" s="51">
        <v>221</v>
      </c>
    </row>
    <row r="214" spans="1:16" x14ac:dyDescent="0.25">
      <c r="A214" s="88" t="s">
        <v>11</v>
      </c>
      <c r="B214">
        <v>376.5</v>
      </c>
      <c r="C214">
        <v>438.5</v>
      </c>
      <c r="E214" s="51" t="s">
        <v>11</v>
      </c>
      <c r="F214" s="51">
        <v>565.5</v>
      </c>
      <c r="G214" s="51">
        <v>571.5</v>
      </c>
      <c r="I214" s="51" t="s">
        <v>11</v>
      </c>
      <c r="J214" s="51">
        <v>195</v>
      </c>
      <c r="K214" s="51">
        <v>127.00000000000001</v>
      </c>
      <c r="M214" s="51" t="s">
        <v>11</v>
      </c>
      <c r="N214" s="51">
        <v>376.5</v>
      </c>
      <c r="O214" s="51">
        <v>438.5</v>
      </c>
    </row>
    <row r="215" spans="1:16" x14ac:dyDescent="0.25">
      <c r="A215" s="88" t="s">
        <v>12</v>
      </c>
      <c r="B215">
        <v>352</v>
      </c>
      <c r="C215">
        <v>392</v>
      </c>
      <c r="E215" s="51" t="s">
        <v>12</v>
      </c>
      <c r="F215" s="51">
        <v>485.5</v>
      </c>
      <c r="G215" s="51">
        <v>491.5</v>
      </c>
      <c r="I215" s="51" t="s">
        <v>12</v>
      </c>
      <c r="J215" s="51">
        <v>139.5</v>
      </c>
      <c r="K215" s="51">
        <v>93.5</v>
      </c>
      <c r="M215" s="51" t="s">
        <v>12</v>
      </c>
      <c r="N215" s="51">
        <v>352</v>
      </c>
      <c r="O215" s="51">
        <v>392</v>
      </c>
    </row>
    <row r="216" spans="1:16" x14ac:dyDescent="0.25">
      <c r="A216" s="88" t="s">
        <v>13</v>
      </c>
      <c r="B216">
        <v>257</v>
      </c>
      <c r="C216">
        <v>321</v>
      </c>
      <c r="E216" s="51" t="s">
        <v>13</v>
      </c>
      <c r="F216" s="51">
        <v>404.5</v>
      </c>
      <c r="G216" s="51">
        <v>378.5</v>
      </c>
      <c r="I216" s="51" t="s">
        <v>13</v>
      </c>
      <c r="J216" s="51">
        <v>121.50000000000001</v>
      </c>
      <c r="K216" s="51">
        <v>83.500000000000014</v>
      </c>
      <c r="M216" s="51" t="s">
        <v>13</v>
      </c>
      <c r="N216" s="51">
        <v>257</v>
      </c>
      <c r="O216" s="51">
        <v>321</v>
      </c>
    </row>
    <row r="217" spans="1:16" x14ac:dyDescent="0.25">
      <c r="A217" s="88" t="s">
        <v>14</v>
      </c>
      <c r="B217">
        <v>3588</v>
      </c>
      <c r="C217">
        <v>4182</v>
      </c>
      <c r="E217" s="51" t="s">
        <v>14</v>
      </c>
      <c r="F217" s="51">
        <v>5473</v>
      </c>
      <c r="G217" s="51">
        <v>5521</v>
      </c>
      <c r="I217" s="51" t="s">
        <v>14</v>
      </c>
      <c r="J217" s="51">
        <v>1933</v>
      </c>
      <c r="K217" s="51">
        <v>1291</v>
      </c>
      <c r="M217" s="51" t="s">
        <v>14</v>
      </c>
      <c r="N217" s="51">
        <v>3588</v>
      </c>
      <c r="O217" s="51">
        <v>4182</v>
      </c>
    </row>
    <row r="218" spans="1:16" x14ac:dyDescent="0.25">
      <c r="B218"/>
    </row>
    <row r="219" spans="1:16" x14ac:dyDescent="0.25">
      <c r="B219"/>
    </row>
    <row r="220" spans="1:16" x14ac:dyDescent="0.25">
      <c r="B220"/>
    </row>
    <row r="221" spans="1:16" x14ac:dyDescent="0.25">
      <c r="B221" s="84" t="s">
        <v>388</v>
      </c>
      <c r="C221" s="84" t="s">
        <v>389</v>
      </c>
      <c r="D221" s="84" t="s">
        <v>415</v>
      </c>
      <c r="E221" s="84" t="s">
        <v>397</v>
      </c>
      <c r="L221" t="s">
        <v>388</v>
      </c>
      <c r="M221" t="s">
        <v>389</v>
      </c>
      <c r="N221" t="s">
        <v>415</v>
      </c>
      <c r="O221" t="s">
        <v>397</v>
      </c>
    </row>
    <row r="222" spans="1:16" x14ac:dyDescent="0.25">
      <c r="B222" t="s">
        <v>14</v>
      </c>
      <c r="C222" s="114">
        <v>115941</v>
      </c>
      <c r="D222" s="114">
        <v>114933</v>
      </c>
      <c r="E222" s="153">
        <v>1008</v>
      </c>
      <c r="L222" t="s">
        <v>21</v>
      </c>
      <c r="M222">
        <v>6993</v>
      </c>
      <c r="N222">
        <v>6195</v>
      </c>
      <c r="O222">
        <v>798</v>
      </c>
      <c r="P222">
        <f>ABS(O222)</f>
        <v>798</v>
      </c>
    </row>
    <row r="223" spans="1:16" x14ac:dyDescent="0.25">
      <c r="B223"/>
      <c r="L223" t="s">
        <v>24</v>
      </c>
      <c r="M223">
        <v>8237.25</v>
      </c>
      <c r="N223">
        <v>7901.25</v>
      </c>
      <c r="O223">
        <v>336</v>
      </c>
      <c r="P223">
        <f t="shared" ref="P223:P234" si="7">ABS(O223)</f>
        <v>336</v>
      </c>
    </row>
    <row r="224" spans="1:16" x14ac:dyDescent="0.25">
      <c r="B224"/>
      <c r="L224" t="s">
        <v>26</v>
      </c>
      <c r="M224">
        <v>9754.5</v>
      </c>
      <c r="N224">
        <v>9292.5</v>
      </c>
      <c r="O224">
        <v>462</v>
      </c>
      <c r="P224">
        <f t="shared" si="7"/>
        <v>462</v>
      </c>
    </row>
    <row r="225" spans="2:16" x14ac:dyDescent="0.25">
      <c r="B225"/>
      <c r="L225" t="s">
        <v>28</v>
      </c>
      <c r="M225">
        <v>7087.5</v>
      </c>
      <c r="N225">
        <v>6331.5</v>
      </c>
      <c r="O225">
        <v>756</v>
      </c>
      <c r="P225">
        <f t="shared" si="7"/>
        <v>756</v>
      </c>
    </row>
    <row r="226" spans="2:16" x14ac:dyDescent="0.25">
      <c r="B226"/>
      <c r="L226" t="s">
        <v>6</v>
      </c>
      <c r="M226">
        <v>7875</v>
      </c>
      <c r="N226">
        <v>7917</v>
      </c>
      <c r="O226">
        <v>42</v>
      </c>
      <c r="P226">
        <f t="shared" si="7"/>
        <v>42</v>
      </c>
    </row>
    <row r="227" spans="2:16" x14ac:dyDescent="0.25">
      <c r="B227"/>
      <c r="L227" t="s">
        <v>31</v>
      </c>
      <c r="M227">
        <v>12610.5</v>
      </c>
      <c r="N227">
        <v>13408.5</v>
      </c>
      <c r="O227">
        <v>798</v>
      </c>
      <c r="P227">
        <f t="shared" si="7"/>
        <v>798</v>
      </c>
    </row>
    <row r="228" spans="2:16" x14ac:dyDescent="0.25">
      <c r="B228"/>
      <c r="L228" t="s">
        <v>33</v>
      </c>
      <c r="M228">
        <v>14400.75</v>
      </c>
      <c r="N228">
        <v>15282.75</v>
      </c>
      <c r="O228">
        <v>882</v>
      </c>
      <c r="P228">
        <f t="shared" si="7"/>
        <v>882</v>
      </c>
    </row>
    <row r="229" spans="2:16" x14ac:dyDescent="0.25">
      <c r="B229"/>
      <c r="L229" t="s">
        <v>35</v>
      </c>
      <c r="M229">
        <v>10773</v>
      </c>
      <c r="N229">
        <v>10983</v>
      </c>
      <c r="O229">
        <v>210</v>
      </c>
      <c r="P229">
        <f t="shared" si="7"/>
        <v>210</v>
      </c>
    </row>
    <row r="230" spans="2:16" x14ac:dyDescent="0.25">
      <c r="B230"/>
      <c r="L230" t="s">
        <v>37</v>
      </c>
      <c r="M230">
        <v>7938</v>
      </c>
      <c r="N230">
        <v>7056</v>
      </c>
      <c r="O230">
        <v>882</v>
      </c>
      <c r="P230">
        <f t="shared" si="7"/>
        <v>882</v>
      </c>
    </row>
    <row r="231" spans="2:16" x14ac:dyDescent="0.25">
      <c r="B231"/>
      <c r="L231" t="s">
        <v>39</v>
      </c>
      <c r="M231">
        <v>12001.5</v>
      </c>
      <c r="N231">
        <v>11875.5</v>
      </c>
      <c r="O231">
        <v>126</v>
      </c>
      <c r="P231">
        <f t="shared" si="7"/>
        <v>126</v>
      </c>
    </row>
    <row r="232" spans="2:16" x14ac:dyDescent="0.25">
      <c r="B232"/>
      <c r="L232" t="s">
        <v>41</v>
      </c>
      <c r="M232">
        <v>10321.5</v>
      </c>
      <c r="N232">
        <v>10195.5</v>
      </c>
      <c r="O232">
        <v>126</v>
      </c>
      <c r="P232">
        <f t="shared" si="7"/>
        <v>126</v>
      </c>
    </row>
    <row r="233" spans="2:16" x14ac:dyDescent="0.25">
      <c r="B233"/>
      <c r="L233" t="s">
        <v>43</v>
      </c>
      <c r="M233">
        <v>7948.5</v>
      </c>
      <c r="N233">
        <v>8494.5</v>
      </c>
      <c r="O233">
        <v>546</v>
      </c>
      <c r="P233">
        <f t="shared" si="7"/>
        <v>546</v>
      </c>
    </row>
    <row r="234" spans="2:16" x14ac:dyDescent="0.25">
      <c r="B234"/>
      <c r="L234" t="s">
        <v>14</v>
      </c>
      <c r="M234">
        <v>115920</v>
      </c>
      <c r="N234">
        <v>114933</v>
      </c>
      <c r="O234">
        <v>987</v>
      </c>
      <c r="P234">
        <f t="shared" si="7"/>
        <v>987</v>
      </c>
    </row>
    <row r="235" spans="2:16" x14ac:dyDescent="0.25">
      <c r="B235"/>
    </row>
    <row r="236" spans="2:16" x14ac:dyDescent="0.25">
      <c r="B236"/>
    </row>
    <row r="237" spans="2:16" x14ac:dyDescent="0.25">
      <c r="B237"/>
    </row>
    <row r="238" spans="2:16" x14ac:dyDescent="0.25">
      <c r="B238"/>
    </row>
    <row r="239" spans="2:16" x14ac:dyDescent="0.25">
      <c r="B239" s="84" t="s">
        <v>386</v>
      </c>
      <c r="C239" s="84" t="s">
        <v>416</v>
      </c>
      <c r="D239" s="84" t="s">
        <v>397</v>
      </c>
    </row>
    <row r="240" spans="2:16" x14ac:dyDescent="0.25">
      <c r="B240" s="55">
        <v>1933</v>
      </c>
      <c r="C240" s="55">
        <v>1291</v>
      </c>
      <c r="D240" s="154">
        <v>642</v>
      </c>
    </row>
    <row r="241" spans="2:4" x14ac:dyDescent="0.25">
      <c r="B241"/>
    </row>
    <row r="242" spans="2:4" x14ac:dyDescent="0.25">
      <c r="B242"/>
    </row>
    <row r="243" spans="2:4" x14ac:dyDescent="0.25">
      <c r="B243" s="84" t="s">
        <v>386</v>
      </c>
      <c r="C243" s="84" t="s">
        <v>413</v>
      </c>
      <c r="D243" s="84" t="s">
        <v>397</v>
      </c>
    </row>
    <row r="244" spans="2:4" x14ac:dyDescent="0.25">
      <c r="B244" s="84">
        <v>3588</v>
      </c>
      <c r="C244" s="84">
        <v>4182</v>
      </c>
      <c r="D244" s="155">
        <f t="shared" ref="D244" si="8">C244-B244</f>
        <v>594</v>
      </c>
    </row>
    <row r="245" spans="2:4" x14ac:dyDescent="0.25">
      <c r="B245"/>
    </row>
    <row r="246" spans="2:4" x14ac:dyDescent="0.25">
      <c r="B246"/>
    </row>
    <row r="247" spans="2:4" x14ac:dyDescent="0.25">
      <c r="B247"/>
    </row>
    <row r="248" spans="2:4" x14ac:dyDescent="0.25">
      <c r="B248"/>
    </row>
    <row r="249" spans="2:4" x14ac:dyDescent="0.25">
      <c r="B249"/>
    </row>
    <row r="250" spans="2:4" x14ac:dyDescent="0.25">
      <c r="B250"/>
    </row>
    <row r="251" spans="2:4" x14ac:dyDescent="0.25">
      <c r="B251"/>
    </row>
    <row r="252" spans="2:4" x14ac:dyDescent="0.25">
      <c r="B252"/>
    </row>
    <row r="253" spans="2:4" x14ac:dyDescent="0.25">
      <c r="B253"/>
    </row>
    <row r="254" spans="2:4" x14ac:dyDescent="0.25">
      <c r="B254"/>
    </row>
    <row r="255" spans="2:4" x14ac:dyDescent="0.25">
      <c r="B255"/>
    </row>
    <row r="256" spans="2:4" x14ac:dyDescent="0.25">
      <c r="B256"/>
    </row>
    <row r="257" spans="2:2" x14ac:dyDescent="0.25">
      <c r="B257"/>
    </row>
    <row r="258" spans="2:2" x14ac:dyDescent="0.25">
      <c r="B258"/>
    </row>
    <row r="259" spans="2:2" x14ac:dyDescent="0.25">
      <c r="B259"/>
    </row>
    <row r="260" spans="2:2" x14ac:dyDescent="0.25">
      <c r="B260"/>
    </row>
    <row r="261" spans="2:2" x14ac:dyDescent="0.25">
      <c r="B261"/>
    </row>
    <row r="262" spans="2:2" x14ac:dyDescent="0.25">
      <c r="B262"/>
    </row>
    <row r="263" spans="2:2" x14ac:dyDescent="0.25">
      <c r="B263"/>
    </row>
    <row r="264" spans="2:2" x14ac:dyDescent="0.25">
      <c r="B264"/>
    </row>
    <row r="265" spans="2:2" x14ac:dyDescent="0.25">
      <c r="B265"/>
    </row>
    <row r="266" spans="2:2" x14ac:dyDescent="0.25">
      <c r="B266"/>
    </row>
    <row r="267" spans="2:2" x14ac:dyDescent="0.25">
      <c r="B267"/>
    </row>
    <row r="268" spans="2:2" x14ac:dyDescent="0.25">
      <c r="B268"/>
    </row>
    <row r="269" spans="2:2" x14ac:dyDescent="0.25">
      <c r="B269"/>
    </row>
    <row r="270" spans="2:2" x14ac:dyDescent="0.25">
      <c r="B270"/>
    </row>
    <row r="271" spans="2:2" x14ac:dyDescent="0.25">
      <c r="B271"/>
    </row>
    <row r="272" spans="2:2" x14ac:dyDescent="0.25">
      <c r="B272"/>
    </row>
    <row r="273" spans="2:2" x14ac:dyDescent="0.25">
      <c r="B273"/>
    </row>
    <row r="274" spans="2:2" x14ac:dyDescent="0.25">
      <c r="B274"/>
    </row>
    <row r="275" spans="2:2" x14ac:dyDescent="0.25">
      <c r="B275"/>
    </row>
    <row r="276" spans="2:2" x14ac:dyDescent="0.25">
      <c r="B276"/>
    </row>
    <row r="277" spans="2:2" x14ac:dyDescent="0.25">
      <c r="B277"/>
    </row>
    <row r="278" spans="2:2" x14ac:dyDescent="0.25">
      <c r="B278"/>
    </row>
    <row r="279" spans="2:2" x14ac:dyDescent="0.25">
      <c r="B279"/>
    </row>
    <row r="280" spans="2:2" x14ac:dyDescent="0.25">
      <c r="B280"/>
    </row>
    <row r="281" spans="2:2" x14ac:dyDescent="0.25">
      <c r="B281"/>
    </row>
    <row r="282" spans="2:2" x14ac:dyDescent="0.25">
      <c r="B282"/>
    </row>
    <row r="283" spans="2:2" x14ac:dyDescent="0.25">
      <c r="B283"/>
    </row>
    <row r="284" spans="2:2" x14ac:dyDescent="0.25">
      <c r="B284"/>
    </row>
    <row r="285" spans="2:2" x14ac:dyDescent="0.25">
      <c r="B285"/>
    </row>
    <row r="286" spans="2:2" x14ac:dyDescent="0.25">
      <c r="B286"/>
    </row>
    <row r="287" spans="2:2" x14ac:dyDescent="0.25">
      <c r="B287"/>
    </row>
    <row r="288" spans="2:2" x14ac:dyDescent="0.25">
      <c r="B288"/>
    </row>
    <row r="289" spans="2:2" x14ac:dyDescent="0.25">
      <c r="B289"/>
    </row>
    <row r="290" spans="2:2" x14ac:dyDescent="0.25">
      <c r="B290"/>
    </row>
    <row r="291" spans="2:2" x14ac:dyDescent="0.25">
      <c r="B291"/>
    </row>
    <row r="292" spans="2:2" x14ac:dyDescent="0.25">
      <c r="B292"/>
    </row>
    <row r="293" spans="2:2" x14ac:dyDescent="0.25">
      <c r="B293"/>
    </row>
    <row r="294" spans="2:2" x14ac:dyDescent="0.25">
      <c r="B294"/>
    </row>
    <row r="295" spans="2:2" x14ac:dyDescent="0.25">
      <c r="B295"/>
    </row>
    <row r="296" spans="2:2" x14ac:dyDescent="0.25">
      <c r="B296"/>
    </row>
    <row r="297" spans="2:2" x14ac:dyDescent="0.25">
      <c r="B297"/>
    </row>
    <row r="298" spans="2:2" x14ac:dyDescent="0.25">
      <c r="B298"/>
    </row>
    <row r="299" spans="2:2" x14ac:dyDescent="0.25">
      <c r="B299"/>
    </row>
    <row r="300" spans="2:2" x14ac:dyDescent="0.25">
      <c r="B300"/>
    </row>
    <row r="301" spans="2:2" x14ac:dyDescent="0.25">
      <c r="B301"/>
    </row>
    <row r="302" spans="2:2" x14ac:dyDescent="0.25">
      <c r="B302"/>
    </row>
    <row r="303" spans="2:2" x14ac:dyDescent="0.25">
      <c r="B303"/>
    </row>
    <row r="304" spans="2:2" x14ac:dyDescent="0.25">
      <c r="B304"/>
    </row>
    <row r="305" spans="2:2" x14ac:dyDescent="0.25">
      <c r="B305"/>
    </row>
    <row r="306" spans="2:2" x14ac:dyDescent="0.25">
      <c r="B306"/>
    </row>
    <row r="307" spans="2:2" x14ac:dyDescent="0.25">
      <c r="B307"/>
    </row>
    <row r="308" spans="2:2" x14ac:dyDescent="0.25">
      <c r="B308"/>
    </row>
    <row r="309" spans="2:2" x14ac:dyDescent="0.25">
      <c r="B309"/>
    </row>
    <row r="310" spans="2:2" x14ac:dyDescent="0.25">
      <c r="B310"/>
    </row>
    <row r="311" spans="2:2" x14ac:dyDescent="0.25">
      <c r="B311"/>
    </row>
    <row r="312" spans="2:2" x14ac:dyDescent="0.25">
      <c r="B312"/>
    </row>
    <row r="313" spans="2:2" x14ac:dyDescent="0.25">
      <c r="B313"/>
    </row>
    <row r="314" spans="2:2" x14ac:dyDescent="0.25">
      <c r="B314"/>
    </row>
    <row r="315" spans="2:2" x14ac:dyDescent="0.25">
      <c r="B315"/>
    </row>
    <row r="316" spans="2:2" x14ac:dyDescent="0.25">
      <c r="B316"/>
    </row>
    <row r="317" spans="2:2" x14ac:dyDescent="0.25">
      <c r="B317"/>
    </row>
    <row r="318" spans="2:2" x14ac:dyDescent="0.25">
      <c r="B318"/>
    </row>
    <row r="319" spans="2:2" x14ac:dyDescent="0.25">
      <c r="B319"/>
    </row>
    <row r="320" spans="2:2" x14ac:dyDescent="0.25">
      <c r="B320"/>
    </row>
    <row r="321" spans="2:2" x14ac:dyDescent="0.25">
      <c r="B321"/>
    </row>
    <row r="322" spans="2:2" x14ac:dyDescent="0.25">
      <c r="B322"/>
    </row>
    <row r="323" spans="2:2" x14ac:dyDescent="0.25">
      <c r="B323"/>
    </row>
    <row r="324" spans="2:2" x14ac:dyDescent="0.25">
      <c r="B324"/>
    </row>
    <row r="325" spans="2:2" x14ac:dyDescent="0.25">
      <c r="B325"/>
    </row>
    <row r="326" spans="2:2" x14ac:dyDescent="0.25">
      <c r="B326"/>
    </row>
    <row r="327" spans="2:2" x14ac:dyDescent="0.25">
      <c r="B327"/>
    </row>
    <row r="328" spans="2:2" x14ac:dyDescent="0.25">
      <c r="B328"/>
    </row>
    <row r="329" spans="2:2" x14ac:dyDescent="0.25">
      <c r="B329"/>
    </row>
    <row r="330" spans="2:2" x14ac:dyDescent="0.25">
      <c r="B330"/>
    </row>
    <row r="331" spans="2:2" x14ac:dyDescent="0.25">
      <c r="B331"/>
    </row>
    <row r="332" spans="2:2" x14ac:dyDescent="0.25">
      <c r="B332"/>
    </row>
    <row r="333" spans="2:2" x14ac:dyDescent="0.25">
      <c r="B333"/>
    </row>
    <row r="334" spans="2:2" x14ac:dyDescent="0.25">
      <c r="B334"/>
    </row>
    <row r="335" spans="2:2" x14ac:dyDescent="0.25">
      <c r="B335"/>
    </row>
    <row r="336" spans="2:2" x14ac:dyDescent="0.25">
      <c r="B336"/>
    </row>
    <row r="337" spans="2:2" x14ac:dyDescent="0.25">
      <c r="B337"/>
    </row>
    <row r="338" spans="2:2" x14ac:dyDescent="0.25">
      <c r="B338"/>
    </row>
    <row r="339" spans="2:2" x14ac:dyDescent="0.25">
      <c r="B339"/>
    </row>
    <row r="340" spans="2:2" x14ac:dyDescent="0.25">
      <c r="B340"/>
    </row>
    <row r="341" spans="2:2" x14ac:dyDescent="0.25">
      <c r="B341"/>
    </row>
    <row r="342" spans="2:2" x14ac:dyDescent="0.25">
      <c r="B342"/>
    </row>
    <row r="343" spans="2:2" x14ac:dyDescent="0.25">
      <c r="B343"/>
    </row>
    <row r="344" spans="2:2" x14ac:dyDescent="0.25">
      <c r="B344"/>
    </row>
    <row r="345" spans="2:2" x14ac:dyDescent="0.25">
      <c r="B345"/>
    </row>
    <row r="346" spans="2:2" x14ac:dyDescent="0.25">
      <c r="B346"/>
    </row>
    <row r="347" spans="2:2" x14ac:dyDescent="0.25">
      <c r="B347"/>
    </row>
    <row r="348" spans="2:2" x14ac:dyDescent="0.25">
      <c r="B348"/>
    </row>
    <row r="349" spans="2:2" x14ac:dyDescent="0.25">
      <c r="B349"/>
    </row>
    <row r="350" spans="2:2" x14ac:dyDescent="0.25">
      <c r="B350"/>
    </row>
    <row r="351" spans="2:2" x14ac:dyDescent="0.25">
      <c r="B351"/>
    </row>
    <row r="352" spans="2:2" x14ac:dyDescent="0.25">
      <c r="B352"/>
    </row>
    <row r="353" spans="2:2" x14ac:dyDescent="0.25">
      <c r="B353"/>
    </row>
    <row r="354" spans="2:2" x14ac:dyDescent="0.25">
      <c r="B354"/>
    </row>
    <row r="355" spans="2:2" x14ac:dyDescent="0.25">
      <c r="B355"/>
    </row>
    <row r="356" spans="2:2" x14ac:dyDescent="0.25">
      <c r="B356"/>
    </row>
    <row r="357" spans="2:2" x14ac:dyDescent="0.25">
      <c r="B357"/>
    </row>
    <row r="358" spans="2:2" x14ac:dyDescent="0.25">
      <c r="B358"/>
    </row>
    <row r="359" spans="2:2" x14ac:dyDescent="0.25">
      <c r="B359"/>
    </row>
    <row r="360" spans="2:2" x14ac:dyDescent="0.25">
      <c r="B360"/>
    </row>
    <row r="361" spans="2:2" x14ac:dyDescent="0.25">
      <c r="B361"/>
    </row>
    <row r="362" spans="2:2" x14ac:dyDescent="0.25">
      <c r="B362"/>
    </row>
    <row r="363" spans="2:2" x14ac:dyDescent="0.25">
      <c r="B363"/>
    </row>
    <row r="364" spans="2:2" x14ac:dyDescent="0.25">
      <c r="B364"/>
    </row>
    <row r="365" spans="2:2" x14ac:dyDescent="0.25">
      <c r="B365"/>
    </row>
    <row r="366" spans="2:2" x14ac:dyDescent="0.25">
      <c r="B366"/>
    </row>
    <row r="367" spans="2:2" x14ac:dyDescent="0.25">
      <c r="B367"/>
    </row>
    <row r="368" spans="2:2" x14ac:dyDescent="0.25">
      <c r="B368"/>
    </row>
    <row r="369" spans="2:2" x14ac:dyDescent="0.25">
      <c r="B369"/>
    </row>
    <row r="370" spans="2:2" x14ac:dyDescent="0.25">
      <c r="B370"/>
    </row>
    <row r="371" spans="2:2" x14ac:dyDescent="0.25">
      <c r="B371"/>
    </row>
    <row r="372" spans="2:2" x14ac:dyDescent="0.25">
      <c r="B372"/>
    </row>
    <row r="373" spans="2:2" x14ac:dyDescent="0.25">
      <c r="B373"/>
    </row>
    <row r="374" spans="2:2" x14ac:dyDescent="0.25">
      <c r="B374"/>
    </row>
    <row r="375" spans="2:2" x14ac:dyDescent="0.25">
      <c r="B375"/>
    </row>
    <row r="376" spans="2:2" x14ac:dyDescent="0.25">
      <c r="B376"/>
    </row>
    <row r="377" spans="2:2" x14ac:dyDescent="0.25">
      <c r="B377"/>
    </row>
    <row r="378" spans="2:2" x14ac:dyDescent="0.25">
      <c r="B378"/>
    </row>
    <row r="379" spans="2:2" x14ac:dyDescent="0.25">
      <c r="B379"/>
    </row>
    <row r="380" spans="2:2" x14ac:dyDescent="0.25">
      <c r="B380"/>
    </row>
    <row r="381" spans="2:2" x14ac:dyDescent="0.25">
      <c r="B381"/>
    </row>
    <row r="382" spans="2:2" x14ac:dyDescent="0.25">
      <c r="B382"/>
    </row>
    <row r="383" spans="2:2" x14ac:dyDescent="0.25">
      <c r="B383"/>
    </row>
    <row r="384" spans="2:2" x14ac:dyDescent="0.25">
      <c r="B384"/>
    </row>
    <row r="385" spans="2:2" x14ac:dyDescent="0.25">
      <c r="B385"/>
    </row>
    <row r="386" spans="2:2" x14ac:dyDescent="0.25">
      <c r="B386"/>
    </row>
    <row r="387" spans="2:2" x14ac:dyDescent="0.25">
      <c r="B387"/>
    </row>
    <row r="388" spans="2:2" x14ac:dyDescent="0.25">
      <c r="B388"/>
    </row>
    <row r="389" spans="2:2" x14ac:dyDescent="0.25">
      <c r="B389"/>
    </row>
    <row r="390" spans="2:2" x14ac:dyDescent="0.25">
      <c r="B390"/>
    </row>
    <row r="391" spans="2:2" x14ac:dyDescent="0.25">
      <c r="B391"/>
    </row>
    <row r="392" spans="2:2" x14ac:dyDescent="0.25">
      <c r="B392"/>
    </row>
    <row r="393" spans="2:2" x14ac:dyDescent="0.25">
      <c r="B393"/>
    </row>
    <row r="394" spans="2:2" x14ac:dyDescent="0.25">
      <c r="B394"/>
    </row>
    <row r="395" spans="2:2" x14ac:dyDescent="0.25">
      <c r="B395"/>
    </row>
    <row r="396" spans="2:2" x14ac:dyDescent="0.25">
      <c r="B396"/>
    </row>
    <row r="397" spans="2:2" x14ac:dyDescent="0.25">
      <c r="B397"/>
    </row>
    <row r="398" spans="2:2" x14ac:dyDescent="0.25">
      <c r="B398"/>
    </row>
    <row r="399" spans="2:2" x14ac:dyDescent="0.25">
      <c r="B399"/>
    </row>
    <row r="400" spans="2:2" x14ac:dyDescent="0.25">
      <c r="B400"/>
    </row>
    <row r="401" spans="2:2" x14ac:dyDescent="0.25">
      <c r="B401"/>
    </row>
    <row r="402" spans="2:2" x14ac:dyDescent="0.25">
      <c r="B402"/>
    </row>
    <row r="403" spans="2:2" x14ac:dyDescent="0.25">
      <c r="B403"/>
    </row>
    <row r="404" spans="2:2" x14ac:dyDescent="0.25">
      <c r="B404"/>
    </row>
    <row r="405" spans="2:2" x14ac:dyDescent="0.25">
      <c r="B405"/>
    </row>
    <row r="406" spans="2:2" x14ac:dyDescent="0.25">
      <c r="B406"/>
    </row>
    <row r="407" spans="2:2" x14ac:dyDescent="0.25">
      <c r="B407"/>
    </row>
    <row r="408" spans="2:2" x14ac:dyDescent="0.25">
      <c r="B408"/>
    </row>
    <row r="409" spans="2:2" x14ac:dyDescent="0.25">
      <c r="B409"/>
    </row>
    <row r="410" spans="2:2" x14ac:dyDescent="0.25">
      <c r="B410"/>
    </row>
    <row r="411" spans="2:2" x14ac:dyDescent="0.25">
      <c r="B411"/>
    </row>
    <row r="412" spans="2:2" x14ac:dyDescent="0.25">
      <c r="B412"/>
    </row>
    <row r="413" spans="2:2" x14ac:dyDescent="0.25">
      <c r="B413"/>
    </row>
    <row r="414" spans="2:2" x14ac:dyDescent="0.25">
      <c r="B414"/>
    </row>
    <row r="415" spans="2:2" x14ac:dyDescent="0.25">
      <c r="B415"/>
    </row>
    <row r="416" spans="2:2" x14ac:dyDescent="0.25">
      <c r="B416"/>
    </row>
    <row r="417" spans="2:2" x14ac:dyDescent="0.25">
      <c r="B417"/>
    </row>
    <row r="418" spans="2:2" x14ac:dyDescent="0.25">
      <c r="B418"/>
    </row>
    <row r="419" spans="2:2" x14ac:dyDescent="0.25">
      <c r="B419"/>
    </row>
    <row r="420" spans="2:2" x14ac:dyDescent="0.25">
      <c r="B420"/>
    </row>
    <row r="421" spans="2:2" x14ac:dyDescent="0.25">
      <c r="B421"/>
    </row>
    <row r="422" spans="2:2" x14ac:dyDescent="0.25">
      <c r="B422"/>
    </row>
    <row r="423" spans="2:2" x14ac:dyDescent="0.25">
      <c r="B423"/>
    </row>
    <row r="424" spans="2:2" x14ac:dyDescent="0.25">
      <c r="B424"/>
    </row>
    <row r="425" spans="2:2" x14ac:dyDescent="0.25">
      <c r="B425"/>
    </row>
    <row r="426" spans="2:2" x14ac:dyDescent="0.25">
      <c r="B426"/>
    </row>
    <row r="427" spans="2:2" x14ac:dyDescent="0.25">
      <c r="B427"/>
    </row>
    <row r="428" spans="2:2" x14ac:dyDescent="0.25">
      <c r="B428"/>
    </row>
    <row r="429" spans="2:2" x14ac:dyDescent="0.25">
      <c r="B429"/>
    </row>
    <row r="430" spans="2:2" x14ac:dyDescent="0.25">
      <c r="B430"/>
    </row>
    <row r="431" spans="2:2" x14ac:dyDescent="0.25">
      <c r="B431"/>
    </row>
    <row r="432" spans="2:2" x14ac:dyDescent="0.25">
      <c r="B432"/>
    </row>
    <row r="433" spans="2:2" x14ac:dyDescent="0.25">
      <c r="B433"/>
    </row>
    <row r="434" spans="2:2" x14ac:dyDescent="0.25">
      <c r="B434"/>
    </row>
    <row r="435" spans="2:2" x14ac:dyDescent="0.25">
      <c r="B435"/>
    </row>
    <row r="436" spans="2:2" x14ac:dyDescent="0.25">
      <c r="B436"/>
    </row>
    <row r="437" spans="2:2" x14ac:dyDescent="0.25">
      <c r="B437"/>
    </row>
    <row r="438" spans="2:2" x14ac:dyDescent="0.25">
      <c r="B438"/>
    </row>
    <row r="439" spans="2:2" x14ac:dyDescent="0.25">
      <c r="B439"/>
    </row>
    <row r="440" spans="2:2" x14ac:dyDescent="0.25">
      <c r="B440"/>
    </row>
    <row r="441" spans="2:2" x14ac:dyDescent="0.25">
      <c r="B441"/>
    </row>
    <row r="442" spans="2:2" x14ac:dyDescent="0.25">
      <c r="B442"/>
    </row>
    <row r="443" spans="2:2" x14ac:dyDescent="0.25">
      <c r="B443"/>
    </row>
    <row r="444" spans="2:2" x14ac:dyDescent="0.25">
      <c r="B444"/>
    </row>
    <row r="445" spans="2:2" x14ac:dyDescent="0.25">
      <c r="B445"/>
    </row>
    <row r="446" spans="2:2" x14ac:dyDescent="0.25">
      <c r="B446"/>
    </row>
    <row r="447" spans="2:2" x14ac:dyDescent="0.25">
      <c r="B447"/>
    </row>
    <row r="448" spans="2:2" x14ac:dyDescent="0.25">
      <c r="B448"/>
    </row>
    <row r="449" spans="2:2" x14ac:dyDescent="0.25">
      <c r="B449"/>
    </row>
    <row r="450" spans="2:2" x14ac:dyDescent="0.25">
      <c r="B450"/>
    </row>
    <row r="451" spans="2:2" x14ac:dyDescent="0.25">
      <c r="B451"/>
    </row>
    <row r="452" spans="2:2" x14ac:dyDescent="0.25">
      <c r="B452"/>
    </row>
    <row r="453" spans="2:2" x14ac:dyDescent="0.25">
      <c r="B453"/>
    </row>
    <row r="454" spans="2:2" x14ac:dyDescent="0.25">
      <c r="B454"/>
    </row>
    <row r="455" spans="2:2" x14ac:dyDescent="0.25">
      <c r="B455"/>
    </row>
    <row r="456" spans="2:2" x14ac:dyDescent="0.25">
      <c r="B456"/>
    </row>
    <row r="457" spans="2:2" x14ac:dyDescent="0.25">
      <c r="B457"/>
    </row>
    <row r="458" spans="2:2" x14ac:dyDescent="0.25">
      <c r="B458"/>
    </row>
    <row r="459" spans="2:2" x14ac:dyDescent="0.25">
      <c r="B459"/>
    </row>
    <row r="460" spans="2:2" x14ac:dyDescent="0.25">
      <c r="B460"/>
    </row>
    <row r="461" spans="2:2" x14ac:dyDescent="0.25">
      <c r="B461"/>
    </row>
    <row r="462" spans="2:2" x14ac:dyDescent="0.25">
      <c r="B462"/>
    </row>
    <row r="463" spans="2:2" x14ac:dyDescent="0.25">
      <c r="B463"/>
    </row>
    <row r="464" spans="2:2" x14ac:dyDescent="0.25">
      <c r="B464"/>
    </row>
    <row r="465" spans="2:2" x14ac:dyDescent="0.25">
      <c r="B465"/>
    </row>
    <row r="466" spans="2:2" x14ac:dyDescent="0.25">
      <c r="B466"/>
    </row>
    <row r="467" spans="2:2" x14ac:dyDescent="0.25">
      <c r="B467"/>
    </row>
    <row r="468" spans="2:2" x14ac:dyDescent="0.25">
      <c r="B468"/>
    </row>
    <row r="469" spans="2:2" x14ac:dyDescent="0.25">
      <c r="B469"/>
    </row>
    <row r="470" spans="2:2" x14ac:dyDescent="0.25">
      <c r="B470"/>
    </row>
    <row r="471" spans="2:2" x14ac:dyDescent="0.25">
      <c r="B471"/>
    </row>
    <row r="472" spans="2:2" x14ac:dyDescent="0.25">
      <c r="B472"/>
    </row>
    <row r="473" spans="2:2" x14ac:dyDescent="0.25">
      <c r="B473"/>
    </row>
    <row r="474" spans="2:2" x14ac:dyDescent="0.25">
      <c r="B474"/>
    </row>
    <row r="475" spans="2:2" x14ac:dyDescent="0.25">
      <c r="B475"/>
    </row>
    <row r="476" spans="2:2" x14ac:dyDescent="0.25">
      <c r="B476"/>
    </row>
    <row r="477" spans="2:2" x14ac:dyDescent="0.25">
      <c r="B477"/>
    </row>
    <row r="478" spans="2:2" x14ac:dyDescent="0.25">
      <c r="B478"/>
    </row>
    <row r="479" spans="2:2" x14ac:dyDescent="0.25">
      <c r="B479"/>
    </row>
    <row r="480" spans="2:2" x14ac:dyDescent="0.25">
      <c r="B480"/>
    </row>
    <row r="481" spans="2:2" x14ac:dyDescent="0.25">
      <c r="B481"/>
    </row>
    <row r="482" spans="2:2" x14ac:dyDescent="0.25">
      <c r="B482"/>
    </row>
    <row r="483" spans="2:2" x14ac:dyDescent="0.25">
      <c r="B483"/>
    </row>
    <row r="484" spans="2:2" x14ac:dyDescent="0.25">
      <c r="B484"/>
    </row>
    <row r="485" spans="2:2" x14ac:dyDescent="0.25">
      <c r="B485"/>
    </row>
    <row r="486" spans="2:2" x14ac:dyDescent="0.25">
      <c r="B486"/>
    </row>
    <row r="487" spans="2:2" x14ac:dyDescent="0.25">
      <c r="B487"/>
    </row>
    <row r="488" spans="2:2" x14ac:dyDescent="0.25">
      <c r="B488"/>
    </row>
    <row r="489" spans="2:2" x14ac:dyDescent="0.25">
      <c r="B489"/>
    </row>
    <row r="490" spans="2:2" x14ac:dyDescent="0.25">
      <c r="B490"/>
    </row>
    <row r="491" spans="2:2" x14ac:dyDescent="0.25">
      <c r="B491"/>
    </row>
    <row r="492" spans="2:2" x14ac:dyDescent="0.25">
      <c r="B492"/>
    </row>
    <row r="493" spans="2:2" x14ac:dyDescent="0.25">
      <c r="B493"/>
    </row>
    <row r="494" spans="2:2" x14ac:dyDescent="0.25">
      <c r="B494"/>
    </row>
    <row r="495" spans="2:2" x14ac:dyDescent="0.25">
      <c r="B495"/>
    </row>
    <row r="496" spans="2:2" x14ac:dyDescent="0.25">
      <c r="B496"/>
    </row>
    <row r="497" spans="2:2" x14ac:dyDescent="0.25">
      <c r="B497"/>
    </row>
    <row r="498" spans="2:2" x14ac:dyDescent="0.25">
      <c r="B498"/>
    </row>
    <row r="499" spans="2:2" x14ac:dyDescent="0.25">
      <c r="B499"/>
    </row>
    <row r="500" spans="2:2" x14ac:dyDescent="0.25">
      <c r="B500"/>
    </row>
    <row r="501" spans="2:2" x14ac:dyDescent="0.25">
      <c r="B501"/>
    </row>
    <row r="502" spans="2:2" x14ac:dyDescent="0.25">
      <c r="B502"/>
    </row>
    <row r="503" spans="2:2" x14ac:dyDescent="0.25">
      <c r="B503"/>
    </row>
    <row r="504" spans="2:2" x14ac:dyDescent="0.25">
      <c r="B504"/>
    </row>
    <row r="505" spans="2:2" x14ac:dyDescent="0.25">
      <c r="B505"/>
    </row>
    <row r="506" spans="2:2" x14ac:dyDescent="0.25">
      <c r="B506"/>
    </row>
    <row r="507" spans="2:2" x14ac:dyDescent="0.25">
      <c r="B507"/>
    </row>
    <row r="508" spans="2:2" x14ac:dyDescent="0.25">
      <c r="B508"/>
    </row>
    <row r="509" spans="2:2" x14ac:dyDescent="0.25">
      <c r="B509"/>
    </row>
    <row r="510" spans="2:2" x14ac:dyDescent="0.25">
      <c r="B510"/>
    </row>
    <row r="511" spans="2:2" x14ac:dyDescent="0.25">
      <c r="B511"/>
    </row>
    <row r="512" spans="2:2" x14ac:dyDescent="0.25">
      <c r="B512"/>
    </row>
    <row r="513" spans="2:2" x14ac:dyDescent="0.25">
      <c r="B513"/>
    </row>
    <row r="514" spans="2:2" x14ac:dyDescent="0.25">
      <c r="B514"/>
    </row>
    <row r="515" spans="2:2" x14ac:dyDescent="0.25">
      <c r="B515"/>
    </row>
    <row r="516" spans="2:2" x14ac:dyDescent="0.25">
      <c r="B516"/>
    </row>
    <row r="517" spans="2:2" x14ac:dyDescent="0.25">
      <c r="B517"/>
    </row>
    <row r="518" spans="2:2" x14ac:dyDescent="0.25">
      <c r="B518"/>
    </row>
    <row r="519" spans="2:2" x14ac:dyDescent="0.25">
      <c r="B519"/>
    </row>
    <row r="520" spans="2:2" x14ac:dyDescent="0.25">
      <c r="B520"/>
    </row>
    <row r="521" spans="2:2" x14ac:dyDescent="0.25">
      <c r="B521"/>
    </row>
    <row r="522" spans="2:2" x14ac:dyDescent="0.25">
      <c r="B522"/>
    </row>
    <row r="523" spans="2:2" x14ac:dyDescent="0.25">
      <c r="B523"/>
    </row>
    <row r="524" spans="2:2" x14ac:dyDescent="0.25">
      <c r="B524"/>
    </row>
    <row r="525" spans="2:2" x14ac:dyDescent="0.25">
      <c r="B525"/>
    </row>
    <row r="526" spans="2:2" x14ac:dyDescent="0.25">
      <c r="B526"/>
    </row>
    <row r="527" spans="2:2" x14ac:dyDescent="0.25">
      <c r="B527"/>
    </row>
    <row r="528" spans="2:2" x14ac:dyDescent="0.25">
      <c r="B528"/>
    </row>
    <row r="529" spans="2:2" x14ac:dyDescent="0.25">
      <c r="B529"/>
    </row>
    <row r="530" spans="2:2" x14ac:dyDescent="0.25">
      <c r="B530"/>
    </row>
    <row r="531" spans="2:2" x14ac:dyDescent="0.25">
      <c r="B531"/>
    </row>
    <row r="532" spans="2:2" x14ac:dyDescent="0.25">
      <c r="B532"/>
    </row>
    <row r="533" spans="2:2" x14ac:dyDescent="0.25">
      <c r="B533"/>
    </row>
    <row r="534" spans="2:2" x14ac:dyDescent="0.25">
      <c r="B534"/>
    </row>
    <row r="535" spans="2:2" x14ac:dyDescent="0.25">
      <c r="B535"/>
    </row>
    <row r="536" spans="2:2" x14ac:dyDescent="0.25">
      <c r="B536"/>
    </row>
    <row r="537" spans="2:2" x14ac:dyDescent="0.25">
      <c r="B537"/>
    </row>
    <row r="538" spans="2:2" x14ac:dyDescent="0.25">
      <c r="B538"/>
    </row>
    <row r="539" spans="2:2" x14ac:dyDescent="0.25">
      <c r="B539"/>
    </row>
    <row r="540" spans="2:2" x14ac:dyDescent="0.25">
      <c r="B540"/>
    </row>
    <row r="541" spans="2:2" x14ac:dyDescent="0.25">
      <c r="B541"/>
    </row>
    <row r="542" spans="2:2" x14ac:dyDescent="0.25">
      <c r="B542"/>
    </row>
    <row r="543" spans="2:2" x14ac:dyDescent="0.25">
      <c r="B543"/>
    </row>
    <row r="544" spans="2:2" x14ac:dyDescent="0.25">
      <c r="B544"/>
    </row>
    <row r="545" spans="2:2" x14ac:dyDescent="0.25">
      <c r="B545"/>
    </row>
    <row r="546" spans="2:2" x14ac:dyDescent="0.25">
      <c r="B546"/>
    </row>
    <row r="547" spans="2:2" x14ac:dyDescent="0.25">
      <c r="B547"/>
    </row>
    <row r="548" spans="2:2" x14ac:dyDescent="0.25">
      <c r="B548"/>
    </row>
    <row r="549" spans="2:2" x14ac:dyDescent="0.25">
      <c r="B549"/>
    </row>
    <row r="550" spans="2:2" x14ac:dyDescent="0.25">
      <c r="B550"/>
    </row>
    <row r="551" spans="2:2" x14ac:dyDescent="0.25">
      <c r="B551"/>
    </row>
    <row r="552" spans="2:2" x14ac:dyDescent="0.25">
      <c r="B552"/>
    </row>
    <row r="553" spans="2:2" x14ac:dyDescent="0.25">
      <c r="B553"/>
    </row>
    <row r="554" spans="2:2" x14ac:dyDescent="0.25">
      <c r="B554"/>
    </row>
    <row r="555" spans="2:2" x14ac:dyDescent="0.25">
      <c r="B555"/>
    </row>
    <row r="556" spans="2:2" x14ac:dyDescent="0.25">
      <c r="B556"/>
    </row>
    <row r="557" spans="2:2" x14ac:dyDescent="0.25">
      <c r="B557"/>
    </row>
    <row r="558" spans="2:2" x14ac:dyDescent="0.25">
      <c r="B558"/>
    </row>
    <row r="559" spans="2:2" x14ac:dyDescent="0.25">
      <c r="B559"/>
    </row>
    <row r="560" spans="2:2" x14ac:dyDescent="0.25">
      <c r="B560"/>
    </row>
    <row r="561" spans="2:2" x14ac:dyDescent="0.25">
      <c r="B561"/>
    </row>
    <row r="562" spans="2:2" x14ac:dyDescent="0.25">
      <c r="B562"/>
    </row>
    <row r="563" spans="2:2" x14ac:dyDescent="0.25">
      <c r="B563"/>
    </row>
    <row r="564" spans="2:2" x14ac:dyDescent="0.25">
      <c r="B564"/>
    </row>
    <row r="565" spans="2:2" x14ac:dyDescent="0.25">
      <c r="B565"/>
    </row>
    <row r="566" spans="2:2" x14ac:dyDescent="0.25">
      <c r="B566"/>
    </row>
    <row r="567" spans="2:2" x14ac:dyDescent="0.25">
      <c r="B567"/>
    </row>
    <row r="568" spans="2:2" x14ac:dyDescent="0.25">
      <c r="B568"/>
    </row>
    <row r="569" spans="2:2" x14ac:dyDescent="0.25">
      <c r="B569"/>
    </row>
    <row r="570" spans="2:2" x14ac:dyDescent="0.25">
      <c r="B570"/>
    </row>
    <row r="571" spans="2:2" x14ac:dyDescent="0.25">
      <c r="B571"/>
    </row>
    <row r="572" spans="2:2" x14ac:dyDescent="0.25">
      <c r="B572"/>
    </row>
    <row r="573" spans="2:2" x14ac:dyDescent="0.25">
      <c r="B573"/>
    </row>
    <row r="574" spans="2:2" x14ac:dyDescent="0.25">
      <c r="B574"/>
    </row>
    <row r="575" spans="2:2" x14ac:dyDescent="0.25">
      <c r="B575"/>
    </row>
    <row r="576" spans="2:2" x14ac:dyDescent="0.25">
      <c r="B576"/>
    </row>
    <row r="577" spans="2:2" x14ac:dyDescent="0.25">
      <c r="B577"/>
    </row>
    <row r="578" spans="2:2" x14ac:dyDescent="0.25">
      <c r="B578"/>
    </row>
    <row r="579" spans="2:2" x14ac:dyDescent="0.25">
      <c r="B579"/>
    </row>
    <row r="580" spans="2:2" x14ac:dyDescent="0.25">
      <c r="B580"/>
    </row>
    <row r="581" spans="2:2" x14ac:dyDescent="0.25">
      <c r="B581"/>
    </row>
    <row r="582" spans="2:2" x14ac:dyDescent="0.25">
      <c r="B582"/>
    </row>
    <row r="583" spans="2:2" x14ac:dyDescent="0.25">
      <c r="B583"/>
    </row>
    <row r="584" spans="2:2" x14ac:dyDescent="0.25">
      <c r="B584"/>
    </row>
    <row r="585" spans="2:2" x14ac:dyDescent="0.25">
      <c r="B585"/>
    </row>
    <row r="586" spans="2:2" x14ac:dyDescent="0.25">
      <c r="B586"/>
    </row>
    <row r="587" spans="2:2" x14ac:dyDescent="0.25">
      <c r="B587"/>
    </row>
    <row r="588" spans="2:2" x14ac:dyDescent="0.25">
      <c r="B588"/>
    </row>
    <row r="589" spans="2:2" x14ac:dyDescent="0.25">
      <c r="B589"/>
    </row>
    <row r="590" spans="2:2" x14ac:dyDescent="0.25">
      <c r="B590"/>
    </row>
    <row r="591" spans="2:2" x14ac:dyDescent="0.25">
      <c r="B591"/>
    </row>
    <row r="592" spans="2:2" x14ac:dyDescent="0.25">
      <c r="B592"/>
    </row>
    <row r="593" spans="2:2" x14ac:dyDescent="0.25">
      <c r="B593"/>
    </row>
    <row r="594" spans="2:2" x14ac:dyDescent="0.25">
      <c r="B594"/>
    </row>
    <row r="595" spans="2:2" x14ac:dyDescent="0.25">
      <c r="B595"/>
    </row>
    <row r="596" spans="2:2" x14ac:dyDescent="0.25">
      <c r="B596"/>
    </row>
    <row r="597" spans="2:2" x14ac:dyDescent="0.25">
      <c r="B597"/>
    </row>
    <row r="598" spans="2:2" x14ac:dyDescent="0.25">
      <c r="B598"/>
    </row>
    <row r="599" spans="2:2" x14ac:dyDescent="0.25">
      <c r="B599"/>
    </row>
    <row r="600" spans="2:2" x14ac:dyDescent="0.25">
      <c r="B600"/>
    </row>
    <row r="601" spans="2:2" x14ac:dyDescent="0.25">
      <c r="B601"/>
    </row>
    <row r="602" spans="2:2" x14ac:dyDescent="0.25">
      <c r="B602"/>
    </row>
    <row r="603" spans="2:2" x14ac:dyDescent="0.25">
      <c r="B603"/>
    </row>
    <row r="604" spans="2:2" x14ac:dyDescent="0.25">
      <c r="B604"/>
    </row>
    <row r="605" spans="2:2" x14ac:dyDescent="0.25">
      <c r="B605"/>
    </row>
    <row r="606" spans="2:2" x14ac:dyDescent="0.25">
      <c r="B606"/>
    </row>
    <row r="607" spans="2:2" x14ac:dyDescent="0.25">
      <c r="B607"/>
    </row>
    <row r="608" spans="2:2" x14ac:dyDescent="0.25">
      <c r="B608"/>
    </row>
    <row r="609" spans="2:2" x14ac:dyDescent="0.25">
      <c r="B609"/>
    </row>
    <row r="610" spans="2:2" x14ac:dyDescent="0.25">
      <c r="B610"/>
    </row>
    <row r="611" spans="2:2" x14ac:dyDescent="0.25">
      <c r="B611"/>
    </row>
    <row r="612" spans="2:2" x14ac:dyDescent="0.25">
      <c r="B612"/>
    </row>
    <row r="613" spans="2:2" x14ac:dyDescent="0.25">
      <c r="B613"/>
    </row>
    <row r="614" spans="2:2" x14ac:dyDescent="0.25">
      <c r="B614"/>
    </row>
    <row r="615" spans="2:2" x14ac:dyDescent="0.25">
      <c r="B615"/>
    </row>
    <row r="616" spans="2:2" x14ac:dyDescent="0.25">
      <c r="B616"/>
    </row>
    <row r="617" spans="2:2" x14ac:dyDescent="0.25">
      <c r="B617"/>
    </row>
    <row r="618" spans="2:2" x14ac:dyDescent="0.25">
      <c r="B618"/>
    </row>
    <row r="619" spans="2:2" x14ac:dyDescent="0.25">
      <c r="B619"/>
    </row>
    <row r="620" spans="2:2" x14ac:dyDescent="0.25">
      <c r="B620"/>
    </row>
    <row r="621" spans="2:2" x14ac:dyDescent="0.25">
      <c r="B621"/>
    </row>
    <row r="622" spans="2:2" x14ac:dyDescent="0.25">
      <c r="B622"/>
    </row>
    <row r="623" spans="2:2" x14ac:dyDescent="0.25">
      <c r="B623"/>
    </row>
    <row r="624" spans="2:2" x14ac:dyDescent="0.25">
      <c r="B624"/>
    </row>
    <row r="625" spans="2:2" x14ac:dyDescent="0.25">
      <c r="B625"/>
    </row>
    <row r="626" spans="2:2" x14ac:dyDescent="0.25">
      <c r="B626"/>
    </row>
    <row r="627" spans="2:2" x14ac:dyDescent="0.25">
      <c r="B627"/>
    </row>
    <row r="628" spans="2:2" x14ac:dyDescent="0.25">
      <c r="B628"/>
    </row>
    <row r="629" spans="2:2" x14ac:dyDescent="0.25">
      <c r="B629"/>
    </row>
    <row r="630" spans="2:2" x14ac:dyDescent="0.25">
      <c r="B630"/>
    </row>
    <row r="631" spans="2:2" x14ac:dyDescent="0.25">
      <c r="B631"/>
    </row>
    <row r="632" spans="2:2" x14ac:dyDescent="0.25">
      <c r="B632"/>
    </row>
    <row r="633" spans="2:2" x14ac:dyDescent="0.25">
      <c r="B633"/>
    </row>
    <row r="634" spans="2:2" x14ac:dyDescent="0.25">
      <c r="B634"/>
    </row>
    <row r="635" spans="2:2" x14ac:dyDescent="0.25">
      <c r="B635"/>
    </row>
    <row r="636" spans="2:2" x14ac:dyDescent="0.25">
      <c r="B636"/>
    </row>
    <row r="637" spans="2:2" x14ac:dyDescent="0.25">
      <c r="B637"/>
    </row>
    <row r="638" spans="2:2" x14ac:dyDescent="0.25">
      <c r="B638"/>
    </row>
    <row r="639" spans="2:2" x14ac:dyDescent="0.25">
      <c r="B639"/>
    </row>
    <row r="640" spans="2:2" x14ac:dyDescent="0.25">
      <c r="B640"/>
    </row>
    <row r="641" spans="2:2" x14ac:dyDescent="0.25">
      <c r="B641"/>
    </row>
    <row r="642" spans="2:2" x14ac:dyDescent="0.25">
      <c r="B642"/>
    </row>
    <row r="643" spans="2:2" x14ac:dyDescent="0.25">
      <c r="B643"/>
    </row>
    <row r="644" spans="2:2" x14ac:dyDescent="0.25">
      <c r="B644"/>
    </row>
    <row r="645" spans="2:2" x14ac:dyDescent="0.25">
      <c r="B645"/>
    </row>
    <row r="646" spans="2:2" x14ac:dyDescent="0.25">
      <c r="B646"/>
    </row>
    <row r="647" spans="2:2" x14ac:dyDescent="0.25">
      <c r="B647"/>
    </row>
    <row r="648" spans="2:2" x14ac:dyDescent="0.25">
      <c r="B648"/>
    </row>
    <row r="649" spans="2:2" x14ac:dyDescent="0.25">
      <c r="B649"/>
    </row>
    <row r="650" spans="2:2" x14ac:dyDescent="0.25">
      <c r="B650"/>
    </row>
    <row r="651" spans="2:2" x14ac:dyDescent="0.25">
      <c r="B651"/>
    </row>
    <row r="652" spans="2:2" x14ac:dyDescent="0.25">
      <c r="B652"/>
    </row>
    <row r="653" spans="2:2" x14ac:dyDescent="0.25">
      <c r="B653"/>
    </row>
    <row r="654" spans="2:2" x14ac:dyDescent="0.25">
      <c r="B654"/>
    </row>
    <row r="655" spans="2:2" x14ac:dyDescent="0.25">
      <c r="B655"/>
    </row>
    <row r="656" spans="2:2" x14ac:dyDescent="0.25">
      <c r="B656"/>
    </row>
    <row r="657" spans="2:2" x14ac:dyDescent="0.25">
      <c r="B657"/>
    </row>
    <row r="658" spans="2:2" x14ac:dyDescent="0.25">
      <c r="B658"/>
    </row>
    <row r="659" spans="2:2" x14ac:dyDescent="0.25">
      <c r="B659"/>
    </row>
    <row r="660" spans="2:2" x14ac:dyDescent="0.25">
      <c r="B660"/>
    </row>
    <row r="661" spans="2:2" x14ac:dyDescent="0.25">
      <c r="B661"/>
    </row>
    <row r="662" spans="2:2" x14ac:dyDescent="0.25">
      <c r="B662"/>
    </row>
    <row r="663" spans="2:2" x14ac:dyDescent="0.25">
      <c r="B663"/>
    </row>
    <row r="664" spans="2:2" x14ac:dyDescent="0.25">
      <c r="B664"/>
    </row>
    <row r="665" spans="2:2" x14ac:dyDescent="0.25">
      <c r="B665"/>
    </row>
    <row r="666" spans="2:2" x14ac:dyDescent="0.25">
      <c r="B666"/>
    </row>
    <row r="667" spans="2:2" x14ac:dyDescent="0.25">
      <c r="B667"/>
    </row>
    <row r="668" spans="2:2" x14ac:dyDescent="0.25">
      <c r="B668"/>
    </row>
    <row r="669" spans="2:2" x14ac:dyDescent="0.25">
      <c r="B669"/>
    </row>
    <row r="670" spans="2:2" x14ac:dyDescent="0.25">
      <c r="B670"/>
    </row>
    <row r="671" spans="2:2" x14ac:dyDescent="0.25">
      <c r="B671"/>
    </row>
    <row r="672" spans="2:2" x14ac:dyDescent="0.25">
      <c r="B672"/>
    </row>
    <row r="673" spans="2:2" x14ac:dyDescent="0.25">
      <c r="B673"/>
    </row>
    <row r="674" spans="2:2" x14ac:dyDescent="0.25">
      <c r="B674"/>
    </row>
    <row r="675" spans="2:2" x14ac:dyDescent="0.25">
      <c r="B675"/>
    </row>
    <row r="676" spans="2:2" x14ac:dyDescent="0.25">
      <c r="B676"/>
    </row>
    <row r="677" spans="2:2" x14ac:dyDescent="0.25">
      <c r="B677"/>
    </row>
    <row r="678" spans="2:2" x14ac:dyDescent="0.25">
      <c r="B678"/>
    </row>
    <row r="679" spans="2:2" x14ac:dyDescent="0.25">
      <c r="B679"/>
    </row>
    <row r="680" spans="2:2" x14ac:dyDescent="0.25">
      <c r="B680"/>
    </row>
    <row r="681" spans="2:2" x14ac:dyDescent="0.25">
      <c r="B681"/>
    </row>
    <row r="682" spans="2:2" x14ac:dyDescent="0.25">
      <c r="B682"/>
    </row>
    <row r="683" spans="2:2" x14ac:dyDescent="0.25">
      <c r="B683"/>
    </row>
    <row r="684" spans="2:2" x14ac:dyDescent="0.25">
      <c r="B684"/>
    </row>
    <row r="685" spans="2:2" x14ac:dyDescent="0.25">
      <c r="B685"/>
    </row>
    <row r="686" spans="2:2" x14ac:dyDescent="0.25">
      <c r="B686"/>
    </row>
    <row r="687" spans="2:2" x14ac:dyDescent="0.25">
      <c r="B687"/>
    </row>
    <row r="688" spans="2:2" x14ac:dyDescent="0.25">
      <c r="B688"/>
    </row>
    <row r="689" spans="2:2" x14ac:dyDescent="0.25">
      <c r="B689"/>
    </row>
    <row r="690" spans="2:2" x14ac:dyDescent="0.25">
      <c r="B690"/>
    </row>
    <row r="691" spans="2:2" x14ac:dyDescent="0.25">
      <c r="B691"/>
    </row>
    <row r="692" spans="2:2" x14ac:dyDescent="0.25">
      <c r="B692"/>
    </row>
    <row r="693" spans="2:2" x14ac:dyDescent="0.25">
      <c r="B693"/>
    </row>
    <row r="694" spans="2:2" x14ac:dyDescent="0.25">
      <c r="B694"/>
    </row>
    <row r="695" spans="2:2" x14ac:dyDescent="0.25">
      <c r="B695"/>
    </row>
    <row r="696" spans="2:2" x14ac:dyDescent="0.25">
      <c r="B696"/>
    </row>
    <row r="697" spans="2:2" x14ac:dyDescent="0.25">
      <c r="B697"/>
    </row>
    <row r="698" spans="2:2" x14ac:dyDescent="0.25">
      <c r="B698"/>
    </row>
    <row r="699" spans="2:2" x14ac:dyDescent="0.25">
      <c r="B699"/>
    </row>
    <row r="700" spans="2:2" x14ac:dyDescent="0.25">
      <c r="B700"/>
    </row>
    <row r="701" spans="2:2" x14ac:dyDescent="0.25">
      <c r="B701"/>
    </row>
    <row r="702" spans="2:2" x14ac:dyDescent="0.25">
      <c r="B702"/>
    </row>
    <row r="703" spans="2:2" x14ac:dyDescent="0.25">
      <c r="B703"/>
    </row>
    <row r="704" spans="2:2" x14ac:dyDescent="0.25">
      <c r="B704"/>
    </row>
    <row r="705" spans="2:2" x14ac:dyDescent="0.25">
      <c r="B705"/>
    </row>
    <row r="706" spans="2:2" x14ac:dyDescent="0.25">
      <c r="B706"/>
    </row>
    <row r="707" spans="2:2" x14ac:dyDescent="0.25">
      <c r="B707"/>
    </row>
    <row r="708" spans="2:2" x14ac:dyDescent="0.25">
      <c r="B708"/>
    </row>
    <row r="709" spans="2:2" x14ac:dyDescent="0.25">
      <c r="B709"/>
    </row>
    <row r="710" spans="2:2" x14ac:dyDescent="0.25">
      <c r="B710"/>
    </row>
    <row r="711" spans="2:2" x14ac:dyDescent="0.25">
      <c r="B711"/>
    </row>
    <row r="712" spans="2:2" x14ac:dyDescent="0.25">
      <c r="B712"/>
    </row>
    <row r="713" spans="2:2" x14ac:dyDescent="0.25">
      <c r="B713"/>
    </row>
    <row r="714" spans="2:2" x14ac:dyDescent="0.25">
      <c r="B714"/>
    </row>
    <row r="715" spans="2:2" x14ac:dyDescent="0.25">
      <c r="B715"/>
    </row>
    <row r="716" spans="2:2" x14ac:dyDescent="0.25">
      <c r="B716"/>
    </row>
    <row r="717" spans="2:2" x14ac:dyDescent="0.25">
      <c r="B717"/>
    </row>
    <row r="718" spans="2:2" x14ac:dyDescent="0.25">
      <c r="B718"/>
    </row>
    <row r="719" spans="2:2" x14ac:dyDescent="0.25">
      <c r="B719"/>
    </row>
    <row r="720" spans="2:2" x14ac:dyDescent="0.25">
      <c r="B720"/>
    </row>
    <row r="721" spans="2:2" x14ac:dyDescent="0.25">
      <c r="B721"/>
    </row>
    <row r="722" spans="2:2" x14ac:dyDescent="0.25">
      <c r="B722"/>
    </row>
    <row r="723" spans="2:2" x14ac:dyDescent="0.25">
      <c r="B723"/>
    </row>
    <row r="724" spans="2:2" x14ac:dyDescent="0.25">
      <c r="B724"/>
    </row>
    <row r="725" spans="2:2" x14ac:dyDescent="0.25">
      <c r="B725"/>
    </row>
    <row r="726" spans="2:2" x14ac:dyDescent="0.25">
      <c r="B726"/>
    </row>
    <row r="727" spans="2:2" x14ac:dyDescent="0.25">
      <c r="B727"/>
    </row>
    <row r="728" spans="2:2" x14ac:dyDescent="0.25">
      <c r="B728"/>
    </row>
    <row r="729" spans="2:2" x14ac:dyDescent="0.25">
      <c r="B729"/>
    </row>
    <row r="730" spans="2:2" x14ac:dyDescent="0.25">
      <c r="B730"/>
    </row>
    <row r="731" spans="2:2" x14ac:dyDescent="0.25">
      <c r="B731"/>
    </row>
    <row r="732" spans="2:2" x14ac:dyDescent="0.25">
      <c r="B732"/>
    </row>
    <row r="733" spans="2:2" x14ac:dyDescent="0.25">
      <c r="B733"/>
    </row>
    <row r="734" spans="2:2" x14ac:dyDescent="0.25">
      <c r="B734"/>
    </row>
    <row r="735" spans="2:2" x14ac:dyDescent="0.25">
      <c r="B735"/>
    </row>
    <row r="736" spans="2:2" x14ac:dyDescent="0.25">
      <c r="B736"/>
    </row>
    <row r="737" spans="2:2" x14ac:dyDescent="0.25">
      <c r="B737"/>
    </row>
    <row r="738" spans="2:2" x14ac:dyDescent="0.25">
      <c r="B738"/>
    </row>
    <row r="739" spans="2:2" x14ac:dyDescent="0.25">
      <c r="B739"/>
    </row>
    <row r="740" spans="2:2" x14ac:dyDescent="0.25">
      <c r="B740"/>
    </row>
    <row r="741" spans="2:2" x14ac:dyDescent="0.25">
      <c r="B741"/>
    </row>
    <row r="742" spans="2:2" x14ac:dyDescent="0.25">
      <c r="B742"/>
    </row>
    <row r="743" spans="2:2" x14ac:dyDescent="0.25">
      <c r="B743"/>
    </row>
    <row r="744" spans="2:2" x14ac:dyDescent="0.25">
      <c r="B744"/>
    </row>
    <row r="745" spans="2:2" x14ac:dyDescent="0.25">
      <c r="B745"/>
    </row>
    <row r="746" spans="2:2" x14ac:dyDescent="0.25">
      <c r="B746"/>
    </row>
    <row r="747" spans="2:2" x14ac:dyDescent="0.25">
      <c r="B747"/>
    </row>
    <row r="748" spans="2:2" x14ac:dyDescent="0.25">
      <c r="B748"/>
    </row>
    <row r="749" spans="2:2" x14ac:dyDescent="0.25">
      <c r="B749"/>
    </row>
    <row r="750" spans="2:2" x14ac:dyDescent="0.25">
      <c r="B750"/>
    </row>
    <row r="751" spans="2:2" x14ac:dyDescent="0.25">
      <c r="B751"/>
    </row>
    <row r="752" spans="2:2" x14ac:dyDescent="0.25">
      <c r="B752"/>
    </row>
    <row r="753" spans="2:2" x14ac:dyDescent="0.25">
      <c r="B753"/>
    </row>
    <row r="754" spans="2:2" x14ac:dyDescent="0.25">
      <c r="B754"/>
    </row>
    <row r="755" spans="2:2" x14ac:dyDescent="0.25">
      <c r="B755"/>
    </row>
    <row r="756" spans="2:2" x14ac:dyDescent="0.25">
      <c r="B756"/>
    </row>
    <row r="757" spans="2:2" x14ac:dyDescent="0.25">
      <c r="B757"/>
    </row>
    <row r="758" spans="2:2" x14ac:dyDescent="0.25">
      <c r="B758"/>
    </row>
    <row r="759" spans="2:2" x14ac:dyDescent="0.25">
      <c r="B759"/>
    </row>
    <row r="760" spans="2:2" x14ac:dyDescent="0.25">
      <c r="B760"/>
    </row>
    <row r="761" spans="2:2" x14ac:dyDescent="0.25">
      <c r="B761"/>
    </row>
    <row r="762" spans="2:2" x14ac:dyDescent="0.25">
      <c r="B762"/>
    </row>
    <row r="763" spans="2:2" x14ac:dyDescent="0.25">
      <c r="B763"/>
    </row>
    <row r="764" spans="2:2" x14ac:dyDescent="0.25">
      <c r="B764"/>
    </row>
    <row r="765" spans="2:2" x14ac:dyDescent="0.25">
      <c r="B765"/>
    </row>
    <row r="766" spans="2:2" x14ac:dyDescent="0.25">
      <c r="B766"/>
    </row>
    <row r="767" spans="2:2" x14ac:dyDescent="0.25">
      <c r="B767"/>
    </row>
    <row r="768" spans="2:2" x14ac:dyDescent="0.25">
      <c r="B768"/>
    </row>
    <row r="769" spans="2:2" x14ac:dyDescent="0.25">
      <c r="B769"/>
    </row>
    <row r="770" spans="2:2" x14ac:dyDescent="0.25">
      <c r="B770"/>
    </row>
    <row r="771" spans="2:2" x14ac:dyDescent="0.25">
      <c r="B771"/>
    </row>
    <row r="772" spans="2:2" x14ac:dyDescent="0.25">
      <c r="B772"/>
    </row>
    <row r="773" spans="2:2" x14ac:dyDescent="0.25">
      <c r="B773"/>
    </row>
    <row r="774" spans="2:2" x14ac:dyDescent="0.25">
      <c r="B774"/>
    </row>
    <row r="775" spans="2:2" x14ac:dyDescent="0.25">
      <c r="B775"/>
    </row>
    <row r="776" spans="2:2" x14ac:dyDescent="0.25">
      <c r="B776"/>
    </row>
    <row r="777" spans="2:2" x14ac:dyDescent="0.25">
      <c r="B777"/>
    </row>
    <row r="778" spans="2:2" x14ac:dyDescent="0.25">
      <c r="B778"/>
    </row>
    <row r="779" spans="2:2" x14ac:dyDescent="0.25">
      <c r="B779"/>
    </row>
    <row r="780" spans="2:2" x14ac:dyDescent="0.25">
      <c r="B780"/>
    </row>
    <row r="781" spans="2:2" x14ac:dyDescent="0.25">
      <c r="B781"/>
    </row>
    <row r="782" spans="2:2" x14ac:dyDescent="0.25">
      <c r="B782"/>
    </row>
    <row r="783" spans="2:2" x14ac:dyDescent="0.25">
      <c r="B783"/>
    </row>
    <row r="784" spans="2:2" x14ac:dyDescent="0.25">
      <c r="B784"/>
    </row>
    <row r="785" spans="2:2" x14ac:dyDescent="0.25">
      <c r="B785"/>
    </row>
    <row r="786" spans="2:2" x14ac:dyDescent="0.25">
      <c r="B786"/>
    </row>
    <row r="787" spans="2:2" x14ac:dyDescent="0.25">
      <c r="B787"/>
    </row>
    <row r="788" spans="2:2" x14ac:dyDescent="0.25">
      <c r="B788"/>
    </row>
    <row r="789" spans="2:2" x14ac:dyDescent="0.25">
      <c r="B789"/>
    </row>
    <row r="790" spans="2:2" x14ac:dyDescent="0.25">
      <c r="B790"/>
    </row>
    <row r="791" spans="2:2" x14ac:dyDescent="0.25">
      <c r="B791"/>
    </row>
    <row r="792" spans="2:2" x14ac:dyDescent="0.25">
      <c r="B792"/>
    </row>
    <row r="793" spans="2:2" x14ac:dyDescent="0.25">
      <c r="B793"/>
    </row>
    <row r="794" spans="2:2" x14ac:dyDescent="0.25">
      <c r="B794"/>
    </row>
    <row r="795" spans="2:2" x14ac:dyDescent="0.25">
      <c r="B795"/>
    </row>
    <row r="796" spans="2:2" x14ac:dyDescent="0.25">
      <c r="B796"/>
    </row>
    <row r="797" spans="2:2" x14ac:dyDescent="0.25">
      <c r="B797"/>
    </row>
    <row r="798" spans="2:2" x14ac:dyDescent="0.25">
      <c r="B798"/>
    </row>
    <row r="799" spans="2:2" x14ac:dyDescent="0.25">
      <c r="B799"/>
    </row>
    <row r="800" spans="2:2" x14ac:dyDescent="0.25">
      <c r="B800"/>
    </row>
    <row r="801" spans="2:2" x14ac:dyDescent="0.25">
      <c r="B801"/>
    </row>
    <row r="802" spans="2:2" x14ac:dyDescent="0.25">
      <c r="B802"/>
    </row>
    <row r="803" spans="2:2" x14ac:dyDescent="0.25">
      <c r="B803"/>
    </row>
    <row r="804" spans="2:2" x14ac:dyDescent="0.25">
      <c r="B804"/>
    </row>
    <row r="805" spans="2:2" x14ac:dyDescent="0.25">
      <c r="B805"/>
    </row>
    <row r="806" spans="2:2" x14ac:dyDescent="0.25">
      <c r="B806"/>
    </row>
    <row r="807" spans="2:2" x14ac:dyDescent="0.25">
      <c r="B807"/>
    </row>
    <row r="808" spans="2:2" x14ac:dyDescent="0.25">
      <c r="B808"/>
    </row>
    <row r="809" spans="2:2" x14ac:dyDescent="0.25">
      <c r="B809"/>
    </row>
    <row r="810" spans="2:2" x14ac:dyDescent="0.25">
      <c r="B810"/>
    </row>
    <row r="811" spans="2:2" x14ac:dyDescent="0.25">
      <c r="B811"/>
    </row>
    <row r="812" spans="2:2" x14ac:dyDescent="0.25">
      <c r="B812"/>
    </row>
    <row r="813" spans="2:2" x14ac:dyDescent="0.25">
      <c r="B813"/>
    </row>
    <row r="814" spans="2:2" x14ac:dyDescent="0.25">
      <c r="B814"/>
    </row>
    <row r="815" spans="2:2" x14ac:dyDescent="0.25">
      <c r="B815"/>
    </row>
    <row r="816" spans="2:2" x14ac:dyDescent="0.25">
      <c r="B816"/>
    </row>
    <row r="817" spans="2:2" x14ac:dyDescent="0.25">
      <c r="B817"/>
    </row>
    <row r="818" spans="2:2" x14ac:dyDescent="0.25">
      <c r="B818"/>
    </row>
    <row r="819" spans="2:2" x14ac:dyDescent="0.25">
      <c r="B819"/>
    </row>
    <row r="820" spans="2:2" x14ac:dyDescent="0.25">
      <c r="B820"/>
    </row>
    <row r="821" spans="2:2" x14ac:dyDescent="0.25">
      <c r="B821"/>
    </row>
    <row r="822" spans="2:2" x14ac:dyDescent="0.25">
      <c r="B822"/>
    </row>
    <row r="823" spans="2:2" x14ac:dyDescent="0.25">
      <c r="B823"/>
    </row>
    <row r="824" spans="2:2" x14ac:dyDescent="0.25">
      <c r="B824"/>
    </row>
    <row r="825" spans="2:2" x14ac:dyDescent="0.25">
      <c r="B825"/>
    </row>
    <row r="826" spans="2:2" x14ac:dyDescent="0.25">
      <c r="B826"/>
    </row>
    <row r="827" spans="2:2" x14ac:dyDescent="0.25">
      <c r="B827"/>
    </row>
  </sheetData>
  <autoFilter ref="A96:B157" xr:uid="{F868755A-82E8-46E0-B1B1-F608DDA58B81}"/>
  <sortState xmlns:xlrd2="http://schemas.microsoft.com/office/spreadsheetml/2017/richdata2" ref="A35:B46">
    <sortCondition descending="1" ref="B35:B46"/>
  </sortState>
  <mergeCells count="1">
    <mergeCell ref="A152:G152"/>
  </mergeCells>
  <phoneticPr fontId="6" type="noConversion"/>
  <conditionalFormatting sqref="B3:B14">
    <cfRule type="colorScale" priority="4">
      <colorScale>
        <cfvo type="min"/>
        <cfvo type="percentile" val="50"/>
        <cfvo type="max"/>
        <color rgb="FFF8696B"/>
        <color rgb="FFFFEB84"/>
        <color rgb="FF63BE7B"/>
      </colorScale>
    </cfRule>
  </conditionalFormatting>
  <conditionalFormatting sqref="B19:B30">
    <cfRule type="colorScale" priority="3">
      <colorScale>
        <cfvo type="min"/>
        <cfvo type="percentile" val="50"/>
        <cfvo type="max"/>
        <color rgb="FFF8696B"/>
        <color rgb="FFFFEB84"/>
        <color rgb="FF63BE7B"/>
      </colorScale>
    </cfRule>
  </conditionalFormatting>
  <conditionalFormatting sqref="B59:B70">
    <cfRule type="colorScale" priority="2">
      <colorScale>
        <cfvo type="min"/>
        <cfvo type="percentile" val="50"/>
        <cfvo type="max"/>
        <color rgb="FFF8696B"/>
        <color rgb="FFFFEB84"/>
        <color rgb="FF63BE7B"/>
      </colorScale>
    </cfRule>
  </conditionalFormatting>
  <pageMargins left="0.7" right="0.7" top="0.75" bottom="0.75" header="0.3" footer="0.3"/>
  <pageSetup orientation="portrait" horizontalDpi="1200" verticalDpi="1200" r:id="rId5"/>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52ABF-07A7-46A1-9F7B-210688C3A2DC}">
  <sheetPr>
    <tabColor theme="3" tint="0.59999389629810485"/>
  </sheetPr>
  <dimension ref="A1:K86"/>
  <sheetViews>
    <sheetView zoomScaleNormal="100" workbookViewId="0">
      <pane ySplit="3" topLeftCell="A4" activePane="bottomLeft" state="frozen"/>
      <selection activeCell="A2" sqref="A1:B1048576"/>
      <selection pane="bottomLeft" activeCell="A2" sqref="A1:B1048576"/>
    </sheetView>
  </sheetViews>
  <sheetFormatPr defaultRowHeight="15" x14ac:dyDescent="0.25"/>
  <cols>
    <col min="1" max="10" width="26.7109375" customWidth="1"/>
  </cols>
  <sheetData>
    <row r="1" spans="1:11" ht="15.75" customHeight="1" x14ac:dyDescent="0.25">
      <c r="A1" s="176" t="s">
        <v>399</v>
      </c>
      <c r="B1" s="176"/>
      <c r="C1" s="176"/>
      <c r="D1" s="176"/>
      <c r="E1" s="176"/>
      <c r="F1" s="176"/>
      <c r="G1" s="177"/>
      <c r="H1" s="177"/>
      <c r="I1" s="177"/>
      <c r="J1" s="177"/>
    </row>
    <row r="2" spans="1:11" s="3" customFormat="1" ht="15" customHeight="1" x14ac:dyDescent="0.25">
      <c r="A2" s="99" t="s">
        <v>366</v>
      </c>
      <c r="B2" s="99" t="s">
        <v>394</v>
      </c>
      <c r="C2" s="99" t="s">
        <v>36</v>
      </c>
      <c r="D2" s="99" t="s">
        <v>400</v>
      </c>
      <c r="E2" s="99" t="s">
        <v>401</v>
      </c>
      <c r="F2" s="99" t="s">
        <v>378</v>
      </c>
      <c r="G2" s="99" t="s">
        <v>369</v>
      </c>
      <c r="H2" s="99"/>
      <c r="I2" s="99" t="s">
        <v>379</v>
      </c>
      <c r="J2" s="99" t="s">
        <v>380</v>
      </c>
    </row>
    <row r="3" spans="1:11" ht="15" customHeight="1" x14ac:dyDescent="0.25">
      <c r="A3" s="101">
        <v>6757</v>
      </c>
      <c r="B3" s="102">
        <f>C61</f>
        <v>141897</v>
      </c>
      <c r="C3" s="128">
        <f>AVERAGE(C33:C44)</f>
        <v>563.08333333333337</v>
      </c>
      <c r="D3" s="129">
        <f>D45</f>
        <v>1237</v>
      </c>
      <c r="E3" s="130">
        <f>D61</f>
        <v>25977</v>
      </c>
      <c r="F3" s="102">
        <v>21</v>
      </c>
      <c r="G3" s="102">
        <f>(F3*20)*4</f>
        <v>1680</v>
      </c>
      <c r="H3" s="100"/>
      <c r="I3" s="110" t="s">
        <v>379</v>
      </c>
      <c r="J3" s="110" t="s">
        <v>380</v>
      </c>
    </row>
    <row r="4" spans="1:11" x14ac:dyDescent="0.25">
      <c r="A4" s="178" t="s">
        <v>379</v>
      </c>
      <c r="B4" s="178"/>
      <c r="C4" s="178"/>
      <c r="D4" s="178"/>
      <c r="E4" s="178"/>
      <c r="F4" s="178"/>
      <c r="G4" s="178"/>
      <c r="H4" s="178"/>
      <c r="I4" s="178"/>
      <c r="J4" s="178"/>
    </row>
    <row r="5" spans="1:11" x14ac:dyDescent="0.25">
      <c r="A5" s="178"/>
      <c r="B5" s="178"/>
      <c r="C5" s="178"/>
      <c r="D5" s="178"/>
      <c r="E5" s="178"/>
      <c r="F5" s="178"/>
      <c r="G5" s="178"/>
      <c r="H5" s="178"/>
      <c r="I5" s="178"/>
      <c r="J5" s="178"/>
    </row>
    <row r="13" spans="1:11" x14ac:dyDescent="0.25">
      <c r="H13" s="89"/>
      <c r="J13" s="175"/>
      <c r="K13" s="175"/>
    </row>
    <row r="28" spans="1:10" ht="15" customHeight="1" x14ac:dyDescent="0.25">
      <c r="A28" s="178" t="s">
        <v>381</v>
      </c>
      <c r="B28" s="178"/>
      <c r="C28" s="178"/>
      <c r="D28" s="178"/>
      <c r="E28" s="178"/>
      <c r="F28" s="178"/>
      <c r="G28" s="178"/>
      <c r="H28" s="178"/>
      <c r="I28" s="178"/>
      <c r="J28" s="178"/>
    </row>
    <row r="29" spans="1:10" x14ac:dyDescent="0.25">
      <c r="A29" s="178"/>
      <c r="B29" s="178"/>
      <c r="C29" s="178"/>
      <c r="D29" s="178"/>
      <c r="E29" s="178"/>
      <c r="F29" s="178"/>
      <c r="G29" s="178"/>
      <c r="H29" s="178"/>
      <c r="I29" s="178"/>
      <c r="J29" s="178"/>
    </row>
    <row r="31" spans="1:10" ht="15.75" x14ac:dyDescent="0.25">
      <c r="A31" s="182" t="s">
        <v>395</v>
      </c>
      <c r="B31" s="183"/>
      <c r="C31" s="183"/>
      <c r="D31" s="183"/>
      <c r="E31" s="184"/>
    </row>
    <row r="32" spans="1:10" x14ac:dyDescent="0.25">
      <c r="A32" s="84" t="s">
        <v>388</v>
      </c>
      <c r="B32" s="84" t="s">
        <v>386</v>
      </c>
      <c r="C32" s="84" t="s">
        <v>387</v>
      </c>
      <c r="D32" s="84" t="s">
        <v>397</v>
      </c>
      <c r="E32" s="84" t="s">
        <v>398</v>
      </c>
    </row>
    <row r="33" spans="1:8" x14ac:dyDescent="0.25">
      <c r="A33" s="115" t="s">
        <v>21</v>
      </c>
      <c r="B33" s="51">
        <v>333</v>
      </c>
      <c r="C33" s="51">
        <v>411</v>
      </c>
      <c r="D33" s="126">
        <f>C33-B33</f>
        <v>78</v>
      </c>
      <c r="E33" s="124">
        <f>(C33-B33)/B33</f>
        <v>0.23423423423423423</v>
      </c>
    </row>
    <row r="34" spans="1:8" x14ac:dyDescent="0.25">
      <c r="A34" s="115" t="s">
        <v>24</v>
      </c>
      <c r="B34" s="51">
        <v>392.25</v>
      </c>
      <c r="C34" s="51">
        <v>480.25</v>
      </c>
      <c r="D34" s="126">
        <f t="shared" ref="D34:D45" si="0">C34-B34</f>
        <v>88</v>
      </c>
      <c r="E34" s="124">
        <f t="shared" ref="E34:E45" si="1">(C34-B34)/B34</f>
        <v>0.22434671765455705</v>
      </c>
    </row>
    <row r="35" spans="1:8" x14ac:dyDescent="0.25">
      <c r="A35" s="115" t="s">
        <v>26</v>
      </c>
      <c r="B35" s="51">
        <v>464.5</v>
      </c>
      <c r="C35" s="51">
        <v>558.5</v>
      </c>
      <c r="D35" s="126">
        <f t="shared" si="0"/>
        <v>94</v>
      </c>
      <c r="E35" s="124">
        <f t="shared" si="1"/>
        <v>0.20236813778256191</v>
      </c>
    </row>
    <row r="36" spans="1:8" x14ac:dyDescent="0.25">
      <c r="A36" s="115" t="s">
        <v>28</v>
      </c>
      <c r="B36" s="51">
        <v>337.5</v>
      </c>
      <c r="C36" s="51">
        <v>409.5</v>
      </c>
      <c r="D36" s="126">
        <f t="shared" si="0"/>
        <v>72</v>
      </c>
      <c r="E36" s="124">
        <f t="shared" si="1"/>
        <v>0.21333333333333335</v>
      </c>
    </row>
    <row r="37" spans="1:8" x14ac:dyDescent="0.25">
      <c r="A37" s="115" t="s">
        <v>6</v>
      </c>
      <c r="B37" s="51">
        <v>375</v>
      </c>
      <c r="C37" s="51">
        <v>493</v>
      </c>
      <c r="D37" s="126">
        <f t="shared" si="0"/>
        <v>118</v>
      </c>
      <c r="E37" s="124">
        <f t="shared" si="1"/>
        <v>0.31466666666666665</v>
      </c>
    </row>
    <row r="38" spans="1:8" x14ac:dyDescent="0.25">
      <c r="A38" s="115" t="s">
        <v>31</v>
      </c>
      <c r="B38" s="51">
        <v>600.5</v>
      </c>
      <c r="C38" s="51">
        <v>734.5</v>
      </c>
      <c r="D38" s="126">
        <f t="shared" si="0"/>
        <v>134</v>
      </c>
      <c r="E38" s="124">
        <f t="shared" si="1"/>
        <v>0.22314737718567859</v>
      </c>
    </row>
    <row r="39" spans="1:8" x14ac:dyDescent="0.25">
      <c r="A39" s="115" t="s">
        <v>33</v>
      </c>
      <c r="B39" s="51">
        <v>685.75</v>
      </c>
      <c r="C39" s="51">
        <v>831.75</v>
      </c>
      <c r="D39" s="126">
        <f t="shared" si="0"/>
        <v>146</v>
      </c>
      <c r="E39" s="124">
        <f t="shared" si="1"/>
        <v>0.2129055778344878</v>
      </c>
    </row>
    <row r="40" spans="1:8" x14ac:dyDescent="0.25">
      <c r="A40" s="115" t="s">
        <v>35</v>
      </c>
      <c r="B40" s="51">
        <v>513</v>
      </c>
      <c r="C40" s="51">
        <v>635</v>
      </c>
      <c r="D40" s="126">
        <f t="shared" si="0"/>
        <v>122</v>
      </c>
      <c r="E40" s="124">
        <f t="shared" si="1"/>
        <v>0.23781676413255359</v>
      </c>
    </row>
    <row r="41" spans="1:8" x14ac:dyDescent="0.25">
      <c r="A41" s="115" t="s">
        <v>37</v>
      </c>
      <c r="B41" s="51">
        <v>378</v>
      </c>
      <c r="C41" s="51">
        <v>444</v>
      </c>
      <c r="D41" s="126">
        <f t="shared" si="0"/>
        <v>66</v>
      </c>
      <c r="E41" s="124">
        <f t="shared" si="1"/>
        <v>0.17460317460317459</v>
      </c>
    </row>
    <row r="42" spans="1:8" x14ac:dyDescent="0.25">
      <c r="A42" s="115" t="s">
        <v>39</v>
      </c>
      <c r="B42" s="51">
        <v>571.5</v>
      </c>
      <c r="C42" s="51">
        <v>701.5</v>
      </c>
      <c r="D42" s="126">
        <f t="shared" si="0"/>
        <v>130</v>
      </c>
      <c r="E42" s="124">
        <f t="shared" si="1"/>
        <v>0.22747156605424321</v>
      </c>
    </row>
    <row r="43" spans="1:8" x14ac:dyDescent="0.25">
      <c r="A43" s="115" t="s">
        <v>41</v>
      </c>
      <c r="B43" s="51">
        <v>491.5</v>
      </c>
      <c r="C43" s="51">
        <v>577.5</v>
      </c>
      <c r="D43" s="126">
        <f t="shared" si="0"/>
        <v>86</v>
      </c>
      <c r="E43" s="124">
        <f t="shared" si="1"/>
        <v>0.17497456765005087</v>
      </c>
    </row>
    <row r="44" spans="1:8" x14ac:dyDescent="0.25">
      <c r="A44" s="115" t="s">
        <v>43</v>
      </c>
      <c r="B44" s="51">
        <v>378.5</v>
      </c>
      <c r="C44" s="51">
        <v>480.5</v>
      </c>
      <c r="D44" s="126">
        <f t="shared" si="0"/>
        <v>102</v>
      </c>
      <c r="E44" s="124">
        <f t="shared" si="1"/>
        <v>0.26948480845442535</v>
      </c>
    </row>
    <row r="45" spans="1:8" x14ac:dyDescent="0.25">
      <c r="A45" s="84" t="s">
        <v>14</v>
      </c>
      <c r="B45" s="84">
        <v>5520</v>
      </c>
      <c r="C45" s="84">
        <v>6757</v>
      </c>
      <c r="D45" s="127">
        <f t="shared" si="0"/>
        <v>1237</v>
      </c>
      <c r="E45" s="125">
        <f t="shared" si="1"/>
        <v>0.22409420289855073</v>
      </c>
    </row>
    <row r="46" spans="1:8" x14ac:dyDescent="0.25">
      <c r="H46" s="88"/>
    </row>
    <row r="47" spans="1:8" ht="15.75" x14ac:dyDescent="0.25">
      <c r="A47" s="182" t="s">
        <v>396</v>
      </c>
      <c r="B47" s="183"/>
      <c r="C47" s="183"/>
      <c r="D47" s="183"/>
      <c r="E47" s="184"/>
      <c r="F47" s="72"/>
      <c r="H47" s="88"/>
    </row>
    <row r="48" spans="1:8" x14ac:dyDescent="0.25">
      <c r="A48" s="84" t="s">
        <v>388</v>
      </c>
      <c r="B48" s="84" t="s">
        <v>389</v>
      </c>
      <c r="C48" s="84" t="s">
        <v>390</v>
      </c>
      <c r="D48" s="84" t="s">
        <v>397</v>
      </c>
      <c r="E48" s="84" t="s">
        <v>398</v>
      </c>
      <c r="F48" s="3"/>
      <c r="H48" s="88"/>
    </row>
    <row r="49" spans="1:8" x14ac:dyDescent="0.25">
      <c r="A49" s="115" t="s">
        <v>21</v>
      </c>
      <c r="B49" s="116">
        <f t="shared" ref="B49:C61" si="2">21*B33</f>
        <v>6993</v>
      </c>
      <c r="C49" s="116">
        <f t="shared" si="2"/>
        <v>8631</v>
      </c>
      <c r="D49" s="116">
        <f>C49-B49</f>
        <v>1638</v>
      </c>
      <c r="E49" s="124">
        <f>(C49-B49)/B49</f>
        <v>0.23423423423423423</v>
      </c>
      <c r="H49" s="88"/>
    </row>
    <row r="50" spans="1:8" x14ac:dyDescent="0.25">
      <c r="A50" s="115" t="s">
        <v>24</v>
      </c>
      <c r="B50" s="116">
        <f t="shared" si="2"/>
        <v>8237.25</v>
      </c>
      <c r="C50" s="116">
        <f t="shared" si="2"/>
        <v>10085.25</v>
      </c>
      <c r="D50" s="116">
        <f t="shared" ref="D50:D61" si="3">C50-B50</f>
        <v>1848</v>
      </c>
      <c r="E50" s="124">
        <f t="shared" ref="E50:E61" si="4">(C50-B50)/B50</f>
        <v>0.22434671765455705</v>
      </c>
      <c r="H50" s="88"/>
    </row>
    <row r="51" spans="1:8" x14ac:dyDescent="0.25">
      <c r="A51" s="115" t="s">
        <v>26</v>
      </c>
      <c r="B51" s="116">
        <f t="shared" si="2"/>
        <v>9754.5</v>
      </c>
      <c r="C51" s="116">
        <f t="shared" si="2"/>
        <v>11728.5</v>
      </c>
      <c r="D51" s="116">
        <f t="shared" si="3"/>
        <v>1974</v>
      </c>
      <c r="E51" s="124">
        <f t="shared" si="4"/>
        <v>0.20236813778256191</v>
      </c>
      <c r="H51" s="88"/>
    </row>
    <row r="52" spans="1:8" x14ac:dyDescent="0.25">
      <c r="A52" s="115" t="s">
        <v>28</v>
      </c>
      <c r="B52" s="116">
        <f t="shared" si="2"/>
        <v>7087.5</v>
      </c>
      <c r="C52" s="116">
        <f t="shared" si="2"/>
        <v>8599.5</v>
      </c>
      <c r="D52" s="116">
        <f t="shared" si="3"/>
        <v>1512</v>
      </c>
      <c r="E52" s="124">
        <f t="shared" si="4"/>
        <v>0.21333333333333335</v>
      </c>
      <c r="H52" s="88"/>
    </row>
    <row r="53" spans="1:8" x14ac:dyDescent="0.25">
      <c r="A53" s="115" t="s">
        <v>6</v>
      </c>
      <c r="B53" s="116">
        <f t="shared" si="2"/>
        <v>7875</v>
      </c>
      <c r="C53" s="116">
        <f t="shared" si="2"/>
        <v>10353</v>
      </c>
      <c r="D53" s="116">
        <f t="shared" si="3"/>
        <v>2478</v>
      </c>
      <c r="E53" s="124">
        <f t="shared" si="4"/>
        <v>0.31466666666666665</v>
      </c>
      <c r="H53" s="88"/>
    </row>
    <row r="54" spans="1:8" x14ac:dyDescent="0.25">
      <c r="A54" s="115" t="s">
        <v>31</v>
      </c>
      <c r="B54" s="116">
        <f t="shared" si="2"/>
        <v>12610.5</v>
      </c>
      <c r="C54" s="116">
        <f t="shared" si="2"/>
        <v>15424.5</v>
      </c>
      <c r="D54" s="116">
        <f t="shared" si="3"/>
        <v>2814</v>
      </c>
      <c r="E54" s="124">
        <f t="shared" si="4"/>
        <v>0.22314737718567859</v>
      </c>
      <c r="H54" s="88"/>
    </row>
    <row r="55" spans="1:8" x14ac:dyDescent="0.25">
      <c r="A55" s="115" t="s">
        <v>33</v>
      </c>
      <c r="B55" s="116">
        <f t="shared" si="2"/>
        <v>14400.75</v>
      </c>
      <c r="C55" s="116">
        <f t="shared" si="2"/>
        <v>17466.75</v>
      </c>
      <c r="D55" s="116">
        <f t="shared" si="3"/>
        <v>3066</v>
      </c>
      <c r="E55" s="124">
        <f t="shared" si="4"/>
        <v>0.2129055778344878</v>
      </c>
      <c r="H55" s="88"/>
    </row>
    <row r="56" spans="1:8" x14ac:dyDescent="0.25">
      <c r="A56" s="115" t="s">
        <v>35</v>
      </c>
      <c r="B56" s="116">
        <f t="shared" si="2"/>
        <v>10773</v>
      </c>
      <c r="C56" s="116">
        <f t="shared" si="2"/>
        <v>13335</v>
      </c>
      <c r="D56" s="116">
        <f t="shared" si="3"/>
        <v>2562</v>
      </c>
      <c r="E56" s="124">
        <f t="shared" si="4"/>
        <v>0.23781676413255359</v>
      </c>
      <c r="H56" s="88"/>
    </row>
    <row r="57" spans="1:8" x14ac:dyDescent="0.25">
      <c r="A57" s="115" t="s">
        <v>37</v>
      </c>
      <c r="B57" s="116">
        <f t="shared" si="2"/>
        <v>7938</v>
      </c>
      <c r="C57" s="116">
        <f t="shared" si="2"/>
        <v>9324</v>
      </c>
      <c r="D57" s="116">
        <f t="shared" si="3"/>
        <v>1386</v>
      </c>
      <c r="E57" s="124">
        <f t="shared" si="4"/>
        <v>0.17460317460317459</v>
      </c>
      <c r="H57" s="88"/>
    </row>
    <row r="58" spans="1:8" x14ac:dyDescent="0.25">
      <c r="A58" s="115" t="s">
        <v>39</v>
      </c>
      <c r="B58" s="116">
        <f t="shared" si="2"/>
        <v>12001.5</v>
      </c>
      <c r="C58" s="116">
        <f t="shared" si="2"/>
        <v>14731.5</v>
      </c>
      <c r="D58" s="116">
        <f t="shared" si="3"/>
        <v>2730</v>
      </c>
      <c r="E58" s="124">
        <f t="shared" si="4"/>
        <v>0.22747156605424321</v>
      </c>
      <c r="H58" s="88"/>
    </row>
    <row r="59" spans="1:8" x14ac:dyDescent="0.25">
      <c r="A59" s="115" t="s">
        <v>41</v>
      </c>
      <c r="B59" s="116">
        <f t="shared" si="2"/>
        <v>10321.5</v>
      </c>
      <c r="C59" s="116">
        <f t="shared" si="2"/>
        <v>12127.5</v>
      </c>
      <c r="D59" s="116">
        <f t="shared" si="3"/>
        <v>1806</v>
      </c>
      <c r="E59" s="124">
        <f t="shared" si="4"/>
        <v>0.17497456765005087</v>
      </c>
      <c r="H59" s="88"/>
    </row>
    <row r="60" spans="1:8" x14ac:dyDescent="0.25">
      <c r="A60" s="115" t="s">
        <v>43</v>
      </c>
      <c r="B60" s="116">
        <f t="shared" si="2"/>
        <v>7948.5</v>
      </c>
      <c r="C60" s="116">
        <f t="shared" si="2"/>
        <v>10090.5</v>
      </c>
      <c r="D60" s="116">
        <f t="shared" si="3"/>
        <v>2142</v>
      </c>
      <c r="E60" s="124">
        <f t="shared" si="4"/>
        <v>0.26948480845442535</v>
      </c>
      <c r="H60" s="88"/>
    </row>
    <row r="61" spans="1:8" x14ac:dyDescent="0.25">
      <c r="A61" s="84" t="s">
        <v>14</v>
      </c>
      <c r="B61" s="120">
        <f t="shared" si="2"/>
        <v>115920</v>
      </c>
      <c r="C61" s="120">
        <f t="shared" si="2"/>
        <v>141897</v>
      </c>
      <c r="D61" s="120">
        <f t="shared" si="3"/>
        <v>25977</v>
      </c>
      <c r="E61" s="125">
        <f t="shared" si="4"/>
        <v>0.22409420289855073</v>
      </c>
      <c r="H61" s="88"/>
    </row>
    <row r="62" spans="1:8" x14ac:dyDescent="0.25">
      <c r="H62" s="88"/>
    </row>
    <row r="63" spans="1:8" x14ac:dyDescent="0.25">
      <c r="H63" s="88"/>
    </row>
    <row r="64" spans="1:8" x14ac:dyDescent="0.25">
      <c r="H64" s="88"/>
    </row>
    <row r="65" spans="8:9" x14ac:dyDescent="0.25">
      <c r="H65" s="88"/>
    </row>
    <row r="66" spans="8:9" x14ac:dyDescent="0.25">
      <c r="H66" s="88"/>
    </row>
    <row r="67" spans="8:9" x14ac:dyDescent="0.25">
      <c r="H67" s="3"/>
      <c r="I67" s="123"/>
    </row>
    <row r="86" spans="1:1" x14ac:dyDescent="0.25">
      <c r="A86" s="111" t="s">
        <v>78</v>
      </c>
    </row>
  </sheetData>
  <mergeCells count="6">
    <mergeCell ref="A47:E47"/>
    <mergeCell ref="A1:J1"/>
    <mergeCell ref="A4:J5"/>
    <mergeCell ref="J13:K13"/>
    <mergeCell ref="A28:J29"/>
    <mergeCell ref="A31:E31"/>
  </mergeCells>
  <conditionalFormatting sqref="B33:B44">
    <cfRule type="colorScale" priority="2">
      <colorScale>
        <cfvo type="min"/>
        <cfvo type="percentile" val="50"/>
        <cfvo type="max"/>
        <color rgb="FFF8696B"/>
        <color rgb="FFFFEB84"/>
        <color rgb="FF63BE7B"/>
      </colorScale>
    </cfRule>
  </conditionalFormatting>
  <conditionalFormatting sqref="B49:B60">
    <cfRule type="colorScale" priority="1">
      <colorScale>
        <cfvo type="min"/>
        <cfvo type="percentile" val="50"/>
        <cfvo type="max"/>
        <color rgb="FFF8696B"/>
        <color rgb="FFFFEB84"/>
        <color rgb="FF63BE7B"/>
      </colorScale>
    </cfRule>
  </conditionalFormatting>
  <conditionalFormatting sqref="I46:I66">
    <cfRule type="aboveAverage" dxfId="5" priority="20"/>
    <cfRule type="aboveAverage" dxfId="4" priority="21" aboveAverage="0"/>
  </conditionalFormatting>
  <hyperlinks>
    <hyperlink ref="I3" location="'2025 Projected'!A4" display="Charts" xr:uid="{7D73268D-3C7C-42E5-AC44-CBD3B8C59610}"/>
    <hyperlink ref="J3" location="'2025 Projected'!G60" display="Tables" xr:uid="{BC933FF5-DE1B-45AD-A8F4-B36FC93FF363}"/>
  </hyperlinks>
  <pageMargins left="0.7" right="0.7" top="0.75" bottom="0.75" header="0.3" footer="0.3"/>
  <pageSetup orientation="portrait" r:id="rId1"/>
  <ignoredErrors>
    <ignoredError sqref="C3" formulaRange="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CAD9C-5014-424B-89B3-5516E1640BB6}">
  <sheetPr>
    <tabColor rgb="FF00B050"/>
  </sheetPr>
  <dimension ref="A1:M997"/>
  <sheetViews>
    <sheetView zoomScale="85" zoomScaleNormal="85" workbookViewId="0">
      <selection activeCell="A2" sqref="A1:B1048576"/>
    </sheetView>
  </sheetViews>
  <sheetFormatPr defaultRowHeight="15" x14ac:dyDescent="0.25"/>
  <cols>
    <col min="1" max="1" width="30.7109375" style="133" bestFit="1" customWidth="1"/>
    <col min="2" max="2" width="69.85546875" style="51" customWidth="1"/>
    <col min="3" max="4" width="15.85546875" style="51" customWidth="1"/>
    <col min="5" max="5" width="14.140625" style="51" bestFit="1" customWidth="1"/>
    <col min="6" max="6" width="25" style="51" bestFit="1" customWidth="1"/>
    <col min="7" max="7" width="19.28515625" style="51" bestFit="1" customWidth="1"/>
    <col min="8" max="8" width="20.28515625" style="51" bestFit="1" customWidth="1"/>
    <col min="9" max="9" width="29" style="51" customWidth="1"/>
    <col min="10" max="10" width="33" style="51" bestFit="1" customWidth="1"/>
    <col min="11" max="11" width="20.140625" style="51" bestFit="1" customWidth="1"/>
    <col min="12" max="12" width="11.42578125" style="51" bestFit="1" customWidth="1"/>
    <col min="13" max="13" width="25.85546875" style="51" bestFit="1" customWidth="1"/>
  </cols>
  <sheetData>
    <row r="1" spans="1:13" x14ac:dyDescent="0.25">
      <c r="A1" s="131" t="s">
        <v>83</v>
      </c>
      <c r="B1" s="56" t="s">
        <v>408</v>
      </c>
      <c r="C1" s="132" t="s">
        <v>85</v>
      </c>
      <c r="D1" s="132" t="s">
        <v>86</v>
      </c>
      <c r="E1" s="56" t="s">
        <v>16</v>
      </c>
      <c r="F1" s="56" t="s">
        <v>87</v>
      </c>
      <c r="G1" s="56" t="s">
        <v>25</v>
      </c>
      <c r="H1" s="56" t="s">
        <v>376</v>
      </c>
      <c r="I1" s="56" t="s">
        <v>377</v>
      </c>
      <c r="J1" s="56" t="s">
        <v>404</v>
      </c>
      <c r="K1" s="56" t="s">
        <v>405</v>
      </c>
      <c r="L1" s="56" t="s">
        <v>406</v>
      </c>
      <c r="M1" s="56" t="s">
        <v>407</v>
      </c>
    </row>
    <row r="2" spans="1:13" x14ac:dyDescent="0.25">
      <c r="A2" s="133">
        <v>45293</v>
      </c>
      <c r="B2" s="51" t="s">
        <v>56</v>
      </c>
      <c r="C2" s="134">
        <v>0.32291666666666669</v>
      </c>
      <c r="D2" s="134">
        <v>0.58333333333333337</v>
      </c>
      <c r="E2" s="53">
        <f>MOD((D2-C2),1) *24 - F2</f>
        <v>5.75</v>
      </c>
      <c r="F2" s="51">
        <v>0.5</v>
      </c>
      <c r="G2" s="55">
        <f>SUM(E:E)</f>
        <v>5521</v>
      </c>
      <c r="H2" s="53"/>
      <c r="I2" s="55">
        <f>SUM(H:H)</f>
        <v>4182</v>
      </c>
      <c r="J2" s="53">
        <f>IF(WEEKDAY(A2, 2)&lt;6, E2-2, E2)</f>
        <v>3.75</v>
      </c>
      <c r="K2" s="51">
        <f>SUM(J:J)</f>
        <v>1291</v>
      </c>
      <c r="L2" s="55">
        <f>SUM(I2,K2)</f>
        <v>5473</v>
      </c>
      <c r="M2" s="51">
        <f>IF(H2&lt;&gt;"",H2,J2)</f>
        <v>3.75</v>
      </c>
    </row>
    <row r="3" spans="1:13" x14ac:dyDescent="0.25">
      <c r="A3" s="133">
        <v>45294</v>
      </c>
      <c r="B3" s="51" t="s">
        <v>56</v>
      </c>
      <c r="C3" s="134">
        <v>0.32291666666666669</v>
      </c>
      <c r="D3" s="134">
        <v>0.58333333333333337</v>
      </c>
      <c r="E3" s="53">
        <f t="shared" ref="E3:E66" si="0">MOD((D3-C3),1) *24 - F3</f>
        <v>5.75</v>
      </c>
      <c r="F3" s="51">
        <v>0.5</v>
      </c>
      <c r="H3" s="53"/>
      <c r="J3" s="53">
        <f t="shared" ref="J3:J6" si="1">IF(WEEKDAY(A3, 2)&lt;6, E3-2, E3)</f>
        <v>3.75</v>
      </c>
      <c r="M3" s="51">
        <f t="shared" ref="M3:M66" si="2">IF(H3&lt;&gt;"",H3,J3)</f>
        <v>3.75</v>
      </c>
    </row>
    <row r="4" spans="1:13" x14ac:dyDescent="0.25">
      <c r="A4" s="133">
        <v>45294</v>
      </c>
      <c r="B4" s="51" t="s">
        <v>56</v>
      </c>
      <c r="C4" s="134">
        <v>0.70833333333333337</v>
      </c>
      <c r="D4" s="134">
        <v>0.89583333333333337</v>
      </c>
      <c r="E4" s="53">
        <f t="shared" si="0"/>
        <v>4.5</v>
      </c>
      <c r="H4" s="53"/>
      <c r="J4" s="53">
        <f t="shared" si="1"/>
        <v>2.5</v>
      </c>
      <c r="M4" s="51">
        <f t="shared" si="2"/>
        <v>2.5</v>
      </c>
    </row>
    <row r="5" spans="1:13" x14ac:dyDescent="0.25">
      <c r="A5" s="133">
        <v>45295</v>
      </c>
      <c r="B5" s="51" t="s">
        <v>56</v>
      </c>
      <c r="C5" s="134">
        <v>0.32291666666666669</v>
      </c>
      <c r="D5" s="134">
        <v>0.58333333333333337</v>
      </c>
      <c r="E5" s="53">
        <f t="shared" si="0"/>
        <v>5.75</v>
      </c>
      <c r="F5" s="51">
        <v>0.5</v>
      </c>
      <c r="H5" s="53"/>
      <c r="J5" s="53">
        <f t="shared" si="1"/>
        <v>3.75</v>
      </c>
      <c r="M5" s="51">
        <f t="shared" si="2"/>
        <v>3.75</v>
      </c>
    </row>
    <row r="6" spans="1:13" x14ac:dyDescent="0.25">
      <c r="A6" s="133">
        <v>45296</v>
      </c>
      <c r="B6" s="51" t="s">
        <v>56</v>
      </c>
      <c r="C6" s="134">
        <v>0.32291666666666669</v>
      </c>
      <c r="D6" s="134">
        <v>0.58333333333333337</v>
      </c>
      <c r="E6" s="53">
        <f t="shared" si="0"/>
        <v>5.75</v>
      </c>
      <c r="F6" s="51">
        <v>0.5</v>
      </c>
      <c r="H6" s="53"/>
      <c r="J6" s="53">
        <f t="shared" si="1"/>
        <v>3.75</v>
      </c>
      <c r="M6" s="51">
        <f t="shared" si="2"/>
        <v>3.75</v>
      </c>
    </row>
    <row r="7" spans="1:13" x14ac:dyDescent="0.25">
      <c r="A7" s="133">
        <v>45297</v>
      </c>
      <c r="B7" s="51" t="s">
        <v>49</v>
      </c>
      <c r="C7" s="134">
        <v>0.33333333333333331</v>
      </c>
      <c r="D7" s="134">
        <v>0.45833333333333331</v>
      </c>
      <c r="E7" s="53">
        <f t="shared" si="0"/>
        <v>3</v>
      </c>
      <c r="H7" s="53">
        <f t="shared" ref="H7:H66" si="3">IF(WEEKDAY(A7, 2)&lt;6, E7+2, E7)</f>
        <v>3</v>
      </c>
      <c r="M7" s="51">
        <f t="shared" si="2"/>
        <v>3</v>
      </c>
    </row>
    <row r="8" spans="1:13" x14ac:dyDescent="0.25">
      <c r="A8" s="133">
        <v>45297</v>
      </c>
      <c r="B8" s="51" t="s">
        <v>56</v>
      </c>
      <c r="C8" s="134">
        <v>0.33333333333333331</v>
      </c>
      <c r="D8" s="134">
        <v>0.5</v>
      </c>
      <c r="E8" s="53">
        <f t="shared" si="0"/>
        <v>4</v>
      </c>
      <c r="H8" s="53"/>
      <c r="J8" s="53">
        <f>IF(WEEKDAY(A8, 2)&lt;6, E8-2, E8)</f>
        <v>4</v>
      </c>
      <c r="M8" s="51">
        <f t="shared" si="2"/>
        <v>4</v>
      </c>
    </row>
    <row r="9" spans="1:13" x14ac:dyDescent="0.25">
      <c r="A9" s="133">
        <v>45297</v>
      </c>
      <c r="B9" s="51" t="s">
        <v>53</v>
      </c>
      <c r="C9" s="134">
        <v>0.58333333333333337</v>
      </c>
      <c r="D9" s="134">
        <v>2.0833333333333332E-2</v>
      </c>
      <c r="E9" s="53">
        <f t="shared" si="0"/>
        <v>9.5</v>
      </c>
      <c r="F9" s="51">
        <v>1</v>
      </c>
      <c r="H9" s="53">
        <f t="shared" si="3"/>
        <v>9.5</v>
      </c>
      <c r="M9" s="51">
        <f t="shared" si="2"/>
        <v>9.5</v>
      </c>
    </row>
    <row r="10" spans="1:13" x14ac:dyDescent="0.25">
      <c r="A10" s="133">
        <v>45297</v>
      </c>
      <c r="B10" s="51" t="s">
        <v>58</v>
      </c>
      <c r="C10" s="134">
        <v>0.58333333333333337</v>
      </c>
      <c r="D10" s="134">
        <v>0.91666666666666663</v>
      </c>
      <c r="E10" s="53">
        <f t="shared" si="0"/>
        <v>7.4999999999999982</v>
      </c>
      <c r="F10" s="51">
        <v>0.5</v>
      </c>
      <c r="H10" s="53">
        <f t="shared" si="3"/>
        <v>7.4999999999999982</v>
      </c>
      <c r="M10" s="51">
        <f t="shared" si="2"/>
        <v>7.4999999999999982</v>
      </c>
    </row>
    <row r="11" spans="1:13" x14ac:dyDescent="0.25">
      <c r="A11" s="133">
        <v>45298</v>
      </c>
      <c r="B11" s="51" t="s">
        <v>58</v>
      </c>
      <c r="C11" s="134">
        <v>0.41666666666666669</v>
      </c>
      <c r="D11" s="134">
        <v>0.70833333333333337</v>
      </c>
      <c r="E11" s="53">
        <f t="shared" si="0"/>
        <v>6.5</v>
      </c>
      <c r="F11" s="51">
        <v>0.5</v>
      </c>
      <c r="H11" s="53">
        <f t="shared" si="3"/>
        <v>6.5</v>
      </c>
      <c r="M11" s="51">
        <f t="shared" si="2"/>
        <v>6.5</v>
      </c>
    </row>
    <row r="12" spans="1:13" x14ac:dyDescent="0.25">
      <c r="A12" s="133">
        <v>45299</v>
      </c>
      <c r="B12" s="51" t="s">
        <v>56</v>
      </c>
      <c r="C12" s="134">
        <v>0.32291666666666669</v>
      </c>
      <c r="D12" s="134">
        <v>0.58333333333333337</v>
      </c>
      <c r="E12" s="53">
        <f t="shared" si="0"/>
        <v>5.75</v>
      </c>
      <c r="F12" s="51">
        <v>0.5</v>
      </c>
      <c r="H12" s="53"/>
      <c r="J12" s="53">
        <f t="shared" ref="J12:J18" si="4">IF(WEEKDAY(A12, 2)&lt;6, E12-2, E12)</f>
        <v>3.75</v>
      </c>
      <c r="M12" s="51">
        <f t="shared" si="2"/>
        <v>3.75</v>
      </c>
    </row>
    <row r="13" spans="1:13" x14ac:dyDescent="0.25">
      <c r="A13" s="133">
        <v>45300</v>
      </c>
      <c r="B13" s="51" t="s">
        <v>56</v>
      </c>
      <c r="C13" s="134">
        <v>0.32291666666666669</v>
      </c>
      <c r="D13" s="134">
        <v>0.58333333333333337</v>
      </c>
      <c r="E13" s="53">
        <f t="shared" si="0"/>
        <v>5.75</v>
      </c>
      <c r="F13" s="51">
        <v>0.5</v>
      </c>
      <c r="H13" s="53"/>
      <c r="J13" s="53">
        <f t="shared" si="4"/>
        <v>3.75</v>
      </c>
      <c r="M13" s="51">
        <f t="shared" si="2"/>
        <v>3.75</v>
      </c>
    </row>
    <row r="14" spans="1:13" x14ac:dyDescent="0.25">
      <c r="A14" s="133">
        <v>45301</v>
      </c>
      <c r="B14" s="51" t="s">
        <v>56</v>
      </c>
      <c r="C14" s="134">
        <v>0.32291666666666669</v>
      </c>
      <c r="D14" s="134">
        <v>0.58333333333333337</v>
      </c>
      <c r="E14" s="53">
        <f t="shared" si="0"/>
        <v>5.75</v>
      </c>
      <c r="F14" s="51">
        <v>0.5</v>
      </c>
      <c r="H14" s="53"/>
      <c r="J14" s="53">
        <f t="shared" si="4"/>
        <v>3.75</v>
      </c>
      <c r="M14" s="51">
        <f t="shared" si="2"/>
        <v>3.75</v>
      </c>
    </row>
    <row r="15" spans="1:13" x14ac:dyDescent="0.25">
      <c r="A15" s="133">
        <v>45301</v>
      </c>
      <c r="B15" s="51" t="s">
        <v>56</v>
      </c>
      <c r="C15" s="134">
        <v>0.70833333333333337</v>
      </c>
      <c r="D15" s="134">
        <v>0.89583333333333337</v>
      </c>
      <c r="E15" s="53">
        <f t="shared" si="0"/>
        <v>4.5</v>
      </c>
      <c r="H15" s="53"/>
      <c r="J15" s="53">
        <f t="shared" si="4"/>
        <v>2.5</v>
      </c>
      <c r="M15" s="51">
        <f t="shared" si="2"/>
        <v>2.5</v>
      </c>
    </row>
    <row r="16" spans="1:13" x14ac:dyDescent="0.25">
      <c r="A16" s="133">
        <v>45302</v>
      </c>
      <c r="B16" s="51" t="s">
        <v>56</v>
      </c>
      <c r="C16" s="134">
        <v>0.32291666666666669</v>
      </c>
      <c r="D16" s="134">
        <v>0.58333333333333337</v>
      </c>
      <c r="E16" s="53">
        <f t="shared" si="0"/>
        <v>5.75</v>
      </c>
      <c r="F16" s="51">
        <v>0.5</v>
      </c>
      <c r="H16" s="53"/>
      <c r="J16" s="53">
        <f t="shared" si="4"/>
        <v>3.75</v>
      </c>
      <c r="M16" s="51">
        <f t="shared" si="2"/>
        <v>3.75</v>
      </c>
    </row>
    <row r="17" spans="1:13" x14ac:dyDescent="0.25">
      <c r="A17" s="133">
        <v>45302</v>
      </c>
      <c r="B17" s="51" t="s">
        <v>56</v>
      </c>
      <c r="C17" s="134">
        <v>0.75</v>
      </c>
      <c r="D17" s="134">
        <v>0.95833333333333337</v>
      </c>
      <c r="E17" s="53">
        <f t="shared" si="0"/>
        <v>5.0000000000000009</v>
      </c>
      <c r="H17" s="53"/>
      <c r="J17" s="53">
        <f t="shared" si="4"/>
        <v>3.0000000000000009</v>
      </c>
      <c r="M17" s="51">
        <f t="shared" si="2"/>
        <v>3.0000000000000009</v>
      </c>
    </row>
    <row r="18" spans="1:13" x14ac:dyDescent="0.25">
      <c r="A18" s="133">
        <v>45303</v>
      </c>
      <c r="B18" s="51" t="s">
        <v>56</v>
      </c>
      <c r="C18" s="134">
        <v>0.32291666666666669</v>
      </c>
      <c r="D18" s="134">
        <v>0.58333333333333337</v>
      </c>
      <c r="E18" s="53">
        <f t="shared" si="0"/>
        <v>5.75</v>
      </c>
      <c r="F18" s="51">
        <v>0.5</v>
      </c>
      <c r="H18" s="53"/>
      <c r="J18" s="53">
        <f t="shared" si="4"/>
        <v>3.75</v>
      </c>
      <c r="M18" s="51">
        <f t="shared" si="2"/>
        <v>3.75</v>
      </c>
    </row>
    <row r="19" spans="1:13" x14ac:dyDescent="0.25">
      <c r="A19" s="133">
        <v>45303</v>
      </c>
      <c r="B19" s="51" t="s">
        <v>51</v>
      </c>
      <c r="C19" s="134">
        <v>0.58333333333333337</v>
      </c>
      <c r="D19" s="134">
        <v>0</v>
      </c>
      <c r="E19" s="53">
        <f t="shared" si="0"/>
        <v>9</v>
      </c>
      <c r="F19" s="51">
        <v>1</v>
      </c>
      <c r="H19" s="53">
        <f t="shared" si="3"/>
        <v>11</v>
      </c>
      <c r="M19" s="51">
        <f t="shared" si="2"/>
        <v>11</v>
      </c>
    </row>
    <row r="20" spans="1:13" x14ac:dyDescent="0.25">
      <c r="A20" s="133">
        <v>45304</v>
      </c>
      <c r="B20" s="51" t="s">
        <v>56</v>
      </c>
      <c r="C20" s="134">
        <v>0.33333333333333331</v>
      </c>
      <c r="D20" s="134">
        <v>0.5</v>
      </c>
      <c r="E20" s="53">
        <f t="shared" si="0"/>
        <v>4</v>
      </c>
      <c r="H20" s="53"/>
      <c r="J20" s="53">
        <f>IF(WEEKDAY(A20, 2)&lt;6, E20-2, E20)</f>
        <v>4</v>
      </c>
      <c r="M20" s="51">
        <f t="shared" si="2"/>
        <v>4</v>
      </c>
    </row>
    <row r="21" spans="1:13" x14ac:dyDescent="0.25">
      <c r="A21" s="133">
        <v>45304</v>
      </c>
      <c r="B21" s="51" t="s">
        <v>53</v>
      </c>
      <c r="C21" s="134">
        <v>0.39583333333333331</v>
      </c>
      <c r="D21" s="134">
        <v>0.72916666666666663</v>
      </c>
      <c r="E21" s="53">
        <f t="shared" si="0"/>
        <v>7.5</v>
      </c>
      <c r="F21" s="51">
        <v>0.5</v>
      </c>
      <c r="H21" s="53">
        <f t="shared" si="3"/>
        <v>7.5</v>
      </c>
      <c r="M21" s="51">
        <f t="shared" si="2"/>
        <v>7.5</v>
      </c>
    </row>
    <row r="22" spans="1:13" x14ac:dyDescent="0.25">
      <c r="A22" s="133">
        <v>45304</v>
      </c>
      <c r="B22" s="51" t="s">
        <v>48</v>
      </c>
      <c r="C22" s="134">
        <v>0.45833333333333331</v>
      </c>
      <c r="D22" s="134">
        <v>0.91666666666666663</v>
      </c>
      <c r="E22" s="53">
        <f t="shared" si="0"/>
        <v>10</v>
      </c>
      <c r="F22" s="51">
        <v>1</v>
      </c>
      <c r="H22" s="53">
        <f t="shared" si="3"/>
        <v>10</v>
      </c>
      <c r="M22" s="51">
        <f t="shared" si="2"/>
        <v>10</v>
      </c>
    </row>
    <row r="23" spans="1:13" x14ac:dyDescent="0.25">
      <c r="A23" s="133">
        <v>45304</v>
      </c>
      <c r="B23" s="51" t="s">
        <v>58</v>
      </c>
      <c r="C23" s="134">
        <v>0.52083333333333337</v>
      </c>
      <c r="D23" s="134">
        <v>0.79166666666666663</v>
      </c>
      <c r="E23" s="53">
        <f t="shared" si="0"/>
        <v>5.9999999999999982</v>
      </c>
      <c r="F23" s="51">
        <v>0.5</v>
      </c>
      <c r="H23" s="53">
        <f t="shared" si="3"/>
        <v>5.9999999999999982</v>
      </c>
      <c r="M23" s="51">
        <f t="shared" si="2"/>
        <v>5.9999999999999982</v>
      </c>
    </row>
    <row r="24" spans="1:13" x14ac:dyDescent="0.25">
      <c r="A24" s="133">
        <v>45305</v>
      </c>
      <c r="B24" s="51" t="s">
        <v>58</v>
      </c>
      <c r="C24" s="134">
        <v>0.33333333333333331</v>
      </c>
      <c r="D24" s="134">
        <v>0.66666666666666663</v>
      </c>
      <c r="E24" s="53">
        <f t="shared" si="0"/>
        <v>7.5</v>
      </c>
      <c r="F24" s="51">
        <v>0.5</v>
      </c>
      <c r="H24" s="53">
        <f t="shared" si="3"/>
        <v>7.5</v>
      </c>
      <c r="M24" s="51">
        <f t="shared" si="2"/>
        <v>7.5</v>
      </c>
    </row>
    <row r="25" spans="1:13" x14ac:dyDescent="0.25">
      <c r="A25" s="133">
        <v>45305</v>
      </c>
      <c r="B25" s="51" t="s">
        <v>53</v>
      </c>
      <c r="C25" s="134">
        <v>0.45833333333333331</v>
      </c>
      <c r="D25" s="134">
        <v>0.75</v>
      </c>
      <c r="E25" s="53">
        <f t="shared" si="0"/>
        <v>6.5</v>
      </c>
      <c r="F25" s="51">
        <v>0.5</v>
      </c>
      <c r="H25" s="53">
        <f t="shared" si="3"/>
        <v>6.5</v>
      </c>
      <c r="M25" s="51">
        <f t="shared" si="2"/>
        <v>6.5</v>
      </c>
    </row>
    <row r="26" spans="1:13" x14ac:dyDescent="0.25">
      <c r="A26" s="133">
        <v>45307</v>
      </c>
      <c r="B26" s="51" t="s">
        <v>56</v>
      </c>
      <c r="C26" s="134">
        <v>0.32291666666666669</v>
      </c>
      <c r="D26" s="134">
        <v>0.58333333333333337</v>
      </c>
      <c r="E26" s="53">
        <f t="shared" si="0"/>
        <v>5.75</v>
      </c>
      <c r="F26" s="51">
        <v>0.5</v>
      </c>
      <c r="H26" s="53"/>
      <c r="J26" s="53">
        <f t="shared" ref="J26:J27" si="5">IF(WEEKDAY(A26, 2)&lt;6, E26-2, E26)</f>
        <v>3.75</v>
      </c>
      <c r="M26" s="51">
        <f t="shared" si="2"/>
        <v>3.75</v>
      </c>
    </row>
    <row r="27" spans="1:13" x14ac:dyDescent="0.25">
      <c r="A27" s="133">
        <v>45308</v>
      </c>
      <c r="B27" s="51" t="s">
        <v>56</v>
      </c>
      <c r="C27" s="134">
        <v>0.32291666666666669</v>
      </c>
      <c r="D27" s="134">
        <v>0.58333333333333337</v>
      </c>
      <c r="E27" s="53">
        <f t="shared" si="0"/>
        <v>5.75</v>
      </c>
      <c r="F27" s="51">
        <v>0.5</v>
      </c>
      <c r="H27" s="53"/>
      <c r="J27" s="53">
        <f t="shared" si="5"/>
        <v>3.75</v>
      </c>
      <c r="M27" s="51">
        <f t="shared" si="2"/>
        <v>3.75</v>
      </c>
    </row>
    <row r="28" spans="1:13" x14ac:dyDescent="0.25">
      <c r="A28" s="133">
        <v>45308</v>
      </c>
      <c r="B28" s="51" t="s">
        <v>58</v>
      </c>
      <c r="C28" s="134">
        <v>0.66666666666666663</v>
      </c>
      <c r="D28" s="134">
        <v>0.89583333333333337</v>
      </c>
      <c r="E28" s="53">
        <f t="shared" si="0"/>
        <v>5.5000000000000018</v>
      </c>
      <c r="H28" s="53">
        <f t="shared" si="3"/>
        <v>7.5000000000000018</v>
      </c>
      <c r="M28" s="51">
        <f t="shared" si="2"/>
        <v>7.5000000000000018</v>
      </c>
    </row>
    <row r="29" spans="1:13" x14ac:dyDescent="0.25">
      <c r="A29" s="133">
        <v>45308</v>
      </c>
      <c r="B29" s="51" t="s">
        <v>53</v>
      </c>
      <c r="C29" s="134">
        <v>0.70833333333333337</v>
      </c>
      <c r="D29" s="134">
        <v>0.875</v>
      </c>
      <c r="E29" s="53">
        <f t="shared" si="0"/>
        <v>3.9999999999999991</v>
      </c>
      <c r="H29" s="53">
        <f t="shared" si="3"/>
        <v>5.9999999999999991</v>
      </c>
      <c r="M29" s="51">
        <f t="shared" si="2"/>
        <v>5.9999999999999991</v>
      </c>
    </row>
    <row r="30" spans="1:13" x14ac:dyDescent="0.25">
      <c r="A30" s="133">
        <v>45309</v>
      </c>
      <c r="B30" s="51" t="s">
        <v>56</v>
      </c>
      <c r="C30" s="134">
        <v>0.32291666666666669</v>
      </c>
      <c r="D30" s="134">
        <v>0.58333333333333337</v>
      </c>
      <c r="E30" s="53">
        <f t="shared" si="0"/>
        <v>5.75</v>
      </c>
      <c r="F30" s="51">
        <v>0.5</v>
      </c>
      <c r="H30" s="53"/>
      <c r="J30" s="53">
        <f t="shared" ref="J30:J33" si="6">IF(WEEKDAY(A30, 2)&lt;6, E30-2, E30)</f>
        <v>3.75</v>
      </c>
      <c r="M30" s="51">
        <f t="shared" si="2"/>
        <v>3.75</v>
      </c>
    </row>
    <row r="31" spans="1:13" x14ac:dyDescent="0.25">
      <c r="A31" s="133">
        <v>45309</v>
      </c>
      <c r="B31" s="51" t="s">
        <v>56</v>
      </c>
      <c r="C31" s="134">
        <v>0.75</v>
      </c>
      <c r="D31" s="134">
        <v>0.9375</v>
      </c>
      <c r="E31" s="53">
        <f t="shared" si="0"/>
        <v>4.5</v>
      </c>
      <c r="H31" s="53"/>
      <c r="J31" s="53">
        <f t="shared" si="6"/>
        <v>2.5</v>
      </c>
      <c r="M31" s="51">
        <f t="shared" si="2"/>
        <v>2.5</v>
      </c>
    </row>
    <row r="32" spans="1:13" x14ac:dyDescent="0.25">
      <c r="A32" s="133">
        <v>45310</v>
      </c>
      <c r="B32" s="51" t="s">
        <v>56</v>
      </c>
      <c r="C32" s="134">
        <v>0.32291666666666669</v>
      </c>
      <c r="D32" s="134">
        <v>0.58333333333333337</v>
      </c>
      <c r="E32" s="53">
        <f t="shared" si="0"/>
        <v>5.75</v>
      </c>
      <c r="F32" s="51">
        <v>0.5</v>
      </c>
      <c r="H32" s="53"/>
      <c r="J32" s="53">
        <f t="shared" si="6"/>
        <v>3.75</v>
      </c>
      <c r="M32" s="51">
        <f t="shared" si="2"/>
        <v>3.75</v>
      </c>
    </row>
    <row r="33" spans="1:13" x14ac:dyDescent="0.25">
      <c r="A33" s="133">
        <v>45311</v>
      </c>
      <c r="B33" s="51" t="s">
        <v>56</v>
      </c>
      <c r="C33" s="134">
        <v>0.33333333333333331</v>
      </c>
      <c r="D33" s="134">
        <v>0.5</v>
      </c>
      <c r="E33" s="53">
        <f t="shared" si="0"/>
        <v>4</v>
      </c>
      <c r="H33" s="53"/>
      <c r="J33" s="53">
        <f t="shared" si="6"/>
        <v>4</v>
      </c>
      <c r="M33" s="51">
        <f t="shared" si="2"/>
        <v>4</v>
      </c>
    </row>
    <row r="34" spans="1:13" x14ac:dyDescent="0.25">
      <c r="A34" s="133">
        <v>45311</v>
      </c>
      <c r="B34" s="51" t="s">
        <v>53</v>
      </c>
      <c r="C34" s="134">
        <v>0.45833333333333331</v>
      </c>
      <c r="D34" s="134">
        <v>0.75</v>
      </c>
      <c r="E34" s="53">
        <f t="shared" si="0"/>
        <v>6.5</v>
      </c>
      <c r="F34" s="51">
        <v>0.5</v>
      </c>
      <c r="H34" s="53">
        <f t="shared" si="3"/>
        <v>6.5</v>
      </c>
      <c r="M34" s="51">
        <f t="shared" si="2"/>
        <v>6.5</v>
      </c>
    </row>
    <row r="35" spans="1:13" x14ac:dyDescent="0.25">
      <c r="A35" s="133">
        <v>45311</v>
      </c>
      <c r="B35" s="51" t="s">
        <v>58</v>
      </c>
      <c r="C35" s="134">
        <v>0.54166666666666663</v>
      </c>
      <c r="D35" s="134">
        <v>0.91666666666666663</v>
      </c>
      <c r="E35" s="53">
        <f t="shared" si="0"/>
        <v>8</v>
      </c>
      <c r="F35" s="51">
        <v>1</v>
      </c>
      <c r="H35" s="53">
        <f t="shared" si="3"/>
        <v>8</v>
      </c>
      <c r="M35" s="51">
        <f t="shared" si="2"/>
        <v>8</v>
      </c>
    </row>
    <row r="36" spans="1:13" x14ac:dyDescent="0.25">
      <c r="A36" s="133">
        <v>45312</v>
      </c>
      <c r="B36" s="51" t="s">
        <v>58</v>
      </c>
      <c r="C36" s="134">
        <v>0.29166666666666669</v>
      </c>
      <c r="D36" s="134">
        <v>0.58333333333333337</v>
      </c>
      <c r="E36" s="53">
        <f t="shared" si="0"/>
        <v>6.5</v>
      </c>
      <c r="F36" s="51">
        <v>0.5</v>
      </c>
      <c r="H36" s="53">
        <f t="shared" si="3"/>
        <v>6.5</v>
      </c>
      <c r="M36" s="51">
        <f t="shared" si="2"/>
        <v>6.5</v>
      </c>
    </row>
    <row r="37" spans="1:13" x14ac:dyDescent="0.25">
      <c r="A37" s="133">
        <v>45313</v>
      </c>
      <c r="B37" s="51" t="s">
        <v>56</v>
      </c>
      <c r="C37" s="134">
        <v>0.32291666666666669</v>
      </c>
      <c r="D37" s="134">
        <v>0.58333333333333337</v>
      </c>
      <c r="E37" s="53">
        <f t="shared" si="0"/>
        <v>5.75</v>
      </c>
      <c r="F37" s="51">
        <v>0.5</v>
      </c>
      <c r="H37" s="53"/>
      <c r="J37" s="53">
        <f t="shared" ref="J37:J43" si="7">IF(WEEKDAY(A37, 2)&lt;6, E37-2, E37)</f>
        <v>3.75</v>
      </c>
      <c r="M37" s="51">
        <f t="shared" si="2"/>
        <v>3.75</v>
      </c>
    </row>
    <row r="38" spans="1:13" x14ac:dyDescent="0.25">
      <c r="A38" s="133">
        <v>45314</v>
      </c>
      <c r="B38" s="51" t="s">
        <v>56</v>
      </c>
      <c r="C38" s="134">
        <v>0.32291666666666669</v>
      </c>
      <c r="D38" s="134">
        <v>0.58333333333333337</v>
      </c>
      <c r="E38" s="53">
        <f t="shared" si="0"/>
        <v>5.75</v>
      </c>
      <c r="F38" s="51">
        <v>0.5</v>
      </c>
      <c r="H38" s="53"/>
      <c r="J38" s="53">
        <f t="shared" si="7"/>
        <v>3.75</v>
      </c>
      <c r="M38" s="51">
        <f t="shared" si="2"/>
        <v>3.75</v>
      </c>
    </row>
    <row r="39" spans="1:13" x14ac:dyDescent="0.25">
      <c r="A39" s="133">
        <v>45315</v>
      </c>
      <c r="B39" s="51" t="s">
        <v>56</v>
      </c>
      <c r="C39" s="134">
        <v>0.32291666666666669</v>
      </c>
      <c r="D39" s="134">
        <v>0.58333333333333337</v>
      </c>
      <c r="E39" s="53">
        <f t="shared" si="0"/>
        <v>5.75</v>
      </c>
      <c r="F39" s="51">
        <v>0.5</v>
      </c>
      <c r="H39" s="53"/>
      <c r="J39" s="53">
        <f t="shared" si="7"/>
        <v>3.75</v>
      </c>
      <c r="M39" s="51">
        <f t="shared" si="2"/>
        <v>3.75</v>
      </c>
    </row>
    <row r="40" spans="1:13" x14ac:dyDescent="0.25">
      <c r="A40" s="133">
        <v>45315</v>
      </c>
      <c r="B40" s="51" t="s">
        <v>56</v>
      </c>
      <c r="C40" s="134">
        <v>0.70833333333333337</v>
      </c>
      <c r="D40" s="134">
        <v>0.89583333333333337</v>
      </c>
      <c r="E40" s="53">
        <f t="shared" si="0"/>
        <v>4.5</v>
      </c>
      <c r="H40" s="53"/>
      <c r="J40" s="53">
        <f t="shared" si="7"/>
        <v>2.5</v>
      </c>
      <c r="M40" s="51">
        <f t="shared" si="2"/>
        <v>2.5</v>
      </c>
    </row>
    <row r="41" spans="1:13" x14ac:dyDescent="0.25">
      <c r="A41" s="133">
        <v>45316</v>
      </c>
      <c r="B41" s="51" t="s">
        <v>56</v>
      </c>
      <c r="C41" s="134">
        <v>0.32291666666666669</v>
      </c>
      <c r="D41" s="134">
        <v>0.58333333333333337</v>
      </c>
      <c r="E41" s="53">
        <f t="shared" si="0"/>
        <v>5.75</v>
      </c>
      <c r="F41" s="51">
        <v>0.5</v>
      </c>
      <c r="H41" s="53"/>
      <c r="J41" s="53">
        <f t="shared" si="7"/>
        <v>3.75</v>
      </c>
      <c r="M41" s="51">
        <f t="shared" si="2"/>
        <v>3.75</v>
      </c>
    </row>
    <row r="42" spans="1:13" x14ac:dyDescent="0.25">
      <c r="A42" s="133">
        <v>45316</v>
      </c>
      <c r="B42" s="51" t="s">
        <v>56</v>
      </c>
      <c r="C42" s="134">
        <v>0.75</v>
      </c>
      <c r="D42" s="134">
        <v>0.9375</v>
      </c>
      <c r="E42" s="53">
        <f t="shared" si="0"/>
        <v>4.5</v>
      </c>
      <c r="H42" s="53"/>
      <c r="J42" s="53">
        <f t="shared" si="7"/>
        <v>2.5</v>
      </c>
      <c r="M42" s="51">
        <f t="shared" si="2"/>
        <v>2.5</v>
      </c>
    </row>
    <row r="43" spans="1:13" x14ac:dyDescent="0.25">
      <c r="A43" s="133">
        <v>45317</v>
      </c>
      <c r="B43" s="51" t="s">
        <v>56</v>
      </c>
      <c r="C43" s="134">
        <v>0.32291666666666669</v>
      </c>
      <c r="D43" s="134">
        <v>0.58333333333333337</v>
      </c>
      <c r="E43" s="53">
        <f t="shared" si="0"/>
        <v>5.75</v>
      </c>
      <c r="F43" s="51">
        <v>0.5</v>
      </c>
      <c r="H43" s="53"/>
      <c r="J43" s="53">
        <f t="shared" si="7"/>
        <v>3.75</v>
      </c>
      <c r="M43" s="51">
        <f t="shared" si="2"/>
        <v>3.75</v>
      </c>
    </row>
    <row r="44" spans="1:13" x14ac:dyDescent="0.25">
      <c r="A44" s="133">
        <v>45317</v>
      </c>
      <c r="B44" s="51" t="s">
        <v>53</v>
      </c>
      <c r="C44" s="134">
        <v>0.625</v>
      </c>
      <c r="D44" s="134">
        <v>0.91666666666666663</v>
      </c>
      <c r="E44" s="53">
        <f t="shared" si="0"/>
        <v>6.4999999999999991</v>
      </c>
      <c r="F44" s="51">
        <v>0.5</v>
      </c>
      <c r="H44" s="53">
        <f t="shared" si="3"/>
        <v>8.5</v>
      </c>
      <c r="M44" s="51">
        <f t="shared" si="2"/>
        <v>8.5</v>
      </c>
    </row>
    <row r="45" spans="1:13" x14ac:dyDescent="0.25">
      <c r="A45" s="133">
        <v>45317</v>
      </c>
      <c r="B45" s="51" t="s">
        <v>58</v>
      </c>
      <c r="C45" s="134">
        <v>0.65625</v>
      </c>
      <c r="D45" s="134">
        <v>4.1666666666666664E-2</v>
      </c>
      <c r="E45" s="53">
        <f t="shared" si="0"/>
        <v>8.25</v>
      </c>
      <c r="F45" s="51">
        <v>1</v>
      </c>
      <c r="H45" s="53">
        <f t="shared" si="3"/>
        <v>10.25</v>
      </c>
      <c r="M45" s="51">
        <f t="shared" si="2"/>
        <v>10.25</v>
      </c>
    </row>
    <row r="46" spans="1:13" x14ac:dyDescent="0.25">
      <c r="A46" s="133">
        <v>45318</v>
      </c>
      <c r="B46" s="51" t="s">
        <v>56</v>
      </c>
      <c r="C46" s="134">
        <v>0.33333333333333331</v>
      </c>
      <c r="D46" s="134">
        <v>0.5</v>
      </c>
      <c r="E46" s="53">
        <f t="shared" si="0"/>
        <v>4</v>
      </c>
      <c r="H46" s="53"/>
      <c r="J46" s="53">
        <f>IF(WEEKDAY(A46, 2)&lt;6, E46-2, E46)</f>
        <v>4</v>
      </c>
      <c r="M46" s="51">
        <f t="shared" si="2"/>
        <v>4</v>
      </c>
    </row>
    <row r="47" spans="1:13" x14ac:dyDescent="0.25">
      <c r="A47" s="133">
        <v>45318</v>
      </c>
      <c r="B47" s="51" t="s">
        <v>58</v>
      </c>
      <c r="C47" s="134">
        <v>0.54166666666666663</v>
      </c>
      <c r="D47" s="134">
        <v>0.85416666666666663</v>
      </c>
      <c r="E47" s="53">
        <f t="shared" si="0"/>
        <v>7</v>
      </c>
      <c r="F47" s="51">
        <v>0.5</v>
      </c>
      <c r="H47" s="53">
        <f t="shared" si="3"/>
        <v>7</v>
      </c>
      <c r="M47" s="51">
        <f t="shared" si="2"/>
        <v>7</v>
      </c>
    </row>
    <row r="48" spans="1:13" x14ac:dyDescent="0.25">
      <c r="A48" s="133">
        <v>45319</v>
      </c>
      <c r="B48" s="51" t="s">
        <v>58</v>
      </c>
      <c r="C48" s="134">
        <v>0.41666666666666669</v>
      </c>
      <c r="D48" s="134">
        <v>0.70833333333333337</v>
      </c>
      <c r="E48" s="53">
        <f t="shared" si="0"/>
        <v>6.5</v>
      </c>
      <c r="F48" s="51">
        <v>0.5</v>
      </c>
      <c r="H48" s="53">
        <f t="shared" si="3"/>
        <v>6.5</v>
      </c>
      <c r="M48" s="51">
        <f t="shared" si="2"/>
        <v>6.5</v>
      </c>
    </row>
    <row r="49" spans="1:13" x14ac:dyDescent="0.25">
      <c r="A49" s="133">
        <v>45320</v>
      </c>
      <c r="B49" s="51" t="s">
        <v>56</v>
      </c>
      <c r="C49" s="134">
        <v>0.32291666666666669</v>
      </c>
      <c r="D49" s="134">
        <v>0.58333333333333337</v>
      </c>
      <c r="E49" s="53">
        <f t="shared" si="0"/>
        <v>5.75</v>
      </c>
      <c r="F49" s="51">
        <v>0.5</v>
      </c>
      <c r="H49" s="53"/>
      <c r="J49" s="53">
        <f>IF(WEEKDAY(A49, 2)&lt;6, E49-2, E49)</f>
        <v>3.75</v>
      </c>
      <c r="M49" s="51">
        <f t="shared" si="2"/>
        <v>3.75</v>
      </c>
    </row>
    <row r="50" spans="1:13" x14ac:dyDescent="0.25">
      <c r="A50" s="133">
        <v>45320</v>
      </c>
      <c r="B50" s="51" t="s">
        <v>49</v>
      </c>
      <c r="C50" s="134">
        <v>0.6875</v>
      </c>
      <c r="D50" s="134">
        <v>0.85416666666666663</v>
      </c>
      <c r="E50" s="53">
        <f t="shared" si="0"/>
        <v>3.9999999999999991</v>
      </c>
      <c r="H50" s="53">
        <f t="shared" si="3"/>
        <v>5.9999999999999991</v>
      </c>
      <c r="M50" s="51">
        <f t="shared" si="2"/>
        <v>5.9999999999999991</v>
      </c>
    </row>
    <row r="51" spans="1:13" x14ac:dyDescent="0.25">
      <c r="A51" s="133">
        <v>45321</v>
      </c>
      <c r="B51" s="51" t="s">
        <v>56</v>
      </c>
      <c r="C51" s="134">
        <v>0.32291666666666669</v>
      </c>
      <c r="D51" s="134">
        <v>0.58333333333333337</v>
      </c>
      <c r="E51" s="53">
        <f t="shared" si="0"/>
        <v>5.75</v>
      </c>
      <c r="F51" s="51">
        <v>0.5</v>
      </c>
      <c r="H51" s="53"/>
      <c r="J51" s="53">
        <f t="shared" ref="J51:J61" si="8">IF(WEEKDAY(A51, 2)&lt;6, E51-2, E51)</f>
        <v>3.75</v>
      </c>
      <c r="M51" s="51">
        <f t="shared" si="2"/>
        <v>3.75</v>
      </c>
    </row>
    <row r="52" spans="1:13" x14ac:dyDescent="0.25">
      <c r="A52" s="133">
        <v>45321</v>
      </c>
      <c r="B52" s="51" t="s">
        <v>56</v>
      </c>
      <c r="C52" s="134">
        <v>0.70833333333333337</v>
      </c>
      <c r="D52" s="134">
        <v>0.9375</v>
      </c>
      <c r="E52" s="53">
        <f t="shared" si="0"/>
        <v>5.4999999999999991</v>
      </c>
      <c r="H52" s="53"/>
      <c r="J52" s="53">
        <f t="shared" si="8"/>
        <v>3.4999999999999991</v>
      </c>
      <c r="M52" s="51">
        <f t="shared" si="2"/>
        <v>3.4999999999999991</v>
      </c>
    </row>
    <row r="53" spans="1:13" x14ac:dyDescent="0.25">
      <c r="A53" s="133">
        <v>45322</v>
      </c>
      <c r="B53" s="51" t="s">
        <v>56</v>
      </c>
      <c r="C53" s="134">
        <v>0.32291666666666669</v>
      </c>
      <c r="D53" s="134">
        <v>0.58333333333333337</v>
      </c>
      <c r="E53" s="53">
        <f t="shared" si="0"/>
        <v>5.75</v>
      </c>
      <c r="F53" s="51">
        <v>0.5</v>
      </c>
      <c r="H53" s="53"/>
      <c r="J53" s="53">
        <f t="shared" si="8"/>
        <v>3.75</v>
      </c>
      <c r="M53" s="51">
        <f t="shared" si="2"/>
        <v>3.75</v>
      </c>
    </row>
    <row r="54" spans="1:13" x14ac:dyDescent="0.25">
      <c r="A54" s="133">
        <v>45322</v>
      </c>
      <c r="B54" s="51" t="s">
        <v>56</v>
      </c>
      <c r="C54" s="134">
        <v>0.70833333333333337</v>
      </c>
      <c r="D54" s="134">
        <v>0.89583333333333337</v>
      </c>
      <c r="E54" s="53">
        <f t="shared" si="0"/>
        <v>4.5</v>
      </c>
      <c r="H54" s="53"/>
      <c r="J54" s="53">
        <f t="shared" si="8"/>
        <v>2.5</v>
      </c>
      <c r="M54" s="51">
        <f t="shared" si="2"/>
        <v>2.5</v>
      </c>
    </row>
    <row r="55" spans="1:13" x14ac:dyDescent="0.25">
      <c r="A55" s="133">
        <v>45323</v>
      </c>
      <c r="B55" s="51" t="s">
        <v>56</v>
      </c>
      <c r="C55" s="135">
        <v>0.32291666666666669</v>
      </c>
      <c r="D55" s="135">
        <v>0.58333333333333337</v>
      </c>
      <c r="E55" s="53">
        <f t="shared" si="0"/>
        <v>5.75</v>
      </c>
      <c r="F55" s="51">
        <v>0.5</v>
      </c>
      <c r="G55" s="55">
        <f>SUM(E:E)</f>
        <v>5521</v>
      </c>
      <c r="H55" s="53"/>
      <c r="J55" s="53">
        <f t="shared" si="8"/>
        <v>3.75</v>
      </c>
      <c r="M55" s="51">
        <f t="shared" si="2"/>
        <v>3.75</v>
      </c>
    </row>
    <row r="56" spans="1:13" x14ac:dyDescent="0.25">
      <c r="A56" s="133">
        <v>45323</v>
      </c>
      <c r="B56" s="51" t="s">
        <v>56</v>
      </c>
      <c r="C56" s="135">
        <v>0.77083333333333337</v>
      </c>
      <c r="D56" s="135">
        <v>0.9375</v>
      </c>
      <c r="E56" s="53">
        <f t="shared" si="0"/>
        <v>3.9999999999999991</v>
      </c>
      <c r="H56" s="53"/>
      <c r="J56" s="53">
        <f t="shared" si="8"/>
        <v>1.9999999999999991</v>
      </c>
      <c r="M56" s="51">
        <f t="shared" si="2"/>
        <v>1.9999999999999991</v>
      </c>
    </row>
    <row r="57" spans="1:13" x14ac:dyDescent="0.25">
      <c r="A57" s="133">
        <v>45324</v>
      </c>
      <c r="B57" s="51" t="s">
        <v>56</v>
      </c>
      <c r="C57" s="135">
        <v>0.32291666666666669</v>
      </c>
      <c r="D57" s="135">
        <v>0.58333333333333337</v>
      </c>
      <c r="E57" s="53">
        <f t="shared" si="0"/>
        <v>5.75</v>
      </c>
      <c r="F57" s="51">
        <v>0.5</v>
      </c>
      <c r="H57" s="53"/>
      <c r="J57" s="53">
        <f t="shared" si="8"/>
        <v>3.75</v>
      </c>
      <c r="M57" s="51">
        <f t="shared" si="2"/>
        <v>3.75</v>
      </c>
    </row>
    <row r="58" spans="1:13" x14ac:dyDescent="0.25">
      <c r="A58" s="133">
        <v>45327</v>
      </c>
      <c r="B58" s="51" t="s">
        <v>56</v>
      </c>
      <c r="C58" s="135">
        <v>0.32291666666666669</v>
      </c>
      <c r="D58" s="135">
        <v>0.58333333333333337</v>
      </c>
      <c r="E58" s="53">
        <f t="shared" si="0"/>
        <v>5.75</v>
      </c>
      <c r="F58" s="51">
        <v>0.5</v>
      </c>
      <c r="H58" s="53"/>
      <c r="J58" s="53">
        <f t="shared" si="8"/>
        <v>3.75</v>
      </c>
      <c r="M58" s="51">
        <f t="shared" si="2"/>
        <v>3.75</v>
      </c>
    </row>
    <row r="59" spans="1:13" x14ac:dyDescent="0.25">
      <c r="A59" s="133">
        <v>45328</v>
      </c>
      <c r="B59" s="51" t="s">
        <v>56</v>
      </c>
      <c r="C59" s="135">
        <v>0.32291666666666669</v>
      </c>
      <c r="D59" s="135">
        <v>0.58333333333333337</v>
      </c>
      <c r="E59" s="53">
        <f t="shared" si="0"/>
        <v>5.75</v>
      </c>
      <c r="F59" s="51">
        <v>0.5</v>
      </c>
      <c r="H59" s="53"/>
      <c r="J59" s="53">
        <f t="shared" si="8"/>
        <v>3.75</v>
      </c>
      <c r="M59" s="51">
        <f t="shared" si="2"/>
        <v>3.75</v>
      </c>
    </row>
    <row r="60" spans="1:13" x14ac:dyDescent="0.25">
      <c r="A60" s="133">
        <v>45329</v>
      </c>
      <c r="B60" s="51" t="s">
        <v>56</v>
      </c>
      <c r="C60" s="135">
        <v>0.32291666666666669</v>
      </c>
      <c r="D60" s="135">
        <v>0.58333333333333337</v>
      </c>
      <c r="E60" s="53">
        <f t="shared" si="0"/>
        <v>5.75</v>
      </c>
      <c r="F60" s="51">
        <v>0.5</v>
      </c>
      <c r="H60" s="53"/>
      <c r="J60" s="53">
        <f t="shared" si="8"/>
        <v>3.75</v>
      </c>
      <c r="M60" s="51">
        <f t="shared" si="2"/>
        <v>3.75</v>
      </c>
    </row>
    <row r="61" spans="1:13" x14ac:dyDescent="0.25">
      <c r="A61" s="133">
        <v>45329</v>
      </c>
      <c r="B61" s="51" t="s">
        <v>56</v>
      </c>
      <c r="C61" s="135">
        <v>0.6875</v>
      </c>
      <c r="D61" s="135">
        <v>0.875</v>
      </c>
      <c r="E61" s="53">
        <f t="shared" si="0"/>
        <v>4.5</v>
      </c>
      <c r="H61" s="53"/>
      <c r="J61" s="53">
        <f t="shared" si="8"/>
        <v>2.5</v>
      </c>
      <c r="M61" s="51">
        <f t="shared" si="2"/>
        <v>2.5</v>
      </c>
    </row>
    <row r="62" spans="1:13" x14ac:dyDescent="0.25">
      <c r="A62" s="133">
        <v>45329</v>
      </c>
      <c r="B62" s="51" t="s">
        <v>49</v>
      </c>
      <c r="C62" s="135">
        <v>0.70833333333333337</v>
      </c>
      <c r="D62" s="135">
        <v>0.89583333333333337</v>
      </c>
      <c r="E62" s="53">
        <f t="shared" si="0"/>
        <v>4.5</v>
      </c>
      <c r="H62" s="53">
        <f t="shared" si="3"/>
        <v>6.5</v>
      </c>
      <c r="M62" s="51">
        <f t="shared" si="2"/>
        <v>6.5</v>
      </c>
    </row>
    <row r="63" spans="1:13" x14ac:dyDescent="0.25">
      <c r="A63" s="133">
        <v>45330</v>
      </c>
      <c r="B63" s="51" t="s">
        <v>56</v>
      </c>
      <c r="C63" s="135">
        <v>0.32291666666666669</v>
      </c>
      <c r="D63" s="135">
        <v>0.58333333333333337</v>
      </c>
      <c r="E63" s="53">
        <f t="shared" si="0"/>
        <v>5.75</v>
      </c>
      <c r="F63" s="51">
        <v>0.5</v>
      </c>
      <c r="H63" s="53"/>
      <c r="J63" s="53">
        <f t="shared" ref="J63:J65" si="9">IF(WEEKDAY(A63, 2)&lt;6, E63-2, E63)</f>
        <v>3.75</v>
      </c>
      <c r="M63" s="51">
        <f t="shared" si="2"/>
        <v>3.75</v>
      </c>
    </row>
    <row r="64" spans="1:13" x14ac:dyDescent="0.25">
      <c r="A64" s="133">
        <v>45330</v>
      </c>
      <c r="B64" s="51" t="s">
        <v>56</v>
      </c>
      <c r="C64" s="135">
        <v>0.77083333333333337</v>
      </c>
      <c r="D64" s="135">
        <v>0.91666666666666663</v>
      </c>
      <c r="E64" s="53">
        <f t="shared" si="0"/>
        <v>3.4999999999999982</v>
      </c>
      <c r="H64" s="53"/>
      <c r="J64" s="53">
        <f t="shared" si="9"/>
        <v>1.4999999999999982</v>
      </c>
      <c r="M64" s="51">
        <f t="shared" si="2"/>
        <v>1.4999999999999982</v>
      </c>
    </row>
    <row r="65" spans="1:13" x14ac:dyDescent="0.25">
      <c r="A65" s="133">
        <v>45331</v>
      </c>
      <c r="B65" s="51" t="s">
        <v>56</v>
      </c>
      <c r="C65" s="135">
        <v>0.32291666666666669</v>
      </c>
      <c r="D65" s="135">
        <v>0.58333333333333337</v>
      </c>
      <c r="E65" s="53">
        <f t="shared" si="0"/>
        <v>5.75</v>
      </c>
      <c r="F65" s="51">
        <v>0.5</v>
      </c>
      <c r="H65" s="53"/>
      <c r="J65" s="53">
        <f t="shared" si="9"/>
        <v>3.75</v>
      </c>
      <c r="M65" s="51">
        <f t="shared" si="2"/>
        <v>3.75</v>
      </c>
    </row>
    <row r="66" spans="1:13" x14ac:dyDescent="0.25">
      <c r="A66" s="133">
        <v>45331</v>
      </c>
      <c r="B66" s="51" t="s">
        <v>53</v>
      </c>
      <c r="C66" s="135">
        <v>0.75</v>
      </c>
      <c r="D66" s="135">
        <v>0.91666666666666663</v>
      </c>
      <c r="E66" s="53">
        <f t="shared" si="0"/>
        <v>3.9999999999999991</v>
      </c>
      <c r="H66" s="53">
        <f t="shared" si="3"/>
        <v>5.9999999999999991</v>
      </c>
      <c r="M66" s="51">
        <f t="shared" si="2"/>
        <v>5.9999999999999991</v>
      </c>
    </row>
    <row r="67" spans="1:13" x14ac:dyDescent="0.25">
      <c r="A67" s="133">
        <v>45331</v>
      </c>
      <c r="B67" s="51" t="s">
        <v>58</v>
      </c>
      <c r="C67" s="135">
        <v>0.75</v>
      </c>
      <c r="D67" s="135">
        <v>0.95833333333333337</v>
      </c>
      <c r="E67" s="53">
        <f t="shared" ref="E67:E129" si="10">MOD((D67-C67),1) *24 - F67</f>
        <v>5.0000000000000009</v>
      </c>
      <c r="H67" s="53">
        <f t="shared" ref="H67:H130" si="11">IF(WEEKDAY(A67, 2)&lt;6, E67+2, E67)</f>
        <v>7.0000000000000009</v>
      </c>
      <c r="M67" s="51">
        <f t="shared" ref="M67:M130" si="12">IF(H67&lt;&gt;"",H67,J67)</f>
        <v>7.0000000000000009</v>
      </c>
    </row>
    <row r="68" spans="1:13" x14ac:dyDescent="0.25">
      <c r="A68" s="133">
        <v>45332</v>
      </c>
      <c r="B68" s="51" t="s">
        <v>49</v>
      </c>
      <c r="C68" s="135">
        <v>0.33333333333333331</v>
      </c>
      <c r="D68" s="135">
        <v>0.58333333333333337</v>
      </c>
      <c r="E68" s="53">
        <f t="shared" si="10"/>
        <v>5.5000000000000018</v>
      </c>
      <c r="F68" s="51">
        <v>0.5</v>
      </c>
      <c r="H68" s="53">
        <f t="shared" si="11"/>
        <v>5.5000000000000018</v>
      </c>
      <c r="M68" s="51">
        <f t="shared" si="12"/>
        <v>5.5000000000000018</v>
      </c>
    </row>
    <row r="69" spans="1:13" x14ac:dyDescent="0.25">
      <c r="A69" s="133">
        <v>45332</v>
      </c>
      <c r="B69" s="51" t="s">
        <v>56</v>
      </c>
      <c r="C69" s="135">
        <v>0.33333333333333331</v>
      </c>
      <c r="D69" s="135">
        <v>0.70833333333333337</v>
      </c>
      <c r="E69" s="53">
        <f t="shared" si="10"/>
        <v>8.0000000000000018</v>
      </c>
      <c r="F69" s="51">
        <v>1</v>
      </c>
      <c r="H69" s="53"/>
      <c r="J69" s="53">
        <f>IF(WEEKDAY(A69, 2)&lt;6, E69-2, E69)</f>
        <v>8.0000000000000018</v>
      </c>
      <c r="M69" s="51">
        <f t="shared" si="12"/>
        <v>8.0000000000000018</v>
      </c>
    </row>
    <row r="70" spans="1:13" x14ac:dyDescent="0.25">
      <c r="A70" s="133">
        <v>45332</v>
      </c>
      <c r="B70" s="51" t="s">
        <v>47</v>
      </c>
      <c r="C70" s="135">
        <v>0.33333333333333331</v>
      </c>
      <c r="D70" s="135">
        <v>0.5</v>
      </c>
      <c r="E70" s="53">
        <f t="shared" si="10"/>
        <v>4</v>
      </c>
      <c r="H70" s="53">
        <f t="shared" si="11"/>
        <v>4</v>
      </c>
      <c r="M70" s="51">
        <f t="shared" si="12"/>
        <v>4</v>
      </c>
    </row>
    <row r="71" spans="1:13" x14ac:dyDescent="0.25">
      <c r="A71" s="133">
        <v>45332</v>
      </c>
      <c r="B71" s="51" t="s">
        <v>53</v>
      </c>
      <c r="C71" s="135">
        <v>0.625</v>
      </c>
      <c r="D71" s="135">
        <v>4.1666666666666664E-2</v>
      </c>
      <c r="E71" s="53">
        <f t="shared" si="10"/>
        <v>9</v>
      </c>
      <c r="F71" s="51">
        <v>1</v>
      </c>
      <c r="H71" s="53">
        <f t="shared" si="11"/>
        <v>9</v>
      </c>
      <c r="M71" s="51">
        <f t="shared" si="12"/>
        <v>9</v>
      </c>
    </row>
    <row r="72" spans="1:13" x14ac:dyDescent="0.25">
      <c r="A72" s="133">
        <v>45332</v>
      </c>
      <c r="B72" s="51" t="s">
        <v>58</v>
      </c>
      <c r="C72" s="135">
        <v>0.70833333333333337</v>
      </c>
      <c r="D72" s="135">
        <v>0</v>
      </c>
      <c r="E72" s="53">
        <f t="shared" si="10"/>
        <v>6.4999999999999991</v>
      </c>
      <c r="F72" s="51">
        <v>0.5</v>
      </c>
      <c r="H72" s="53">
        <f t="shared" si="11"/>
        <v>6.4999999999999991</v>
      </c>
      <c r="M72" s="51">
        <f t="shared" si="12"/>
        <v>6.4999999999999991</v>
      </c>
    </row>
    <row r="73" spans="1:13" x14ac:dyDescent="0.25">
      <c r="A73" s="133">
        <v>45333</v>
      </c>
      <c r="B73" s="51" t="s">
        <v>53</v>
      </c>
      <c r="C73" s="135">
        <v>0.3125</v>
      </c>
      <c r="D73" s="135">
        <v>0.79166666666666663</v>
      </c>
      <c r="E73" s="53">
        <f t="shared" si="10"/>
        <v>10.5</v>
      </c>
      <c r="F73" s="51">
        <v>1</v>
      </c>
      <c r="H73" s="53">
        <f t="shared" si="11"/>
        <v>10.5</v>
      </c>
      <c r="M73" s="51">
        <f t="shared" si="12"/>
        <v>10.5</v>
      </c>
    </row>
    <row r="74" spans="1:13" x14ac:dyDescent="0.25">
      <c r="A74" s="133">
        <v>45334</v>
      </c>
      <c r="B74" s="51" t="s">
        <v>56</v>
      </c>
      <c r="C74" s="135">
        <v>0.32291666666666669</v>
      </c>
      <c r="D74" s="135">
        <v>0.58333333333333337</v>
      </c>
      <c r="E74" s="53">
        <f t="shared" si="10"/>
        <v>5.75</v>
      </c>
      <c r="F74" s="51">
        <v>0.5</v>
      </c>
      <c r="H74" s="53"/>
      <c r="J74" s="53">
        <f t="shared" ref="J74:J75" si="13">IF(WEEKDAY(A74, 2)&lt;6, E74-2, E74)</f>
        <v>3.75</v>
      </c>
      <c r="M74" s="51">
        <f t="shared" si="12"/>
        <v>3.75</v>
      </c>
    </row>
    <row r="75" spans="1:13" x14ac:dyDescent="0.25">
      <c r="A75" s="133">
        <v>45335</v>
      </c>
      <c r="B75" s="51" t="s">
        <v>56</v>
      </c>
      <c r="C75" s="135">
        <v>0.32291666666666669</v>
      </c>
      <c r="D75" s="135">
        <v>0.58333333333333337</v>
      </c>
      <c r="E75" s="53">
        <f t="shared" si="10"/>
        <v>5.75</v>
      </c>
      <c r="F75" s="51">
        <v>0.5</v>
      </c>
      <c r="H75" s="53"/>
      <c r="J75" s="53">
        <f t="shared" si="13"/>
        <v>3.75</v>
      </c>
      <c r="M75" s="51">
        <f t="shared" si="12"/>
        <v>3.75</v>
      </c>
    </row>
    <row r="76" spans="1:13" x14ac:dyDescent="0.25">
      <c r="A76" s="133">
        <v>45335</v>
      </c>
      <c r="B76" s="51" t="s">
        <v>44</v>
      </c>
      <c r="C76" s="135">
        <v>0.625</v>
      </c>
      <c r="D76" s="135">
        <v>0.72916666666666663</v>
      </c>
      <c r="E76" s="53">
        <f t="shared" si="10"/>
        <v>2.4999999999999991</v>
      </c>
      <c r="H76" s="53">
        <f t="shared" si="11"/>
        <v>4.4999999999999991</v>
      </c>
      <c r="M76" s="51">
        <f t="shared" si="12"/>
        <v>4.4999999999999991</v>
      </c>
    </row>
    <row r="77" spans="1:13" x14ac:dyDescent="0.25">
      <c r="A77" s="133">
        <v>45336</v>
      </c>
      <c r="B77" s="51" t="s">
        <v>56</v>
      </c>
      <c r="C77" s="135">
        <v>0.32291666666666669</v>
      </c>
      <c r="D77" s="135">
        <v>0.58333333333333337</v>
      </c>
      <c r="E77" s="53">
        <f t="shared" si="10"/>
        <v>5.75</v>
      </c>
      <c r="F77" s="51">
        <v>0.5</v>
      </c>
      <c r="H77" s="53"/>
      <c r="J77" s="53">
        <f>IF(WEEKDAY(A77, 2)&lt;6, E77-2, E77)</f>
        <v>3.75</v>
      </c>
      <c r="M77" s="51">
        <f t="shared" si="12"/>
        <v>3.75</v>
      </c>
    </row>
    <row r="78" spans="1:13" x14ac:dyDescent="0.25">
      <c r="A78" s="133">
        <v>45336</v>
      </c>
      <c r="B78" s="51" t="s">
        <v>49</v>
      </c>
      <c r="C78" s="135">
        <v>0.70833333333333337</v>
      </c>
      <c r="D78" s="135">
        <v>0.89583333333333337</v>
      </c>
      <c r="E78" s="53">
        <f t="shared" si="10"/>
        <v>4.5</v>
      </c>
      <c r="H78" s="53">
        <f t="shared" si="11"/>
        <v>6.5</v>
      </c>
      <c r="M78" s="51">
        <f t="shared" si="12"/>
        <v>6.5</v>
      </c>
    </row>
    <row r="79" spans="1:13" x14ac:dyDescent="0.25">
      <c r="A79" s="133">
        <v>45337</v>
      </c>
      <c r="B79" s="51" t="s">
        <v>56</v>
      </c>
      <c r="C79" s="135">
        <v>0.32291666666666669</v>
      </c>
      <c r="D79" s="135">
        <v>0.58333333333333337</v>
      </c>
      <c r="E79" s="53">
        <f t="shared" si="10"/>
        <v>5.75</v>
      </c>
      <c r="F79" s="51">
        <v>0.5</v>
      </c>
      <c r="H79" s="53"/>
      <c r="J79" s="53">
        <f t="shared" ref="J79:J81" si="14">IF(WEEKDAY(A79, 2)&lt;6, E79-2, E79)</f>
        <v>3.75</v>
      </c>
      <c r="M79" s="51">
        <f t="shared" si="12"/>
        <v>3.75</v>
      </c>
    </row>
    <row r="80" spans="1:13" x14ac:dyDescent="0.25">
      <c r="A80" s="133">
        <v>45337</v>
      </c>
      <c r="B80" s="51" t="s">
        <v>56</v>
      </c>
      <c r="C80" s="135">
        <v>0.75</v>
      </c>
      <c r="D80" s="135">
        <v>0.91666666666666663</v>
      </c>
      <c r="E80" s="53">
        <f t="shared" si="10"/>
        <v>3.9999999999999991</v>
      </c>
      <c r="H80" s="53"/>
      <c r="J80" s="53">
        <f t="shared" si="14"/>
        <v>1.9999999999999991</v>
      </c>
      <c r="M80" s="51">
        <f t="shared" si="12"/>
        <v>1.9999999999999991</v>
      </c>
    </row>
    <row r="81" spans="1:13" x14ac:dyDescent="0.25">
      <c r="A81" s="133">
        <v>45338</v>
      </c>
      <c r="B81" s="51" t="s">
        <v>56</v>
      </c>
      <c r="C81" s="135">
        <v>0.32291666666666669</v>
      </c>
      <c r="D81" s="135">
        <v>0.58333333333333337</v>
      </c>
      <c r="E81" s="53">
        <f t="shared" si="10"/>
        <v>5.75</v>
      </c>
      <c r="F81" s="51">
        <v>0.5</v>
      </c>
      <c r="H81" s="53"/>
      <c r="J81" s="53">
        <f t="shared" si="14"/>
        <v>3.75</v>
      </c>
      <c r="M81" s="51">
        <f t="shared" si="12"/>
        <v>3.75</v>
      </c>
    </row>
    <row r="82" spans="1:13" x14ac:dyDescent="0.25">
      <c r="A82" s="133">
        <v>45338</v>
      </c>
      <c r="B82" s="51" t="s">
        <v>58</v>
      </c>
      <c r="C82" s="135">
        <v>0.75</v>
      </c>
      <c r="D82" s="135">
        <v>0.95833333333333337</v>
      </c>
      <c r="E82" s="53">
        <f t="shared" si="10"/>
        <v>5.0000000000000009</v>
      </c>
      <c r="H82" s="53">
        <f t="shared" si="11"/>
        <v>7.0000000000000009</v>
      </c>
      <c r="M82" s="51">
        <f t="shared" si="12"/>
        <v>7.0000000000000009</v>
      </c>
    </row>
    <row r="83" spans="1:13" x14ac:dyDescent="0.25">
      <c r="A83" s="133">
        <v>45339</v>
      </c>
      <c r="B83" s="51" t="s">
        <v>56</v>
      </c>
      <c r="C83" s="135">
        <v>0.33333333333333331</v>
      </c>
      <c r="D83" s="135">
        <v>0.5</v>
      </c>
      <c r="E83" s="53">
        <f t="shared" si="10"/>
        <v>4</v>
      </c>
      <c r="H83" s="53"/>
      <c r="J83" s="53">
        <f>IF(WEEKDAY(A83, 2)&lt;6, E83-2, E83)</f>
        <v>4</v>
      </c>
      <c r="M83" s="51">
        <f t="shared" si="12"/>
        <v>4</v>
      </c>
    </row>
    <row r="84" spans="1:13" x14ac:dyDescent="0.25">
      <c r="A84" s="133">
        <v>45339</v>
      </c>
      <c r="B84" s="51" t="s">
        <v>49</v>
      </c>
      <c r="C84" s="135">
        <v>0.375</v>
      </c>
      <c r="D84" s="135">
        <v>0.54166666666666663</v>
      </c>
      <c r="E84" s="53">
        <f t="shared" si="10"/>
        <v>3.9999999999999991</v>
      </c>
      <c r="H84" s="53">
        <f t="shared" si="11"/>
        <v>3.9999999999999991</v>
      </c>
      <c r="M84" s="51">
        <f t="shared" si="12"/>
        <v>3.9999999999999991</v>
      </c>
    </row>
    <row r="85" spans="1:13" x14ac:dyDescent="0.25">
      <c r="A85" s="133">
        <v>45339</v>
      </c>
      <c r="B85" s="51" t="s">
        <v>58</v>
      </c>
      <c r="C85" s="135">
        <v>0.5</v>
      </c>
      <c r="D85" s="135">
        <v>0.8125</v>
      </c>
      <c r="E85" s="53">
        <f t="shared" si="10"/>
        <v>7</v>
      </c>
      <c r="F85" s="51">
        <v>0.5</v>
      </c>
      <c r="H85" s="53">
        <f t="shared" si="11"/>
        <v>7</v>
      </c>
      <c r="M85" s="51">
        <f t="shared" si="12"/>
        <v>7</v>
      </c>
    </row>
    <row r="86" spans="1:13" x14ac:dyDescent="0.25">
      <c r="A86" s="133">
        <v>45339</v>
      </c>
      <c r="B86" s="51" t="s">
        <v>46</v>
      </c>
      <c r="C86" s="135">
        <v>0.54166666666666663</v>
      </c>
      <c r="D86" s="135">
        <v>0.83333333333333337</v>
      </c>
      <c r="E86" s="53">
        <f t="shared" si="10"/>
        <v>6.5000000000000018</v>
      </c>
      <c r="F86" s="51">
        <v>0.5</v>
      </c>
      <c r="H86" s="53">
        <f t="shared" si="11"/>
        <v>6.5000000000000018</v>
      </c>
      <c r="M86" s="51">
        <f t="shared" si="12"/>
        <v>6.5000000000000018</v>
      </c>
    </row>
    <row r="87" spans="1:13" x14ac:dyDescent="0.25">
      <c r="A87" s="133">
        <v>45339</v>
      </c>
      <c r="B87" s="51" t="s">
        <v>53</v>
      </c>
      <c r="C87" s="135">
        <v>0.625</v>
      </c>
      <c r="D87" s="135">
        <v>0.95833333333333337</v>
      </c>
      <c r="E87" s="53">
        <f t="shared" si="10"/>
        <v>7.5</v>
      </c>
      <c r="F87" s="51">
        <v>0.5</v>
      </c>
      <c r="H87" s="53">
        <f t="shared" si="11"/>
        <v>7.5</v>
      </c>
      <c r="M87" s="51">
        <f t="shared" si="12"/>
        <v>7.5</v>
      </c>
    </row>
    <row r="88" spans="1:13" x14ac:dyDescent="0.25">
      <c r="A88" s="133">
        <v>45340</v>
      </c>
      <c r="B88" s="51" t="s">
        <v>53</v>
      </c>
      <c r="C88" s="135">
        <v>0.45833333333333331</v>
      </c>
      <c r="D88" s="135">
        <v>0.875</v>
      </c>
      <c r="E88" s="53">
        <f t="shared" si="10"/>
        <v>9</v>
      </c>
      <c r="F88" s="51">
        <v>1</v>
      </c>
      <c r="H88" s="53">
        <f t="shared" si="11"/>
        <v>9</v>
      </c>
      <c r="M88" s="51">
        <f t="shared" si="12"/>
        <v>9</v>
      </c>
    </row>
    <row r="89" spans="1:13" x14ac:dyDescent="0.25">
      <c r="A89" s="133">
        <v>45340</v>
      </c>
      <c r="B89" s="51" t="s">
        <v>58</v>
      </c>
      <c r="C89" s="135">
        <v>0.66666666666666663</v>
      </c>
      <c r="D89" s="135">
        <v>0.85416666666666663</v>
      </c>
      <c r="E89" s="53">
        <f t="shared" si="10"/>
        <v>4.5</v>
      </c>
      <c r="H89" s="53">
        <f t="shared" si="11"/>
        <v>4.5</v>
      </c>
      <c r="M89" s="51">
        <f t="shared" si="12"/>
        <v>4.5</v>
      </c>
    </row>
    <row r="90" spans="1:13" x14ac:dyDescent="0.25">
      <c r="A90" s="133">
        <v>45342</v>
      </c>
      <c r="B90" s="51" t="s">
        <v>56</v>
      </c>
      <c r="C90" s="135">
        <v>0.32291666666666669</v>
      </c>
      <c r="D90" s="135">
        <v>0.58333333333333337</v>
      </c>
      <c r="E90" s="53">
        <f t="shared" si="10"/>
        <v>5.75</v>
      </c>
      <c r="F90" s="51">
        <v>0.5</v>
      </c>
      <c r="H90" s="53"/>
      <c r="J90" s="53">
        <f t="shared" ref="J90:J91" si="15">IF(WEEKDAY(A90, 2)&lt;6, E90-2, E90)</f>
        <v>3.75</v>
      </c>
      <c r="M90" s="51">
        <f t="shared" si="12"/>
        <v>3.75</v>
      </c>
    </row>
    <row r="91" spans="1:13" x14ac:dyDescent="0.25">
      <c r="A91" s="133">
        <v>45343</v>
      </c>
      <c r="B91" s="51" t="s">
        <v>56</v>
      </c>
      <c r="C91" s="135">
        <v>0.32291666666666669</v>
      </c>
      <c r="D91" s="135">
        <v>0.58333333333333337</v>
      </c>
      <c r="E91" s="53">
        <f t="shared" si="10"/>
        <v>5.75</v>
      </c>
      <c r="F91" s="51">
        <v>0.5</v>
      </c>
      <c r="H91" s="53"/>
      <c r="J91" s="53">
        <f t="shared" si="15"/>
        <v>3.75</v>
      </c>
      <c r="M91" s="51">
        <f t="shared" si="12"/>
        <v>3.75</v>
      </c>
    </row>
    <row r="92" spans="1:13" x14ac:dyDescent="0.25">
      <c r="A92" s="133">
        <v>45343</v>
      </c>
      <c r="B92" s="51" t="s">
        <v>49</v>
      </c>
      <c r="C92" s="135">
        <v>0.70833333333333337</v>
      </c>
      <c r="D92" s="135">
        <v>0.89583333333333337</v>
      </c>
      <c r="E92" s="53">
        <f t="shared" si="10"/>
        <v>4.5</v>
      </c>
      <c r="H92" s="53">
        <f t="shared" si="11"/>
        <v>6.5</v>
      </c>
      <c r="M92" s="51">
        <f t="shared" si="12"/>
        <v>6.5</v>
      </c>
    </row>
    <row r="93" spans="1:13" x14ac:dyDescent="0.25">
      <c r="A93" s="133">
        <v>45344</v>
      </c>
      <c r="B93" s="51" t="s">
        <v>56</v>
      </c>
      <c r="C93" s="135">
        <v>0.32291666666666669</v>
      </c>
      <c r="D93" s="135">
        <v>0.58333333333333337</v>
      </c>
      <c r="E93" s="53">
        <f t="shared" si="10"/>
        <v>5.75</v>
      </c>
      <c r="F93" s="51">
        <v>0.5</v>
      </c>
      <c r="H93" s="53"/>
      <c r="J93" s="53">
        <f t="shared" ref="J93:J94" si="16">IF(WEEKDAY(A93, 2)&lt;6, E93-2, E93)</f>
        <v>3.75</v>
      </c>
      <c r="M93" s="51">
        <f t="shared" si="12"/>
        <v>3.75</v>
      </c>
    </row>
    <row r="94" spans="1:13" x14ac:dyDescent="0.25">
      <c r="A94" s="133">
        <v>45344</v>
      </c>
      <c r="B94" s="51" t="s">
        <v>56</v>
      </c>
      <c r="C94" s="135">
        <v>0.625</v>
      </c>
      <c r="D94" s="135">
        <v>0.95833333333333337</v>
      </c>
      <c r="E94" s="53">
        <f t="shared" si="10"/>
        <v>7</v>
      </c>
      <c r="F94" s="51">
        <v>1</v>
      </c>
      <c r="H94" s="53"/>
      <c r="J94" s="53">
        <f t="shared" si="16"/>
        <v>5</v>
      </c>
      <c r="M94" s="51">
        <f t="shared" si="12"/>
        <v>5</v>
      </c>
    </row>
    <row r="95" spans="1:13" x14ac:dyDescent="0.25">
      <c r="A95" s="133">
        <v>45344</v>
      </c>
      <c r="B95" s="51" t="s">
        <v>49</v>
      </c>
      <c r="C95" s="135">
        <v>0.77083333333333337</v>
      </c>
      <c r="D95" s="135">
        <v>0.9375</v>
      </c>
      <c r="E95" s="53">
        <f t="shared" si="10"/>
        <v>3.9999999999999991</v>
      </c>
      <c r="H95" s="53">
        <f t="shared" si="11"/>
        <v>5.9999999999999991</v>
      </c>
      <c r="M95" s="51">
        <f t="shared" si="12"/>
        <v>5.9999999999999991</v>
      </c>
    </row>
    <row r="96" spans="1:13" x14ac:dyDescent="0.25">
      <c r="A96" s="133">
        <v>45345</v>
      </c>
      <c r="B96" s="51" t="s">
        <v>56</v>
      </c>
      <c r="C96" s="135">
        <v>0.32291666666666669</v>
      </c>
      <c r="D96" s="135">
        <v>0.58333333333333337</v>
      </c>
      <c r="E96" s="53">
        <f t="shared" si="10"/>
        <v>5.75</v>
      </c>
      <c r="F96" s="51">
        <v>0.5</v>
      </c>
      <c r="H96" s="53"/>
      <c r="J96" s="53">
        <f>IF(WEEKDAY(A96, 2)&lt;6, E96-2, E96)</f>
        <v>3.75</v>
      </c>
      <c r="M96" s="51">
        <f t="shared" si="12"/>
        <v>3.75</v>
      </c>
    </row>
    <row r="97" spans="1:13" x14ac:dyDescent="0.25">
      <c r="A97" s="133">
        <v>45345</v>
      </c>
      <c r="B97" s="51" t="s">
        <v>58</v>
      </c>
      <c r="C97" s="135">
        <v>0.75</v>
      </c>
      <c r="D97" s="135">
        <v>0.95833333333333337</v>
      </c>
      <c r="E97" s="53">
        <f t="shared" si="10"/>
        <v>5.0000000000000009</v>
      </c>
      <c r="H97" s="53">
        <f t="shared" si="11"/>
        <v>7.0000000000000009</v>
      </c>
      <c r="M97" s="51">
        <f t="shared" si="12"/>
        <v>7.0000000000000009</v>
      </c>
    </row>
    <row r="98" spans="1:13" x14ac:dyDescent="0.25">
      <c r="A98" s="133">
        <v>45346</v>
      </c>
      <c r="B98" s="51" t="s">
        <v>56</v>
      </c>
      <c r="C98" s="135">
        <v>0.33333333333333331</v>
      </c>
      <c r="D98" s="135">
        <v>0.5</v>
      </c>
      <c r="E98" s="53">
        <f t="shared" si="10"/>
        <v>4</v>
      </c>
      <c r="H98" s="53"/>
      <c r="J98" s="53">
        <f>IF(WEEKDAY(A98, 2)&lt;6, E98-2, E98)</f>
        <v>4</v>
      </c>
      <c r="M98" s="51">
        <f t="shared" si="12"/>
        <v>4</v>
      </c>
    </row>
    <row r="99" spans="1:13" x14ac:dyDescent="0.25">
      <c r="A99" s="133">
        <v>45346</v>
      </c>
      <c r="B99" s="51" t="s">
        <v>53</v>
      </c>
      <c r="C99" s="135">
        <v>0.39583333333333331</v>
      </c>
      <c r="D99" s="135">
        <v>0.64583333333333337</v>
      </c>
      <c r="E99" s="53">
        <f t="shared" si="10"/>
        <v>5.5000000000000018</v>
      </c>
      <c r="F99" s="51">
        <v>0.5</v>
      </c>
      <c r="H99" s="53">
        <f t="shared" si="11"/>
        <v>5.5000000000000018</v>
      </c>
      <c r="M99" s="51">
        <f t="shared" si="12"/>
        <v>5.5000000000000018</v>
      </c>
    </row>
    <row r="100" spans="1:13" x14ac:dyDescent="0.25">
      <c r="A100" s="133">
        <v>45346</v>
      </c>
      <c r="B100" s="51" t="s">
        <v>58</v>
      </c>
      <c r="C100" s="135">
        <v>0.6875</v>
      </c>
      <c r="D100" s="135">
        <v>0.9375</v>
      </c>
      <c r="E100" s="53">
        <f t="shared" si="10"/>
        <v>5.5</v>
      </c>
      <c r="F100" s="51">
        <v>0.5</v>
      </c>
      <c r="H100" s="53">
        <f t="shared" si="11"/>
        <v>5.5</v>
      </c>
      <c r="M100" s="51">
        <f t="shared" si="12"/>
        <v>5.5</v>
      </c>
    </row>
    <row r="101" spans="1:13" x14ac:dyDescent="0.25">
      <c r="A101" s="133">
        <v>45347</v>
      </c>
      <c r="B101" s="51" t="s">
        <v>53</v>
      </c>
      <c r="C101" s="135">
        <v>0.54166666666666663</v>
      </c>
      <c r="D101" s="135">
        <v>0</v>
      </c>
      <c r="E101" s="53">
        <f t="shared" si="10"/>
        <v>10</v>
      </c>
      <c r="F101" s="51">
        <v>1</v>
      </c>
      <c r="H101" s="53">
        <f t="shared" si="11"/>
        <v>10</v>
      </c>
      <c r="M101" s="51">
        <f t="shared" si="12"/>
        <v>10</v>
      </c>
    </row>
    <row r="102" spans="1:13" x14ac:dyDescent="0.25">
      <c r="A102" s="133">
        <v>45348</v>
      </c>
      <c r="B102" s="51" t="s">
        <v>56</v>
      </c>
      <c r="C102" s="135">
        <v>0.32291666666666669</v>
      </c>
      <c r="D102" s="135">
        <v>0.58333333333333337</v>
      </c>
      <c r="E102" s="53">
        <f t="shared" si="10"/>
        <v>5.75</v>
      </c>
      <c r="F102" s="51">
        <v>0.5</v>
      </c>
      <c r="H102" s="53"/>
      <c r="J102" s="53">
        <f t="shared" ref="J102:J104" si="17">IF(WEEKDAY(A102, 2)&lt;6, E102-2, E102)</f>
        <v>3.75</v>
      </c>
      <c r="M102" s="51">
        <f t="shared" si="12"/>
        <v>3.75</v>
      </c>
    </row>
    <row r="103" spans="1:13" x14ac:dyDescent="0.25">
      <c r="A103" s="133">
        <v>45348</v>
      </c>
      <c r="B103" s="51" t="s">
        <v>56</v>
      </c>
      <c r="C103" s="135">
        <v>0.72916666666666663</v>
      </c>
      <c r="D103" s="135">
        <v>0.91666666666666663</v>
      </c>
      <c r="E103" s="53">
        <f t="shared" si="10"/>
        <v>4.5</v>
      </c>
      <c r="H103" s="53"/>
      <c r="J103" s="53">
        <f t="shared" si="17"/>
        <v>2.5</v>
      </c>
      <c r="M103" s="51">
        <f t="shared" si="12"/>
        <v>2.5</v>
      </c>
    </row>
    <row r="104" spans="1:13" x14ac:dyDescent="0.25">
      <c r="A104" s="133">
        <v>45349</v>
      </c>
      <c r="B104" s="51" t="s">
        <v>56</v>
      </c>
      <c r="C104" s="135">
        <v>0.32291666666666669</v>
      </c>
      <c r="D104" s="135">
        <v>0.58333333333333337</v>
      </c>
      <c r="E104" s="53">
        <f t="shared" si="10"/>
        <v>5.75</v>
      </c>
      <c r="F104" s="51">
        <v>0.5</v>
      </c>
      <c r="H104" s="53"/>
      <c r="J104" s="53">
        <f t="shared" si="17"/>
        <v>3.75</v>
      </c>
      <c r="M104" s="51">
        <f t="shared" si="12"/>
        <v>3.75</v>
      </c>
    </row>
    <row r="105" spans="1:13" x14ac:dyDescent="0.25">
      <c r="A105" s="133">
        <v>45349</v>
      </c>
      <c r="B105" s="51" t="s">
        <v>44</v>
      </c>
      <c r="C105" s="135">
        <v>0.625</v>
      </c>
      <c r="D105" s="135">
        <v>0.72916666666666663</v>
      </c>
      <c r="E105" s="53">
        <f t="shared" si="10"/>
        <v>2.4999999999999991</v>
      </c>
      <c r="H105" s="53">
        <f t="shared" si="11"/>
        <v>4.4999999999999991</v>
      </c>
      <c r="M105" s="51">
        <f t="shared" si="12"/>
        <v>4.4999999999999991</v>
      </c>
    </row>
    <row r="106" spans="1:13" x14ac:dyDescent="0.25">
      <c r="A106" s="133">
        <v>45350</v>
      </c>
      <c r="B106" s="51" t="s">
        <v>56</v>
      </c>
      <c r="C106" s="135">
        <v>0.32291666666666669</v>
      </c>
      <c r="D106" s="135">
        <v>0.58333333333333337</v>
      </c>
      <c r="E106" s="53">
        <f t="shared" si="10"/>
        <v>5.75</v>
      </c>
      <c r="F106" s="51">
        <v>0.5</v>
      </c>
      <c r="H106" s="53"/>
      <c r="J106" s="53">
        <f>IF(WEEKDAY(A106, 2)&lt;6, E106-2, E106)</f>
        <v>3.75</v>
      </c>
      <c r="M106" s="51">
        <f t="shared" si="12"/>
        <v>3.75</v>
      </c>
    </row>
    <row r="107" spans="1:13" x14ac:dyDescent="0.25">
      <c r="A107" s="133">
        <v>45350</v>
      </c>
      <c r="B107" s="51" t="s">
        <v>49</v>
      </c>
      <c r="C107" s="135">
        <v>0.6875</v>
      </c>
      <c r="D107" s="135">
        <v>0.89583333333333337</v>
      </c>
      <c r="E107" s="53">
        <f t="shared" si="10"/>
        <v>5.0000000000000009</v>
      </c>
      <c r="H107" s="53">
        <f t="shared" si="11"/>
        <v>7.0000000000000009</v>
      </c>
      <c r="M107" s="51">
        <f t="shared" si="12"/>
        <v>7.0000000000000009</v>
      </c>
    </row>
    <row r="108" spans="1:13" x14ac:dyDescent="0.25">
      <c r="A108" s="136">
        <v>45351</v>
      </c>
      <c r="B108" s="51" t="s">
        <v>49</v>
      </c>
      <c r="C108" s="135">
        <v>0.70833333333333337</v>
      </c>
      <c r="D108" s="135">
        <v>0.95833333333333337</v>
      </c>
      <c r="E108" s="53">
        <f t="shared" si="10"/>
        <v>5.5</v>
      </c>
      <c r="F108" s="51">
        <v>0.5</v>
      </c>
      <c r="H108" s="53">
        <f t="shared" si="11"/>
        <v>7.5</v>
      </c>
      <c r="M108" s="51">
        <f t="shared" si="12"/>
        <v>7.5</v>
      </c>
    </row>
    <row r="109" spans="1:13" x14ac:dyDescent="0.25">
      <c r="A109" s="136">
        <v>45351</v>
      </c>
      <c r="B109" s="51" t="s">
        <v>56</v>
      </c>
      <c r="C109" s="135">
        <v>0.77083333333333337</v>
      </c>
      <c r="D109" s="135">
        <v>0.9375</v>
      </c>
      <c r="E109" s="53">
        <f t="shared" si="10"/>
        <v>3.9999999999999991</v>
      </c>
      <c r="H109" s="53"/>
      <c r="J109" s="53">
        <f t="shared" ref="J109:J110" si="18">IF(WEEKDAY(A109, 2)&lt;6, E109-2, E109)</f>
        <v>1.9999999999999991</v>
      </c>
      <c r="M109" s="51">
        <f t="shared" si="12"/>
        <v>1.9999999999999991</v>
      </c>
    </row>
    <row r="110" spans="1:13" x14ac:dyDescent="0.25">
      <c r="A110" s="133">
        <v>45352</v>
      </c>
      <c r="B110" s="51" t="s">
        <v>56</v>
      </c>
      <c r="C110" s="135">
        <v>0.32291666666666669</v>
      </c>
      <c r="D110" s="135">
        <v>0.58333333333333337</v>
      </c>
      <c r="E110" s="53">
        <f t="shared" si="10"/>
        <v>5.75</v>
      </c>
      <c r="F110" s="51">
        <v>0.5</v>
      </c>
      <c r="G110" s="55">
        <f>SUM(E:E)</f>
        <v>5521</v>
      </c>
      <c r="H110" s="53"/>
      <c r="J110" s="53">
        <f t="shared" si="18"/>
        <v>3.75</v>
      </c>
      <c r="M110" s="51">
        <f t="shared" si="12"/>
        <v>3.75</v>
      </c>
    </row>
    <row r="111" spans="1:13" x14ac:dyDescent="0.25">
      <c r="A111" s="133">
        <v>45352</v>
      </c>
      <c r="B111" s="51" t="s">
        <v>49</v>
      </c>
      <c r="C111" s="135">
        <v>0.6875</v>
      </c>
      <c r="D111" s="135">
        <v>0.97916666666666663</v>
      </c>
      <c r="E111" s="53">
        <f t="shared" si="10"/>
        <v>6.4999999999999991</v>
      </c>
      <c r="F111" s="51">
        <v>0.5</v>
      </c>
      <c r="H111" s="53">
        <f t="shared" si="11"/>
        <v>8.5</v>
      </c>
      <c r="M111" s="51">
        <f t="shared" si="12"/>
        <v>8.5</v>
      </c>
    </row>
    <row r="112" spans="1:13" x14ac:dyDescent="0.25">
      <c r="A112" s="133">
        <v>45352</v>
      </c>
      <c r="B112" s="51" t="s">
        <v>56</v>
      </c>
      <c r="C112" s="135">
        <v>0.77083333333333337</v>
      </c>
      <c r="D112" s="135">
        <v>0.95833333333333337</v>
      </c>
      <c r="E112" s="53">
        <f t="shared" si="10"/>
        <v>4.5</v>
      </c>
      <c r="H112" s="53"/>
      <c r="J112" s="53">
        <f t="shared" ref="J112:J113" si="19">IF(WEEKDAY(A112, 2)&lt;6, E112-2, E112)</f>
        <v>2.5</v>
      </c>
      <c r="M112" s="51">
        <f t="shared" si="12"/>
        <v>2.5</v>
      </c>
    </row>
    <row r="113" spans="1:13" x14ac:dyDescent="0.25">
      <c r="A113" s="133">
        <v>45353</v>
      </c>
      <c r="B113" s="51" t="s">
        <v>56</v>
      </c>
      <c r="C113" s="135">
        <v>0.33333333333333331</v>
      </c>
      <c r="D113" s="135">
        <v>0.5</v>
      </c>
      <c r="E113" s="53">
        <f t="shared" si="10"/>
        <v>4</v>
      </c>
      <c r="H113" s="53"/>
      <c r="J113" s="53">
        <f t="shared" si="19"/>
        <v>4</v>
      </c>
      <c r="M113" s="51">
        <f t="shared" si="12"/>
        <v>4</v>
      </c>
    </row>
    <row r="114" spans="1:13" x14ac:dyDescent="0.25">
      <c r="A114" s="133">
        <v>45353</v>
      </c>
      <c r="B114" s="51" t="s">
        <v>46</v>
      </c>
      <c r="C114" s="135">
        <v>0.45833333333333331</v>
      </c>
      <c r="D114" s="135">
        <v>0.70833333333333337</v>
      </c>
      <c r="E114" s="53">
        <f t="shared" si="10"/>
        <v>5.5000000000000018</v>
      </c>
      <c r="F114" s="51">
        <v>0.5</v>
      </c>
      <c r="H114" s="53">
        <f t="shared" si="11"/>
        <v>5.5000000000000018</v>
      </c>
      <c r="M114" s="51">
        <f t="shared" si="12"/>
        <v>5.5000000000000018</v>
      </c>
    </row>
    <row r="115" spans="1:13" x14ac:dyDescent="0.25">
      <c r="A115" s="133">
        <v>45353</v>
      </c>
      <c r="B115" s="51" t="s">
        <v>58</v>
      </c>
      <c r="C115" s="135">
        <v>0.5</v>
      </c>
      <c r="D115" s="135">
        <v>0.79166666666666663</v>
      </c>
      <c r="E115" s="53">
        <f t="shared" si="10"/>
        <v>6.4999999999999991</v>
      </c>
      <c r="F115" s="51">
        <v>0.5</v>
      </c>
      <c r="H115" s="53">
        <f t="shared" si="11"/>
        <v>6.4999999999999991</v>
      </c>
      <c r="M115" s="51">
        <f t="shared" si="12"/>
        <v>6.4999999999999991</v>
      </c>
    </row>
    <row r="116" spans="1:13" x14ac:dyDescent="0.25">
      <c r="A116" s="133">
        <v>45355</v>
      </c>
      <c r="B116" s="51" t="s">
        <v>56</v>
      </c>
      <c r="C116" s="135">
        <v>0.32291666666666669</v>
      </c>
      <c r="D116" s="135">
        <v>0.58333333333333337</v>
      </c>
      <c r="E116" s="53">
        <f t="shared" si="10"/>
        <v>5.75</v>
      </c>
      <c r="F116" s="51">
        <v>0.5</v>
      </c>
      <c r="H116" s="53"/>
      <c r="J116" s="53">
        <f t="shared" ref="J116:J123" si="20">IF(WEEKDAY(A116, 2)&lt;6, E116-2, E116)</f>
        <v>3.75</v>
      </c>
      <c r="M116" s="51">
        <f t="shared" si="12"/>
        <v>3.75</v>
      </c>
    </row>
    <row r="117" spans="1:13" x14ac:dyDescent="0.25">
      <c r="A117" s="133">
        <v>45356</v>
      </c>
      <c r="B117" s="51" t="s">
        <v>56</v>
      </c>
      <c r="C117" s="135">
        <v>0.32291666666666669</v>
      </c>
      <c r="D117" s="135">
        <v>0.58333333333333337</v>
      </c>
      <c r="E117" s="53">
        <f t="shared" si="10"/>
        <v>5.75</v>
      </c>
      <c r="F117" s="51">
        <v>0.5</v>
      </c>
      <c r="H117" s="53"/>
      <c r="J117" s="53">
        <f t="shared" si="20"/>
        <v>3.75</v>
      </c>
      <c r="M117" s="51">
        <f t="shared" si="12"/>
        <v>3.75</v>
      </c>
    </row>
    <row r="118" spans="1:13" x14ac:dyDescent="0.25">
      <c r="A118" s="133">
        <v>45356</v>
      </c>
      <c r="B118" s="51" t="s">
        <v>56</v>
      </c>
      <c r="C118" s="135">
        <v>0.70833333333333337</v>
      </c>
      <c r="D118" s="135">
        <v>0.875</v>
      </c>
      <c r="E118" s="53">
        <f t="shared" si="10"/>
        <v>3.9999999999999991</v>
      </c>
      <c r="H118" s="53"/>
      <c r="J118" s="53">
        <f t="shared" si="20"/>
        <v>1.9999999999999991</v>
      </c>
      <c r="M118" s="51">
        <f t="shared" si="12"/>
        <v>1.9999999999999991</v>
      </c>
    </row>
    <row r="119" spans="1:13" x14ac:dyDescent="0.25">
      <c r="A119" s="133">
        <v>45357</v>
      </c>
      <c r="B119" s="51" t="s">
        <v>56</v>
      </c>
      <c r="C119" s="135">
        <v>0.375</v>
      </c>
      <c r="D119" s="135">
        <v>0.58333333333333337</v>
      </c>
      <c r="E119" s="53">
        <f t="shared" si="10"/>
        <v>5.0000000000000009</v>
      </c>
      <c r="H119" s="53"/>
      <c r="J119" s="53">
        <f t="shared" si="20"/>
        <v>3.0000000000000009</v>
      </c>
      <c r="M119" s="51">
        <f t="shared" si="12"/>
        <v>3.0000000000000009</v>
      </c>
    </row>
    <row r="120" spans="1:13" x14ac:dyDescent="0.25">
      <c r="A120" s="133">
        <v>45357</v>
      </c>
      <c r="B120" s="51" t="s">
        <v>56</v>
      </c>
      <c r="C120" s="135">
        <v>0.6875</v>
      </c>
      <c r="D120" s="135">
        <v>0.89583333333333337</v>
      </c>
      <c r="E120" s="53">
        <f t="shared" si="10"/>
        <v>5.0000000000000009</v>
      </c>
      <c r="H120" s="53"/>
      <c r="J120" s="53">
        <f t="shared" si="20"/>
        <v>3.0000000000000009</v>
      </c>
      <c r="M120" s="51">
        <f t="shared" si="12"/>
        <v>3.0000000000000009</v>
      </c>
    </row>
    <row r="121" spans="1:13" x14ac:dyDescent="0.25">
      <c r="A121" s="133">
        <v>45358</v>
      </c>
      <c r="B121" s="51" t="s">
        <v>56</v>
      </c>
      <c r="C121" s="135">
        <v>0.32291666666666669</v>
      </c>
      <c r="D121" s="135">
        <v>0.58333333333333337</v>
      </c>
      <c r="E121" s="53">
        <f t="shared" si="10"/>
        <v>5.75</v>
      </c>
      <c r="F121" s="51">
        <v>0.5</v>
      </c>
      <c r="H121" s="53"/>
      <c r="J121" s="53">
        <f t="shared" si="20"/>
        <v>3.75</v>
      </c>
      <c r="M121" s="51">
        <f t="shared" si="12"/>
        <v>3.75</v>
      </c>
    </row>
    <row r="122" spans="1:13" x14ac:dyDescent="0.25">
      <c r="A122" s="133">
        <v>45358</v>
      </c>
      <c r="B122" s="51" t="s">
        <v>56</v>
      </c>
      <c r="C122" s="135">
        <v>0.77083333333333337</v>
      </c>
      <c r="D122" s="135">
        <v>0.9375</v>
      </c>
      <c r="E122" s="53">
        <f t="shared" si="10"/>
        <v>3.9999999999999991</v>
      </c>
      <c r="H122" s="53"/>
      <c r="J122" s="53">
        <f t="shared" si="20"/>
        <v>1.9999999999999991</v>
      </c>
      <c r="M122" s="51">
        <f t="shared" si="12"/>
        <v>1.9999999999999991</v>
      </c>
    </row>
    <row r="123" spans="1:13" x14ac:dyDescent="0.25">
      <c r="A123" s="133">
        <v>45359</v>
      </c>
      <c r="B123" s="51" t="s">
        <v>56</v>
      </c>
      <c r="C123" s="135">
        <v>0.32291666666666669</v>
      </c>
      <c r="D123" s="135">
        <v>0.58333333333333337</v>
      </c>
      <c r="E123" s="53">
        <f t="shared" si="10"/>
        <v>5.75</v>
      </c>
      <c r="F123" s="51">
        <v>0.5</v>
      </c>
      <c r="H123" s="53"/>
      <c r="J123" s="53">
        <f t="shared" si="20"/>
        <v>3.75</v>
      </c>
      <c r="M123" s="51">
        <f t="shared" si="12"/>
        <v>3.75</v>
      </c>
    </row>
    <row r="124" spans="1:13" x14ac:dyDescent="0.25">
      <c r="A124" s="133">
        <v>45359</v>
      </c>
      <c r="B124" s="51" t="s">
        <v>58</v>
      </c>
      <c r="C124" s="135">
        <v>0.75</v>
      </c>
      <c r="D124" s="135">
        <v>0.95833333333333337</v>
      </c>
      <c r="E124" s="53">
        <f t="shared" si="10"/>
        <v>5.0000000000000009</v>
      </c>
      <c r="H124" s="53">
        <f t="shared" si="11"/>
        <v>7.0000000000000009</v>
      </c>
      <c r="M124" s="51">
        <f t="shared" si="12"/>
        <v>7.0000000000000009</v>
      </c>
    </row>
    <row r="125" spans="1:13" x14ac:dyDescent="0.25">
      <c r="A125" s="133">
        <v>45360</v>
      </c>
      <c r="B125" s="51" t="s">
        <v>56</v>
      </c>
      <c r="C125" s="135">
        <v>0.33333333333333331</v>
      </c>
      <c r="D125" s="135">
        <v>0.5</v>
      </c>
      <c r="E125" s="53">
        <f t="shared" si="10"/>
        <v>4</v>
      </c>
      <c r="H125" s="53"/>
      <c r="J125" s="53">
        <f>IF(WEEKDAY(A125, 2)&lt;6, E125-2, E125)</f>
        <v>4</v>
      </c>
      <c r="M125" s="51">
        <f t="shared" si="12"/>
        <v>4</v>
      </c>
    </row>
    <row r="126" spans="1:13" x14ac:dyDescent="0.25">
      <c r="A126" s="133">
        <v>45360</v>
      </c>
      <c r="B126" s="51" t="s">
        <v>46</v>
      </c>
      <c r="C126" s="135">
        <v>0.5</v>
      </c>
      <c r="D126" s="135">
        <v>0.79166666666666663</v>
      </c>
      <c r="E126" s="53">
        <f t="shared" si="10"/>
        <v>6.4999999999999991</v>
      </c>
      <c r="F126" s="51">
        <v>0.5</v>
      </c>
      <c r="H126" s="53">
        <f t="shared" si="11"/>
        <v>6.4999999999999991</v>
      </c>
      <c r="M126" s="51">
        <f t="shared" si="12"/>
        <v>6.4999999999999991</v>
      </c>
    </row>
    <row r="127" spans="1:13" x14ac:dyDescent="0.25">
      <c r="A127" s="133">
        <v>45360</v>
      </c>
      <c r="B127" s="51" t="s">
        <v>58</v>
      </c>
      <c r="C127" s="135">
        <v>0.5</v>
      </c>
      <c r="D127" s="135">
        <v>4.1666666666666664E-2</v>
      </c>
      <c r="E127" s="53">
        <f t="shared" si="10"/>
        <v>12.000000000000002</v>
      </c>
      <c r="F127" s="51">
        <v>1</v>
      </c>
      <c r="H127" s="53">
        <f t="shared" si="11"/>
        <v>12.000000000000002</v>
      </c>
      <c r="M127" s="51">
        <f t="shared" si="12"/>
        <v>12.000000000000002</v>
      </c>
    </row>
    <row r="128" spans="1:13" x14ac:dyDescent="0.25">
      <c r="A128" s="133">
        <v>45360</v>
      </c>
      <c r="B128" s="51" t="s">
        <v>53</v>
      </c>
      <c r="C128" s="135">
        <v>0.58333333333333337</v>
      </c>
      <c r="D128" s="135">
        <v>0.83333333333333337</v>
      </c>
      <c r="E128" s="53">
        <f t="shared" si="10"/>
        <v>5.5</v>
      </c>
      <c r="F128" s="51">
        <v>0.5</v>
      </c>
      <c r="H128" s="53">
        <f t="shared" si="11"/>
        <v>5.5</v>
      </c>
      <c r="M128" s="51">
        <f t="shared" si="12"/>
        <v>5.5</v>
      </c>
    </row>
    <row r="129" spans="1:13" x14ac:dyDescent="0.25">
      <c r="A129" s="133">
        <v>45360</v>
      </c>
      <c r="B129" s="51" t="s">
        <v>48</v>
      </c>
      <c r="C129" s="135">
        <v>0.625</v>
      </c>
      <c r="D129" s="135">
        <v>4.1666666666666664E-2</v>
      </c>
      <c r="E129" s="53">
        <f t="shared" si="10"/>
        <v>9</v>
      </c>
      <c r="F129" s="51">
        <v>1</v>
      </c>
      <c r="H129" s="53">
        <f t="shared" si="11"/>
        <v>9</v>
      </c>
      <c r="M129" s="51">
        <f t="shared" si="12"/>
        <v>9</v>
      </c>
    </row>
    <row r="130" spans="1:13" x14ac:dyDescent="0.25">
      <c r="A130" s="137">
        <v>45361</v>
      </c>
      <c r="B130" s="51" t="s">
        <v>58</v>
      </c>
      <c r="C130" s="138">
        <v>0.41666666666666669</v>
      </c>
      <c r="D130" s="138">
        <v>0.85416666666666663</v>
      </c>
      <c r="E130" s="139">
        <v>6</v>
      </c>
      <c r="F130" s="140">
        <v>0.5</v>
      </c>
      <c r="G130" s="140"/>
      <c r="H130" s="53">
        <f t="shared" si="11"/>
        <v>6</v>
      </c>
      <c r="I130" s="51" t="s">
        <v>88</v>
      </c>
      <c r="M130" s="51">
        <f t="shared" si="12"/>
        <v>6</v>
      </c>
    </row>
    <row r="131" spans="1:13" x14ac:dyDescent="0.25">
      <c r="A131" s="133">
        <v>45362</v>
      </c>
      <c r="B131" s="51" t="s">
        <v>56</v>
      </c>
      <c r="C131" s="135">
        <v>0.45833333333333331</v>
      </c>
      <c r="D131" s="135">
        <v>0.58333333333333337</v>
      </c>
      <c r="E131" s="53">
        <f t="shared" ref="E131:E194" si="21">MOD((D131-C131),1) *24 - F131</f>
        <v>3.0000000000000013</v>
      </c>
      <c r="H131" s="53"/>
      <c r="J131" s="53">
        <f>IF(WEEKDAY(A131, 2)&lt;6, E131-2, E131)</f>
        <v>1.0000000000000013</v>
      </c>
      <c r="M131" s="51">
        <f t="shared" ref="M131:M194" si="22">IF(H131&lt;&gt;"",H131,J131)</f>
        <v>1.0000000000000013</v>
      </c>
    </row>
    <row r="132" spans="1:13" x14ac:dyDescent="0.25">
      <c r="A132" s="133">
        <v>45362</v>
      </c>
      <c r="B132" s="51" t="s">
        <v>51</v>
      </c>
      <c r="C132" s="135">
        <v>0.6875</v>
      </c>
      <c r="D132" s="135">
        <v>0.91666666666666663</v>
      </c>
      <c r="E132" s="53">
        <f t="shared" si="21"/>
        <v>5.4999999999999991</v>
      </c>
      <c r="H132" s="53">
        <f t="shared" ref="H132:H192" si="23">IF(WEEKDAY(A132, 2)&lt;6, E132+2, E132)</f>
        <v>7.4999999999999991</v>
      </c>
      <c r="M132" s="51">
        <f t="shared" si="22"/>
        <v>7.4999999999999991</v>
      </c>
    </row>
    <row r="133" spans="1:13" x14ac:dyDescent="0.25">
      <c r="A133" s="133">
        <v>45363</v>
      </c>
      <c r="B133" s="51" t="s">
        <v>56</v>
      </c>
      <c r="C133" s="135">
        <v>0.375</v>
      </c>
      <c r="D133" s="135">
        <v>0.58333333333333337</v>
      </c>
      <c r="E133" s="53">
        <f t="shared" si="21"/>
        <v>5.0000000000000009</v>
      </c>
      <c r="H133" s="53"/>
      <c r="J133" s="53">
        <f t="shared" ref="J133:J134" si="24">IF(WEEKDAY(A133, 2)&lt;6, E133-2, E133)</f>
        <v>3.0000000000000009</v>
      </c>
      <c r="M133" s="51">
        <f t="shared" si="22"/>
        <v>3.0000000000000009</v>
      </c>
    </row>
    <row r="134" spans="1:13" x14ac:dyDescent="0.25">
      <c r="A134" s="133">
        <v>45364</v>
      </c>
      <c r="B134" s="51" t="s">
        <v>56</v>
      </c>
      <c r="C134" s="135">
        <v>0.32291666666666669</v>
      </c>
      <c r="D134" s="135">
        <v>0.58333333333333337</v>
      </c>
      <c r="E134" s="53">
        <f t="shared" si="21"/>
        <v>5.75</v>
      </c>
      <c r="F134" s="51">
        <v>0.5</v>
      </c>
      <c r="H134" s="53"/>
      <c r="J134" s="53">
        <f t="shared" si="24"/>
        <v>3.75</v>
      </c>
      <c r="M134" s="51">
        <f t="shared" si="22"/>
        <v>3.75</v>
      </c>
    </row>
    <row r="135" spans="1:13" x14ac:dyDescent="0.25">
      <c r="A135" s="133">
        <v>45364</v>
      </c>
      <c r="B135" s="51" t="s">
        <v>49</v>
      </c>
      <c r="C135" s="135">
        <v>0.6875</v>
      </c>
      <c r="D135" s="135">
        <v>0.89583333333333337</v>
      </c>
      <c r="E135" s="53">
        <f t="shared" si="21"/>
        <v>5.0000000000000009</v>
      </c>
      <c r="H135" s="53">
        <f t="shared" si="23"/>
        <v>7.0000000000000009</v>
      </c>
      <c r="M135" s="51">
        <f t="shared" si="22"/>
        <v>7.0000000000000009</v>
      </c>
    </row>
    <row r="136" spans="1:13" x14ac:dyDescent="0.25">
      <c r="A136" s="133">
        <v>45365</v>
      </c>
      <c r="B136" s="51" t="s">
        <v>53</v>
      </c>
      <c r="C136" s="135">
        <v>0.29166666666666669</v>
      </c>
      <c r="D136" s="135">
        <v>0.58333333333333337</v>
      </c>
      <c r="E136" s="53">
        <f t="shared" si="21"/>
        <v>7</v>
      </c>
      <c r="H136" s="53">
        <f t="shared" si="23"/>
        <v>9</v>
      </c>
      <c r="M136" s="51">
        <f t="shared" si="22"/>
        <v>9</v>
      </c>
    </row>
    <row r="137" spans="1:13" x14ac:dyDescent="0.25">
      <c r="A137" s="133">
        <v>45365</v>
      </c>
      <c r="B137" s="51" t="s">
        <v>56</v>
      </c>
      <c r="C137" s="135">
        <v>0.32291666666666669</v>
      </c>
      <c r="D137" s="135">
        <v>0.58333333333333337</v>
      </c>
      <c r="E137" s="53">
        <f t="shared" si="21"/>
        <v>5.75</v>
      </c>
      <c r="F137" s="51">
        <v>0.5</v>
      </c>
      <c r="H137" s="53"/>
      <c r="J137" s="53">
        <f>IF(WEEKDAY(A137, 2)&lt;6, E137-2, E137)</f>
        <v>3.75</v>
      </c>
      <c r="M137" s="51">
        <f t="shared" si="22"/>
        <v>3.75</v>
      </c>
    </row>
    <row r="138" spans="1:13" x14ac:dyDescent="0.25">
      <c r="A138" s="133">
        <v>45365</v>
      </c>
      <c r="B138" s="51" t="s">
        <v>53</v>
      </c>
      <c r="C138" s="135">
        <v>0.70833333333333337</v>
      </c>
      <c r="D138" s="135">
        <v>0.8125</v>
      </c>
      <c r="E138" s="53">
        <f t="shared" si="21"/>
        <v>2.4999999999999991</v>
      </c>
      <c r="H138" s="53">
        <f t="shared" si="23"/>
        <v>4.4999999999999991</v>
      </c>
      <c r="M138" s="51">
        <f t="shared" si="22"/>
        <v>4.4999999999999991</v>
      </c>
    </row>
    <row r="139" spans="1:13" x14ac:dyDescent="0.25">
      <c r="A139" s="133">
        <v>45365</v>
      </c>
      <c r="B139" s="51" t="s">
        <v>56</v>
      </c>
      <c r="C139" s="135">
        <v>0.77083333333333337</v>
      </c>
      <c r="D139" s="135">
        <v>0.9375</v>
      </c>
      <c r="E139" s="53">
        <f t="shared" si="21"/>
        <v>3.9999999999999991</v>
      </c>
      <c r="H139" s="53"/>
      <c r="J139" s="53">
        <f t="shared" ref="J139:J140" si="25">IF(WEEKDAY(A139, 2)&lt;6, E139-2, E139)</f>
        <v>1.9999999999999991</v>
      </c>
      <c r="M139" s="51">
        <f t="shared" si="22"/>
        <v>1.9999999999999991</v>
      </c>
    </row>
    <row r="140" spans="1:13" x14ac:dyDescent="0.25">
      <c r="A140" s="133">
        <v>45366</v>
      </c>
      <c r="B140" s="51" t="s">
        <v>56</v>
      </c>
      <c r="C140" s="135">
        <v>0.32291666666666669</v>
      </c>
      <c r="D140" s="135">
        <v>0.58333333333333337</v>
      </c>
      <c r="E140" s="53">
        <f t="shared" si="21"/>
        <v>5.75</v>
      </c>
      <c r="F140" s="51">
        <v>0.5</v>
      </c>
      <c r="H140" s="53"/>
      <c r="J140" s="53">
        <f t="shared" si="25"/>
        <v>3.75</v>
      </c>
      <c r="M140" s="51">
        <f t="shared" si="22"/>
        <v>3.75</v>
      </c>
    </row>
    <row r="141" spans="1:13" x14ac:dyDescent="0.25">
      <c r="A141" s="133">
        <v>45366</v>
      </c>
      <c r="B141" s="51" t="s">
        <v>51</v>
      </c>
      <c r="C141" s="135">
        <v>0.54166666666666663</v>
      </c>
      <c r="D141" s="135">
        <v>0.91666666666666663</v>
      </c>
      <c r="E141" s="53">
        <f t="shared" si="21"/>
        <v>8</v>
      </c>
      <c r="F141" s="51">
        <v>1</v>
      </c>
      <c r="H141" s="53">
        <f t="shared" si="23"/>
        <v>10</v>
      </c>
      <c r="M141" s="51">
        <f t="shared" si="22"/>
        <v>10</v>
      </c>
    </row>
    <row r="142" spans="1:13" x14ac:dyDescent="0.25">
      <c r="A142" s="133">
        <v>45366</v>
      </c>
      <c r="B142" s="51" t="s">
        <v>58</v>
      </c>
      <c r="C142" s="135">
        <v>0.75</v>
      </c>
      <c r="D142" s="135">
        <v>0.95833333333333337</v>
      </c>
      <c r="E142" s="53">
        <f t="shared" si="21"/>
        <v>5.0000000000000009</v>
      </c>
      <c r="H142" s="53">
        <f t="shared" si="23"/>
        <v>7.0000000000000009</v>
      </c>
      <c r="M142" s="51">
        <f t="shared" si="22"/>
        <v>7.0000000000000009</v>
      </c>
    </row>
    <row r="143" spans="1:13" x14ac:dyDescent="0.25">
      <c r="A143" s="133">
        <v>45367</v>
      </c>
      <c r="B143" s="51" t="s">
        <v>56</v>
      </c>
      <c r="C143" s="135">
        <v>0.33333333333333331</v>
      </c>
      <c r="D143" s="135">
        <v>0.5</v>
      </c>
      <c r="E143" s="53">
        <f t="shared" si="21"/>
        <v>4</v>
      </c>
      <c r="H143" s="53"/>
      <c r="J143" s="53">
        <f>IF(WEEKDAY(A143, 2)&lt;6, E143-2, E143)</f>
        <v>4</v>
      </c>
      <c r="M143" s="51">
        <f t="shared" si="22"/>
        <v>4</v>
      </c>
    </row>
    <row r="144" spans="1:13" x14ac:dyDescent="0.25">
      <c r="A144" s="133">
        <v>45367</v>
      </c>
      <c r="B144" s="51" t="s">
        <v>53</v>
      </c>
      <c r="C144" s="135">
        <v>0.45833333333333331</v>
      </c>
      <c r="D144" s="135">
        <v>4.1666666666666664E-2</v>
      </c>
      <c r="E144" s="53">
        <f t="shared" si="21"/>
        <v>13</v>
      </c>
      <c r="F144" s="51">
        <v>1</v>
      </c>
      <c r="H144" s="53">
        <f t="shared" si="23"/>
        <v>13</v>
      </c>
      <c r="M144" s="51">
        <f t="shared" si="22"/>
        <v>13</v>
      </c>
    </row>
    <row r="145" spans="1:13" x14ac:dyDescent="0.25">
      <c r="A145" s="133">
        <v>45367</v>
      </c>
      <c r="B145" s="51" t="s">
        <v>48</v>
      </c>
      <c r="C145" s="135">
        <v>0.5</v>
      </c>
      <c r="D145" s="135">
        <v>0.79166666666666663</v>
      </c>
      <c r="E145" s="53">
        <f t="shared" si="21"/>
        <v>6.4999999999999991</v>
      </c>
      <c r="F145" s="51">
        <v>0.5</v>
      </c>
      <c r="H145" s="53">
        <f t="shared" si="23"/>
        <v>6.4999999999999991</v>
      </c>
      <c r="M145" s="51">
        <f t="shared" si="22"/>
        <v>6.4999999999999991</v>
      </c>
    </row>
    <row r="146" spans="1:13" x14ac:dyDescent="0.25">
      <c r="A146" s="133">
        <v>45367</v>
      </c>
      <c r="B146" s="51" t="s">
        <v>58</v>
      </c>
      <c r="C146" s="135">
        <v>0.58333333333333337</v>
      </c>
      <c r="D146" s="135">
        <v>0.95833333333333337</v>
      </c>
      <c r="E146" s="53">
        <f t="shared" si="21"/>
        <v>8</v>
      </c>
      <c r="F146" s="51">
        <v>1</v>
      </c>
      <c r="H146" s="53">
        <f t="shared" si="23"/>
        <v>8</v>
      </c>
      <c r="M146" s="51">
        <f t="shared" si="22"/>
        <v>8</v>
      </c>
    </row>
    <row r="147" spans="1:13" x14ac:dyDescent="0.25">
      <c r="A147" s="133">
        <v>45368</v>
      </c>
      <c r="B147" s="51" t="s">
        <v>58</v>
      </c>
      <c r="C147" s="135">
        <v>0.41666666666666669</v>
      </c>
      <c r="D147" s="135">
        <v>0.91666666666666663</v>
      </c>
      <c r="E147" s="53">
        <f t="shared" si="21"/>
        <v>10.999999999999998</v>
      </c>
      <c r="F147" s="51">
        <v>1</v>
      </c>
      <c r="H147" s="53">
        <f t="shared" si="23"/>
        <v>10.999999999999998</v>
      </c>
      <c r="M147" s="51">
        <f t="shared" si="22"/>
        <v>10.999999999999998</v>
      </c>
    </row>
    <row r="148" spans="1:13" x14ac:dyDescent="0.25">
      <c r="A148" s="133">
        <v>45368</v>
      </c>
      <c r="B148" s="51" t="s">
        <v>53</v>
      </c>
      <c r="C148" s="135">
        <v>0.45833333333333331</v>
      </c>
      <c r="D148" s="135">
        <v>0.875</v>
      </c>
      <c r="E148" s="53">
        <f t="shared" si="21"/>
        <v>9</v>
      </c>
      <c r="F148" s="51">
        <v>1</v>
      </c>
      <c r="H148" s="53">
        <f t="shared" si="23"/>
        <v>9</v>
      </c>
      <c r="M148" s="51">
        <f t="shared" si="22"/>
        <v>9</v>
      </c>
    </row>
    <row r="149" spans="1:13" x14ac:dyDescent="0.25">
      <c r="A149" s="133">
        <v>45369</v>
      </c>
      <c r="B149" s="51" t="s">
        <v>56</v>
      </c>
      <c r="C149" s="135">
        <v>0.32291666666666669</v>
      </c>
      <c r="D149" s="135">
        <v>0.58333333333333337</v>
      </c>
      <c r="E149" s="53">
        <f t="shared" si="21"/>
        <v>5.75</v>
      </c>
      <c r="F149" s="51">
        <v>0.5</v>
      </c>
      <c r="H149" s="53"/>
      <c r="J149" s="53">
        <f t="shared" ref="J149:J151" si="26">IF(WEEKDAY(A149, 2)&lt;6, E149-2, E149)</f>
        <v>3.75</v>
      </c>
      <c r="M149" s="51">
        <f t="shared" si="22"/>
        <v>3.75</v>
      </c>
    </row>
    <row r="150" spans="1:13" x14ac:dyDescent="0.25">
      <c r="A150" s="133">
        <v>45370</v>
      </c>
      <c r="B150" s="51" t="s">
        <v>56</v>
      </c>
      <c r="C150" s="135">
        <v>0.32291666666666669</v>
      </c>
      <c r="D150" s="135">
        <v>0.58333333333333337</v>
      </c>
      <c r="E150" s="53">
        <f t="shared" si="21"/>
        <v>5.75</v>
      </c>
      <c r="F150" s="51">
        <v>0.5</v>
      </c>
      <c r="H150" s="53"/>
      <c r="J150" s="53">
        <f t="shared" si="26"/>
        <v>3.75</v>
      </c>
      <c r="M150" s="51">
        <f t="shared" si="22"/>
        <v>3.75</v>
      </c>
    </row>
    <row r="151" spans="1:13" x14ac:dyDescent="0.25">
      <c r="A151" s="133">
        <v>45371</v>
      </c>
      <c r="B151" s="51" t="s">
        <v>56</v>
      </c>
      <c r="C151" s="135">
        <v>0.32291666666666669</v>
      </c>
      <c r="D151" s="135">
        <v>0.58333333333333337</v>
      </c>
      <c r="E151" s="53">
        <f t="shared" si="21"/>
        <v>5.75</v>
      </c>
      <c r="F151" s="51">
        <v>0.5</v>
      </c>
      <c r="H151" s="53"/>
      <c r="J151" s="53">
        <f t="shared" si="26"/>
        <v>3.75</v>
      </c>
      <c r="M151" s="51">
        <f t="shared" si="22"/>
        <v>3.75</v>
      </c>
    </row>
    <row r="152" spans="1:13" x14ac:dyDescent="0.25">
      <c r="A152" s="133">
        <v>45371</v>
      </c>
      <c r="B152" s="51" t="s">
        <v>53</v>
      </c>
      <c r="C152" s="135">
        <v>0.70833333333333337</v>
      </c>
      <c r="D152" s="135">
        <v>0.91666666666666663</v>
      </c>
      <c r="E152" s="53">
        <f t="shared" si="21"/>
        <v>4.9999999999999982</v>
      </c>
      <c r="H152" s="53">
        <f t="shared" si="23"/>
        <v>6.9999999999999982</v>
      </c>
      <c r="M152" s="51">
        <f t="shared" si="22"/>
        <v>6.9999999999999982</v>
      </c>
    </row>
    <row r="153" spans="1:13" x14ac:dyDescent="0.25">
      <c r="A153" s="133">
        <v>45372</v>
      </c>
      <c r="B153" s="51" t="s">
        <v>56</v>
      </c>
      <c r="C153" s="135">
        <v>0.32291666666666669</v>
      </c>
      <c r="D153" s="135">
        <v>0.58333333333333337</v>
      </c>
      <c r="E153" s="53">
        <f t="shared" si="21"/>
        <v>5.75</v>
      </c>
      <c r="F153" s="51">
        <v>0.5</v>
      </c>
      <c r="H153" s="53"/>
      <c r="J153" s="53">
        <f>IF(WEEKDAY(A153, 2)&lt;6, E153-2, E153)</f>
        <v>3.75</v>
      </c>
      <c r="M153" s="51">
        <f t="shared" si="22"/>
        <v>3.75</v>
      </c>
    </row>
    <row r="154" spans="1:13" x14ac:dyDescent="0.25">
      <c r="A154" s="133">
        <v>45372</v>
      </c>
      <c r="B154" s="51" t="s">
        <v>49</v>
      </c>
      <c r="C154" s="135">
        <v>0.6875</v>
      </c>
      <c r="D154" s="135">
        <v>0.77083333333333337</v>
      </c>
      <c r="E154" s="53">
        <f t="shared" si="21"/>
        <v>2.0000000000000009</v>
      </c>
      <c r="H154" s="53">
        <f t="shared" si="23"/>
        <v>4.0000000000000009</v>
      </c>
      <c r="M154" s="51">
        <f t="shared" si="22"/>
        <v>4.0000000000000009</v>
      </c>
    </row>
    <row r="155" spans="1:13" x14ac:dyDescent="0.25">
      <c r="A155" s="133">
        <v>45372</v>
      </c>
      <c r="B155" s="51" t="s">
        <v>56</v>
      </c>
      <c r="C155" s="135">
        <v>0.77083333333333337</v>
      </c>
      <c r="D155" s="135">
        <v>0.9375</v>
      </c>
      <c r="E155" s="53">
        <f t="shared" si="21"/>
        <v>3.9999999999999991</v>
      </c>
      <c r="H155" s="53"/>
      <c r="J155" s="53">
        <f t="shared" ref="J155:J156" si="27">IF(WEEKDAY(A155, 2)&lt;6, E155-2, E155)</f>
        <v>1.9999999999999991</v>
      </c>
      <c r="M155" s="51">
        <f t="shared" si="22"/>
        <v>1.9999999999999991</v>
      </c>
    </row>
    <row r="156" spans="1:13" x14ac:dyDescent="0.25">
      <c r="A156" s="133">
        <v>45373</v>
      </c>
      <c r="B156" s="51" t="s">
        <v>56</v>
      </c>
      <c r="C156" s="135">
        <v>0.32291666666666669</v>
      </c>
      <c r="D156" s="135">
        <v>0.58333333333333337</v>
      </c>
      <c r="E156" s="53">
        <f t="shared" si="21"/>
        <v>5.75</v>
      </c>
      <c r="F156" s="51">
        <v>0.5</v>
      </c>
      <c r="H156" s="53"/>
      <c r="J156" s="53">
        <f t="shared" si="27"/>
        <v>3.75</v>
      </c>
      <c r="M156" s="51">
        <f t="shared" si="22"/>
        <v>3.75</v>
      </c>
    </row>
    <row r="157" spans="1:13" x14ac:dyDescent="0.25">
      <c r="A157" s="133">
        <v>45373</v>
      </c>
      <c r="B157" s="51" t="s">
        <v>58</v>
      </c>
      <c r="C157" s="135">
        <v>0.75</v>
      </c>
      <c r="D157" s="135">
        <v>0.95833333333333337</v>
      </c>
      <c r="E157" s="53">
        <f t="shared" si="21"/>
        <v>5.0000000000000009</v>
      </c>
      <c r="H157" s="53">
        <f t="shared" si="23"/>
        <v>7.0000000000000009</v>
      </c>
      <c r="M157" s="51">
        <f t="shared" si="22"/>
        <v>7.0000000000000009</v>
      </c>
    </row>
    <row r="158" spans="1:13" x14ac:dyDescent="0.25">
      <c r="A158" s="133">
        <v>45374</v>
      </c>
      <c r="B158" s="51" t="s">
        <v>56</v>
      </c>
      <c r="C158" s="135">
        <v>0.33333333333333331</v>
      </c>
      <c r="D158" s="135">
        <v>0.5</v>
      </c>
      <c r="E158" s="53">
        <f t="shared" si="21"/>
        <v>4</v>
      </c>
      <c r="H158" s="53"/>
      <c r="J158" s="53">
        <f>IF(WEEKDAY(A158, 2)&lt;6, E158-2, E158)</f>
        <v>4</v>
      </c>
      <c r="M158" s="51">
        <f t="shared" si="22"/>
        <v>4</v>
      </c>
    </row>
    <row r="159" spans="1:13" x14ac:dyDescent="0.25">
      <c r="A159" s="133">
        <v>45374</v>
      </c>
      <c r="B159" s="51" t="s">
        <v>46</v>
      </c>
      <c r="C159" s="135">
        <v>0.60416666666666663</v>
      </c>
      <c r="D159" s="135">
        <v>0.85416666666666663</v>
      </c>
      <c r="E159" s="53">
        <f t="shared" si="21"/>
        <v>5.5</v>
      </c>
      <c r="F159" s="51">
        <v>0.5</v>
      </c>
      <c r="H159" s="53">
        <f t="shared" si="23"/>
        <v>5.5</v>
      </c>
      <c r="M159" s="51">
        <f t="shared" si="22"/>
        <v>5.5</v>
      </c>
    </row>
    <row r="160" spans="1:13" x14ac:dyDescent="0.25">
      <c r="A160" s="133">
        <v>45374</v>
      </c>
      <c r="B160" s="51" t="s">
        <v>58</v>
      </c>
      <c r="C160" s="135">
        <v>0.75</v>
      </c>
      <c r="D160" s="135">
        <v>0.95833333333333337</v>
      </c>
      <c r="E160" s="53">
        <f t="shared" si="21"/>
        <v>5.0000000000000009</v>
      </c>
      <c r="H160" s="53">
        <f t="shared" si="23"/>
        <v>5.0000000000000009</v>
      </c>
      <c r="M160" s="51">
        <f t="shared" si="22"/>
        <v>5.0000000000000009</v>
      </c>
    </row>
    <row r="161" spans="1:13" x14ac:dyDescent="0.25">
      <c r="A161" s="133">
        <v>45375</v>
      </c>
      <c r="B161" s="51" t="s">
        <v>53</v>
      </c>
      <c r="C161" s="135">
        <v>0.33333333333333331</v>
      </c>
      <c r="D161" s="135">
        <v>0.66666666666666663</v>
      </c>
      <c r="E161" s="53">
        <f t="shared" si="21"/>
        <v>8</v>
      </c>
      <c r="H161" s="53">
        <f t="shared" si="23"/>
        <v>8</v>
      </c>
      <c r="M161" s="51">
        <f t="shared" si="22"/>
        <v>8</v>
      </c>
    </row>
    <row r="162" spans="1:13" x14ac:dyDescent="0.25">
      <c r="A162" s="133">
        <v>45376</v>
      </c>
      <c r="B162" s="51" t="s">
        <v>56</v>
      </c>
      <c r="C162" s="135">
        <v>0.32291666666666669</v>
      </c>
      <c r="D162" s="135">
        <v>0.58333333333333337</v>
      </c>
      <c r="E162" s="53">
        <f t="shared" si="21"/>
        <v>5.75</v>
      </c>
      <c r="F162" s="51">
        <v>0.5</v>
      </c>
      <c r="H162" s="53"/>
      <c r="J162" s="53">
        <f t="shared" ref="J162:J165" si="28">IF(WEEKDAY(A162, 2)&lt;6, E162-2, E162)</f>
        <v>3.75</v>
      </c>
      <c r="M162" s="51">
        <f t="shared" si="22"/>
        <v>3.75</v>
      </c>
    </row>
    <row r="163" spans="1:13" x14ac:dyDescent="0.25">
      <c r="A163" s="133">
        <v>45377</v>
      </c>
      <c r="B163" s="51" t="s">
        <v>56</v>
      </c>
      <c r="C163" s="135">
        <v>0.32291666666666669</v>
      </c>
      <c r="D163" s="135">
        <v>0.58333333333333337</v>
      </c>
      <c r="E163" s="53">
        <f t="shared" si="21"/>
        <v>5.75</v>
      </c>
      <c r="F163" s="51">
        <v>0.5</v>
      </c>
      <c r="H163" s="53"/>
      <c r="J163" s="53">
        <f t="shared" si="28"/>
        <v>3.75</v>
      </c>
      <c r="M163" s="51">
        <f t="shared" si="22"/>
        <v>3.75</v>
      </c>
    </row>
    <row r="164" spans="1:13" x14ac:dyDescent="0.25">
      <c r="A164" s="133">
        <v>45377</v>
      </c>
      <c r="B164" s="51" t="s">
        <v>56</v>
      </c>
      <c r="C164" s="135">
        <v>0.70833333333333337</v>
      </c>
      <c r="D164" s="135">
        <v>0.875</v>
      </c>
      <c r="E164" s="53">
        <f t="shared" si="21"/>
        <v>3.9999999999999991</v>
      </c>
      <c r="H164" s="53"/>
      <c r="J164" s="53">
        <f t="shared" si="28"/>
        <v>1.9999999999999991</v>
      </c>
      <c r="M164" s="51">
        <f t="shared" si="22"/>
        <v>1.9999999999999991</v>
      </c>
    </row>
    <row r="165" spans="1:13" x14ac:dyDescent="0.25">
      <c r="A165" s="133">
        <v>45378</v>
      </c>
      <c r="B165" s="51" t="s">
        <v>56</v>
      </c>
      <c r="C165" s="135">
        <v>0.32291666666666669</v>
      </c>
      <c r="D165" s="135">
        <v>0.58333333333333337</v>
      </c>
      <c r="E165" s="53">
        <f t="shared" si="21"/>
        <v>5.75</v>
      </c>
      <c r="F165" s="51">
        <v>0.5</v>
      </c>
      <c r="H165" s="53"/>
      <c r="J165" s="53">
        <f t="shared" si="28"/>
        <v>3.75</v>
      </c>
      <c r="M165" s="51">
        <f t="shared" si="22"/>
        <v>3.75</v>
      </c>
    </row>
    <row r="166" spans="1:13" x14ac:dyDescent="0.25">
      <c r="A166" s="133">
        <v>45378</v>
      </c>
      <c r="B166" s="51" t="s">
        <v>49</v>
      </c>
      <c r="C166" s="135">
        <v>0.70833333333333337</v>
      </c>
      <c r="D166" s="135">
        <v>0.89583333333333337</v>
      </c>
      <c r="E166" s="53">
        <f t="shared" si="21"/>
        <v>4.5</v>
      </c>
      <c r="H166" s="53">
        <f t="shared" si="23"/>
        <v>6.5</v>
      </c>
      <c r="M166" s="51">
        <f t="shared" si="22"/>
        <v>6.5</v>
      </c>
    </row>
    <row r="167" spans="1:13" x14ac:dyDescent="0.25">
      <c r="A167" s="133">
        <v>45379</v>
      </c>
      <c r="B167" s="51" t="s">
        <v>56</v>
      </c>
      <c r="C167" s="135">
        <v>0.32291666666666669</v>
      </c>
      <c r="D167" s="135">
        <v>0.58333333333333337</v>
      </c>
      <c r="E167" s="53">
        <f t="shared" si="21"/>
        <v>5.75</v>
      </c>
      <c r="F167" s="51">
        <v>0.5</v>
      </c>
      <c r="H167" s="53"/>
      <c r="J167" s="53">
        <f>IF(WEEKDAY(A167, 2)&lt;6, E167-2, E167)</f>
        <v>3.75</v>
      </c>
      <c r="M167" s="51">
        <f t="shared" si="22"/>
        <v>3.75</v>
      </c>
    </row>
    <row r="168" spans="1:13" x14ac:dyDescent="0.25">
      <c r="A168" s="133">
        <v>45379</v>
      </c>
      <c r="B168" s="51" t="s">
        <v>53</v>
      </c>
      <c r="C168" s="135">
        <v>0.6875</v>
      </c>
      <c r="D168" s="135">
        <v>0</v>
      </c>
      <c r="E168" s="53">
        <f t="shared" si="21"/>
        <v>7</v>
      </c>
      <c r="F168" s="51">
        <v>0.5</v>
      </c>
      <c r="H168" s="53">
        <f t="shared" si="23"/>
        <v>9</v>
      </c>
      <c r="M168" s="51">
        <f t="shared" si="22"/>
        <v>9</v>
      </c>
    </row>
    <row r="169" spans="1:13" x14ac:dyDescent="0.25">
      <c r="A169" s="133">
        <v>45379</v>
      </c>
      <c r="B169" s="51" t="s">
        <v>56</v>
      </c>
      <c r="C169" s="135">
        <v>0.77083333333333337</v>
      </c>
      <c r="D169" s="135">
        <v>0.9375</v>
      </c>
      <c r="E169" s="53">
        <f t="shared" si="21"/>
        <v>3.9999999999999991</v>
      </c>
      <c r="H169" s="53"/>
      <c r="J169" s="53">
        <f t="shared" ref="J169:J170" si="29">IF(WEEKDAY(A169, 2)&lt;6, E169-2, E169)</f>
        <v>1.9999999999999991</v>
      </c>
      <c r="M169" s="51">
        <f t="shared" si="22"/>
        <v>1.9999999999999991</v>
      </c>
    </row>
    <row r="170" spans="1:13" x14ac:dyDescent="0.25">
      <c r="A170" s="133">
        <v>45380</v>
      </c>
      <c r="B170" s="51" t="s">
        <v>56</v>
      </c>
      <c r="C170" s="135">
        <v>0.32291666666666669</v>
      </c>
      <c r="D170" s="135">
        <v>0.58333333333333337</v>
      </c>
      <c r="E170" s="53">
        <f t="shared" si="21"/>
        <v>5.75</v>
      </c>
      <c r="F170" s="51">
        <v>0.5</v>
      </c>
      <c r="H170" s="53"/>
      <c r="J170" s="53">
        <f t="shared" si="29"/>
        <v>3.75</v>
      </c>
      <c r="M170" s="51">
        <f t="shared" si="22"/>
        <v>3.75</v>
      </c>
    </row>
    <row r="171" spans="1:13" x14ac:dyDescent="0.25">
      <c r="A171" s="133">
        <v>45380</v>
      </c>
      <c r="B171" s="51" t="s">
        <v>58</v>
      </c>
      <c r="C171" s="135">
        <v>0.6875</v>
      </c>
      <c r="D171" s="135">
        <v>0.95833333333333337</v>
      </c>
      <c r="E171" s="53">
        <f t="shared" si="21"/>
        <v>6.0000000000000009</v>
      </c>
      <c r="F171" s="51">
        <v>0.5</v>
      </c>
      <c r="H171" s="53">
        <f t="shared" si="23"/>
        <v>8</v>
      </c>
      <c r="M171" s="51">
        <f t="shared" si="22"/>
        <v>8</v>
      </c>
    </row>
    <row r="172" spans="1:13" x14ac:dyDescent="0.25">
      <c r="A172" s="133">
        <v>45381</v>
      </c>
      <c r="B172" s="51" t="s">
        <v>56</v>
      </c>
      <c r="C172" s="135">
        <v>0.33333333333333331</v>
      </c>
      <c r="D172" s="135">
        <v>0.5</v>
      </c>
      <c r="E172" s="53">
        <f t="shared" si="21"/>
        <v>4</v>
      </c>
      <c r="H172" s="53"/>
      <c r="J172" s="53">
        <f>IF(WEEKDAY(A172, 2)&lt;6, E172-2, E172)</f>
        <v>4</v>
      </c>
      <c r="M172" s="51">
        <f t="shared" si="22"/>
        <v>4</v>
      </c>
    </row>
    <row r="173" spans="1:13" x14ac:dyDescent="0.25">
      <c r="A173" s="133">
        <v>45381</v>
      </c>
      <c r="B173" s="51" t="s">
        <v>48</v>
      </c>
      <c r="C173" s="135">
        <v>0.45833333333333331</v>
      </c>
      <c r="D173" s="135">
        <v>0.70833333333333337</v>
      </c>
      <c r="E173" s="53">
        <f t="shared" si="21"/>
        <v>5.5000000000000018</v>
      </c>
      <c r="F173" s="51">
        <v>0.5</v>
      </c>
      <c r="H173" s="53">
        <f t="shared" si="23"/>
        <v>5.5000000000000018</v>
      </c>
      <c r="M173" s="51">
        <f t="shared" si="22"/>
        <v>5.5000000000000018</v>
      </c>
    </row>
    <row r="174" spans="1:13" x14ac:dyDescent="0.25">
      <c r="A174" s="133">
        <v>45381</v>
      </c>
      <c r="B174" s="51" t="s">
        <v>58</v>
      </c>
      <c r="C174" s="135">
        <v>0.5</v>
      </c>
      <c r="D174" s="135">
        <v>0.91666666666666663</v>
      </c>
      <c r="E174" s="53">
        <f t="shared" si="21"/>
        <v>9</v>
      </c>
      <c r="F174" s="51">
        <v>1</v>
      </c>
      <c r="H174" s="53">
        <f t="shared" si="23"/>
        <v>9</v>
      </c>
      <c r="M174" s="51">
        <f t="shared" si="22"/>
        <v>9</v>
      </c>
    </row>
    <row r="175" spans="1:13" x14ac:dyDescent="0.25">
      <c r="A175" s="133">
        <v>45384</v>
      </c>
      <c r="B175" s="51" t="s">
        <v>56</v>
      </c>
      <c r="C175" s="135">
        <v>0.375</v>
      </c>
      <c r="D175" s="135">
        <v>0.5625</v>
      </c>
      <c r="E175" s="53">
        <f t="shared" si="21"/>
        <v>4.5</v>
      </c>
      <c r="H175" s="53"/>
      <c r="J175" s="53">
        <f t="shared" ref="J175:J180" si="30">IF(WEEKDAY(A175, 2)&lt;6, E175-2, E175)</f>
        <v>2.5</v>
      </c>
      <c r="M175" s="51">
        <f t="shared" si="22"/>
        <v>2.5</v>
      </c>
    </row>
    <row r="176" spans="1:13" x14ac:dyDescent="0.25">
      <c r="A176" s="133">
        <v>45385</v>
      </c>
      <c r="B176" s="51" t="s">
        <v>56</v>
      </c>
      <c r="C176" s="135">
        <v>0.33333333333333331</v>
      </c>
      <c r="D176" s="135">
        <v>0.58333333333333337</v>
      </c>
      <c r="E176" s="53">
        <f t="shared" si="21"/>
        <v>5.5000000000000018</v>
      </c>
      <c r="F176" s="51">
        <v>0.5</v>
      </c>
      <c r="H176" s="53"/>
      <c r="J176" s="53">
        <f t="shared" si="30"/>
        <v>3.5000000000000018</v>
      </c>
      <c r="M176" s="51">
        <f t="shared" si="22"/>
        <v>3.5000000000000018</v>
      </c>
    </row>
    <row r="177" spans="1:13" x14ac:dyDescent="0.25">
      <c r="A177" s="133">
        <v>45385</v>
      </c>
      <c r="B177" s="51" t="s">
        <v>56</v>
      </c>
      <c r="C177" s="135">
        <v>0.66666666666666663</v>
      </c>
      <c r="D177" s="135">
        <v>0.875</v>
      </c>
      <c r="E177" s="53">
        <f t="shared" si="21"/>
        <v>5.0000000000000009</v>
      </c>
      <c r="H177" s="53"/>
      <c r="J177" s="53">
        <f t="shared" si="30"/>
        <v>3.0000000000000009</v>
      </c>
      <c r="M177" s="51">
        <f t="shared" si="22"/>
        <v>3.0000000000000009</v>
      </c>
    </row>
    <row r="178" spans="1:13" x14ac:dyDescent="0.25">
      <c r="A178" s="133">
        <v>45386</v>
      </c>
      <c r="B178" s="51" t="s">
        <v>56</v>
      </c>
      <c r="C178" s="135">
        <v>0.33333333333333331</v>
      </c>
      <c r="D178" s="135">
        <v>0.58333333333333337</v>
      </c>
      <c r="E178" s="53">
        <f t="shared" si="21"/>
        <v>5.5000000000000018</v>
      </c>
      <c r="F178" s="51">
        <v>0.5</v>
      </c>
      <c r="H178" s="53"/>
      <c r="J178" s="53">
        <f t="shared" si="30"/>
        <v>3.5000000000000018</v>
      </c>
      <c r="M178" s="51">
        <f t="shared" si="22"/>
        <v>3.5000000000000018</v>
      </c>
    </row>
    <row r="179" spans="1:13" x14ac:dyDescent="0.25">
      <c r="A179" s="133">
        <v>45386</v>
      </c>
      <c r="B179" s="51" t="s">
        <v>56</v>
      </c>
      <c r="C179" s="135">
        <v>0.75</v>
      </c>
      <c r="D179" s="135">
        <v>0.9375</v>
      </c>
      <c r="E179" s="53">
        <f t="shared" si="21"/>
        <v>4.5</v>
      </c>
      <c r="H179" s="53"/>
      <c r="J179" s="53">
        <f t="shared" si="30"/>
        <v>2.5</v>
      </c>
      <c r="M179" s="51">
        <f t="shared" si="22"/>
        <v>2.5</v>
      </c>
    </row>
    <row r="180" spans="1:13" x14ac:dyDescent="0.25">
      <c r="A180" s="133">
        <v>45387</v>
      </c>
      <c r="B180" s="51" t="s">
        <v>56</v>
      </c>
      <c r="C180" s="135">
        <v>0.33333333333333331</v>
      </c>
      <c r="D180" s="135">
        <v>0.58333333333333337</v>
      </c>
      <c r="E180" s="53">
        <f t="shared" si="21"/>
        <v>5.5000000000000018</v>
      </c>
      <c r="F180" s="51">
        <v>0.5</v>
      </c>
      <c r="H180" s="53"/>
      <c r="J180" s="53">
        <f t="shared" si="30"/>
        <v>3.5000000000000018</v>
      </c>
      <c r="M180" s="51">
        <f t="shared" si="22"/>
        <v>3.5000000000000018</v>
      </c>
    </row>
    <row r="181" spans="1:13" x14ac:dyDescent="0.25">
      <c r="A181" s="133">
        <v>45387</v>
      </c>
      <c r="B181" s="51" t="s">
        <v>53</v>
      </c>
      <c r="C181" s="135">
        <v>0.64583333333333337</v>
      </c>
      <c r="D181" s="135">
        <v>0.97916666666666663</v>
      </c>
      <c r="E181" s="53">
        <f t="shared" si="21"/>
        <v>7.4999999999999982</v>
      </c>
      <c r="F181" s="51">
        <v>0.5</v>
      </c>
      <c r="H181" s="53">
        <f t="shared" si="23"/>
        <v>9.4999999999999982</v>
      </c>
      <c r="M181" s="51">
        <f t="shared" si="22"/>
        <v>9.4999999999999982</v>
      </c>
    </row>
    <row r="182" spans="1:13" x14ac:dyDescent="0.25">
      <c r="A182" s="133">
        <v>45387</v>
      </c>
      <c r="B182" s="51" t="s">
        <v>58</v>
      </c>
      <c r="C182" s="135">
        <v>0.75</v>
      </c>
      <c r="D182" s="135">
        <v>0.95833333333333337</v>
      </c>
      <c r="E182" s="53">
        <f t="shared" si="21"/>
        <v>5.0000000000000009</v>
      </c>
      <c r="H182" s="53">
        <f t="shared" si="23"/>
        <v>7.0000000000000009</v>
      </c>
      <c r="M182" s="51">
        <f t="shared" si="22"/>
        <v>7.0000000000000009</v>
      </c>
    </row>
    <row r="183" spans="1:13" x14ac:dyDescent="0.25">
      <c r="A183" s="133">
        <v>45388</v>
      </c>
      <c r="B183" s="51" t="s">
        <v>56</v>
      </c>
      <c r="C183" s="135">
        <v>0.33333333333333331</v>
      </c>
      <c r="D183" s="135">
        <v>0.52083333333333337</v>
      </c>
      <c r="E183" s="53">
        <f t="shared" si="21"/>
        <v>4.5000000000000018</v>
      </c>
      <c r="H183" s="53"/>
      <c r="J183" s="53">
        <f>IF(WEEKDAY(A183, 2)&lt;6, E183-2, E183)</f>
        <v>4.5000000000000018</v>
      </c>
      <c r="M183" s="51">
        <f t="shared" si="22"/>
        <v>4.5000000000000018</v>
      </c>
    </row>
    <row r="184" spans="1:13" x14ac:dyDescent="0.25">
      <c r="A184" s="133">
        <v>45388</v>
      </c>
      <c r="B184" s="51" t="s">
        <v>49</v>
      </c>
      <c r="C184" s="135">
        <v>0.33333333333333331</v>
      </c>
      <c r="D184" s="135">
        <v>0.45833333333333331</v>
      </c>
      <c r="E184" s="53">
        <f t="shared" si="21"/>
        <v>3</v>
      </c>
      <c r="H184" s="53">
        <f t="shared" si="23"/>
        <v>3</v>
      </c>
      <c r="M184" s="51">
        <f t="shared" si="22"/>
        <v>3</v>
      </c>
    </row>
    <row r="185" spans="1:13" x14ac:dyDescent="0.25">
      <c r="A185" s="133">
        <v>45388</v>
      </c>
      <c r="B185" s="51" t="s">
        <v>58</v>
      </c>
      <c r="C185" s="135">
        <v>0.52083333333333337</v>
      </c>
      <c r="D185" s="135">
        <v>0.83333333333333337</v>
      </c>
      <c r="E185" s="53">
        <f t="shared" si="21"/>
        <v>7</v>
      </c>
      <c r="F185" s="51">
        <v>0.5</v>
      </c>
      <c r="H185" s="53">
        <f t="shared" si="23"/>
        <v>7</v>
      </c>
      <c r="M185" s="51">
        <f t="shared" si="22"/>
        <v>7</v>
      </c>
    </row>
    <row r="186" spans="1:13" x14ac:dyDescent="0.25">
      <c r="A186" s="133">
        <v>45388</v>
      </c>
      <c r="B186" s="51" t="s">
        <v>48</v>
      </c>
      <c r="C186" s="135">
        <v>0.58333333333333337</v>
      </c>
      <c r="D186" s="135">
        <v>0</v>
      </c>
      <c r="E186" s="53">
        <f t="shared" si="21"/>
        <v>9</v>
      </c>
      <c r="F186" s="51">
        <v>1</v>
      </c>
      <c r="H186" s="53">
        <f t="shared" si="23"/>
        <v>9</v>
      </c>
      <c r="M186" s="51">
        <f t="shared" si="22"/>
        <v>9</v>
      </c>
    </row>
    <row r="187" spans="1:13" x14ac:dyDescent="0.25">
      <c r="A187" s="133">
        <v>45388</v>
      </c>
      <c r="B187" s="51" t="s">
        <v>53</v>
      </c>
      <c r="C187" s="135">
        <v>0.625</v>
      </c>
      <c r="D187" s="135">
        <v>2.0833333333333332E-2</v>
      </c>
      <c r="E187" s="53">
        <f t="shared" si="21"/>
        <v>8.5</v>
      </c>
      <c r="F187" s="51">
        <v>1</v>
      </c>
      <c r="H187" s="53">
        <f t="shared" si="23"/>
        <v>8.5</v>
      </c>
      <c r="M187" s="51">
        <f t="shared" si="22"/>
        <v>8.5</v>
      </c>
    </row>
    <row r="188" spans="1:13" x14ac:dyDescent="0.25">
      <c r="A188" s="133">
        <v>45389</v>
      </c>
      <c r="B188" s="51" t="s">
        <v>46</v>
      </c>
      <c r="C188" s="135">
        <v>0.66666666666666663</v>
      </c>
      <c r="D188" s="135">
        <v>0.91666666666666663</v>
      </c>
      <c r="E188" s="53">
        <f t="shared" si="21"/>
        <v>5.5</v>
      </c>
      <c r="F188" s="51">
        <v>0.5</v>
      </c>
      <c r="H188" s="53">
        <f t="shared" si="23"/>
        <v>5.5</v>
      </c>
      <c r="M188" s="51">
        <f t="shared" si="22"/>
        <v>5.5</v>
      </c>
    </row>
    <row r="189" spans="1:13" x14ac:dyDescent="0.25">
      <c r="A189" s="133">
        <v>45390</v>
      </c>
      <c r="B189" s="51" t="s">
        <v>56</v>
      </c>
      <c r="C189" s="135">
        <v>0.33333333333333331</v>
      </c>
      <c r="D189" s="135">
        <v>0.58333333333333337</v>
      </c>
      <c r="E189" s="53">
        <f t="shared" si="21"/>
        <v>5.5000000000000018</v>
      </c>
      <c r="F189" s="51">
        <v>0.5</v>
      </c>
      <c r="H189" s="53"/>
      <c r="J189" s="53">
        <f t="shared" ref="J189:J191" si="31">IF(WEEKDAY(A189, 2)&lt;6, E189-2, E189)</f>
        <v>3.5000000000000018</v>
      </c>
      <c r="M189" s="51">
        <f t="shared" si="22"/>
        <v>3.5000000000000018</v>
      </c>
    </row>
    <row r="190" spans="1:13" x14ac:dyDescent="0.25">
      <c r="A190" s="133">
        <v>45391</v>
      </c>
      <c r="B190" s="51" t="s">
        <v>56</v>
      </c>
      <c r="C190" s="135">
        <v>0.33333333333333331</v>
      </c>
      <c r="D190" s="135">
        <v>0.5625</v>
      </c>
      <c r="E190" s="53">
        <f t="shared" si="21"/>
        <v>5.5</v>
      </c>
      <c r="H190" s="53"/>
      <c r="J190" s="53">
        <f t="shared" si="31"/>
        <v>3.5</v>
      </c>
      <c r="M190" s="51">
        <f t="shared" si="22"/>
        <v>3.5</v>
      </c>
    </row>
    <row r="191" spans="1:13" x14ac:dyDescent="0.25">
      <c r="A191" s="133">
        <v>45392</v>
      </c>
      <c r="B191" s="51" t="s">
        <v>56</v>
      </c>
      <c r="C191" s="135">
        <v>0.33333333333333331</v>
      </c>
      <c r="D191" s="135">
        <v>0.58333333333333337</v>
      </c>
      <c r="E191" s="53">
        <f t="shared" si="21"/>
        <v>5.5000000000000018</v>
      </c>
      <c r="F191" s="51">
        <v>0.5</v>
      </c>
      <c r="H191" s="53"/>
      <c r="J191" s="53">
        <f t="shared" si="31"/>
        <v>3.5000000000000018</v>
      </c>
      <c r="M191" s="51">
        <f t="shared" si="22"/>
        <v>3.5000000000000018</v>
      </c>
    </row>
    <row r="192" spans="1:13" x14ac:dyDescent="0.25">
      <c r="A192" s="133">
        <v>45392</v>
      </c>
      <c r="B192" s="51" t="s">
        <v>49</v>
      </c>
      <c r="C192" s="135">
        <v>0.6875</v>
      </c>
      <c r="D192" s="135">
        <v>0.89583333333333337</v>
      </c>
      <c r="E192" s="53">
        <f t="shared" si="21"/>
        <v>5.0000000000000009</v>
      </c>
      <c r="H192" s="53">
        <f t="shared" si="23"/>
        <v>7.0000000000000009</v>
      </c>
      <c r="M192" s="51">
        <f t="shared" si="22"/>
        <v>7.0000000000000009</v>
      </c>
    </row>
    <row r="193" spans="1:13" x14ac:dyDescent="0.25">
      <c r="A193" s="133">
        <v>45393</v>
      </c>
      <c r="B193" s="51" t="s">
        <v>56</v>
      </c>
      <c r="C193" s="135">
        <v>0.33333333333333331</v>
      </c>
      <c r="D193" s="135">
        <v>0.58333333333333337</v>
      </c>
      <c r="E193" s="53">
        <f t="shared" si="21"/>
        <v>5.5000000000000018</v>
      </c>
      <c r="F193" s="51">
        <v>0.5</v>
      </c>
      <c r="H193" s="53"/>
      <c r="J193" s="53">
        <f t="shared" ref="J193:J195" si="32">IF(WEEKDAY(A193, 2)&lt;6, E193-2, E193)</f>
        <v>3.5000000000000018</v>
      </c>
      <c r="M193" s="51">
        <f t="shared" si="22"/>
        <v>3.5000000000000018</v>
      </c>
    </row>
    <row r="194" spans="1:13" x14ac:dyDescent="0.25">
      <c r="A194" s="133">
        <v>45393</v>
      </c>
      <c r="B194" s="51" t="s">
        <v>56</v>
      </c>
      <c r="C194" s="135">
        <v>0.75</v>
      </c>
      <c r="D194" s="135">
        <v>0.9375</v>
      </c>
      <c r="E194" s="53">
        <f t="shared" si="21"/>
        <v>4.5</v>
      </c>
      <c r="H194" s="53"/>
      <c r="J194" s="53">
        <f t="shared" si="32"/>
        <v>2.5</v>
      </c>
      <c r="M194" s="51">
        <f t="shared" si="22"/>
        <v>2.5</v>
      </c>
    </row>
    <row r="195" spans="1:13" x14ac:dyDescent="0.25">
      <c r="A195" s="133">
        <v>45394</v>
      </c>
      <c r="B195" s="51" t="s">
        <v>56</v>
      </c>
      <c r="C195" s="135">
        <v>0.33333333333333331</v>
      </c>
      <c r="D195" s="135">
        <v>0.58333333333333337</v>
      </c>
      <c r="E195" s="53">
        <f t="shared" ref="E195:E258" si="33">MOD((D195-C195),1) *24 - F195</f>
        <v>5.5000000000000018</v>
      </c>
      <c r="F195" s="51">
        <v>0.5</v>
      </c>
      <c r="H195" s="53"/>
      <c r="J195" s="53">
        <f t="shared" si="32"/>
        <v>3.5000000000000018</v>
      </c>
      <c r="M195" s="51">
        <f t="shared" ref="M195:M258" si="34">IF(H195&lt;&gt;"",H195,J195)</f>
        <v>3.5000000000000018</v>
      </c>
    </row>
    <row r="196" spans="1:13" x14ac:dyDescent="0.25">
      <c r="A196" s="133">
        <v>45394</v>
      </c>
      <c r="B196" s="51" t="s">
        <v>53</v>
      </c>
      <c r="C196" s="135">
        <v>0.70833333333333337</v>
      </c>
      <c r="D196" s="135">
        <v>4.1666666666666664E-2</v>
      </c>
      <c r="E196" s="53">
        <f t="shared" si="33"/>
        <v>7.4999999999999982</v>
      </c>
      <c r="F196" s="51">
        <v>0.5</v>
      </c>
      <c r="H196" s="53">
        <f t="shared" ref="H196:H255" si="35">IF(WEEKDAY(A196, 2)&lt;6, E196+2, E196)</f>
        <v>9.4999999999999982</v>
      </c>
      <c r="M196" s="51">
        <f t="shared" si="34"/>
        <v>9.4999999999999982</v>
      </c>
    </row>
    <row r="197" spans="1:13" x14ac:dyDescent="0.25">
      <c r="A197" s="133">
        <v>45394</v>
      </c>
      <c r="B197" s="51" t="s">
        <v>58</v>
      </c>
      <c r="C197" s="135">
        <v>0.75</v>
      </c>
      <c r="D197" s="135">
        <v>0.95833333333333337</v>
      </c>
      <c r="E197" s="53">
        <f t="shared" si="33"/>
        <v>5.0000000000000009</v>
      </c>
      <c r="H197" s="53">
        <f t="shared" si="35"/>
        <v>7.0000000000000009</v>
      </c>
      <c r="M197" s="51">
        <f t="shared" si="34"/>
        <v>7.0000000000000009</v>
      </c>
    </row>
    <row r="198" spans="1:13" x14ac:dyDescent="0.25">
      <c r="A198" s="133">
        <v>45395</v>
      </c>
      <c r="B198" s="51" t="s">
        <v>58</v>
      </c>
      <c r="C198" s="135">
        <v>0.25</v>
      </c>
      <c r="D198" s="135">
        <v>0.52083333333333337</v>
      </c>
      <c r="E198" s="53">
        <f t="shared" si="33"/>
        <v>6.0000000000000009</v>
      </c>
      <c r="F198" s="51">
        <v>0.5</v>
      </c>
      <c r="H198" s="53">
        <f t="shared" si="35"/>
        <v>6.0000000000000009</v>
      </c>
      <c r="M198" s="51">
        <f t="shared" si="34"/>
        <v>6.0000000000000009</v>
      </c>
    </row>
    <row r="199" spans="1:13" x14ac:dyDescent="0.25">
      <c r="A199" s="133">
        <v>45395</v>
      </c>
      <c r="B199" s="51" t="s">
        <v>56</v>
      </c>
      <c r="C199" s="135">
        <v>0.52083333333333337</v>
      </c>
      <c r="D199" s="135">
        <v>0.77083333333333337</v>
      </c>
      <c r="E199" s="53">
        <f t="shared" si="33"/>
        <v>5.5</v>
      </c>
      <c r="F199" s="51">
        <v>0.5</v>
      </c>
      <c r="H199" s="53"/>
      <c r="J199" s="53">
        <f>IF(WEEKDAY(A199, 2)&lt;6, E199-2, E199)</f>
        <v>5.5</v>
      </c>
      <c r="M199" s="51">
        <f t="shared" si="34"/>
        <v>5.5</v>
      </c>
    </row>
    <row r="200" spans="1:13" x14ac:dyDescent="0.25">
      <c r="A200" s="133">
        <v>45395</v>
      </c>
      <c r="B200" s="51" t="s">
        <v>46</v>
      </c>
      <c r="C200" s="135">
        <v>0.54166666666666663</v>
      </c>
      <c r="D200" s="135">
        <v>0.75</v>
      </c>
      <c r="E200" s="53">
        <f t="shared" si="33"/>
        <v>5.0000000000000009</v>
      </c>
      <c r="H200" s="53">
        <f t="shared" si="35"/>
        <v>5.0000000000000009</v>
      </c>
      <c r="M200" s="51">
        <f t="shared" si="34"/>
        <v>5.0000000000000009</v>
      </c>
    </row>
    <row r="201" spans="1:13" x14ac:dyDescent="0.25">
      <c r="A201" s="133">
        <v>45395</v>
      </c>
      <c r="B201" s="51" t="s">
        <v>53</v>
      </c>
      <c r="C201" s="135">
        <v>0.54166666666666663</v>
      </c>
      <c r="D201" s="135">
        <v>0.79166666666666663</v>
      </c>
      <c r="E201" s="53">
        <f t="shared" si="33"/>
        <v>5.5</v>
      </c>
      <c r="F201" s="51">
        <v>0.5</v>
      </c>
      <c r="H201" s="53">
        <f t="shared" si="35"/>
        <v>5.5</v>
      </c>
      <c r="M201" s="51">
        <f t="shared" si="34"/>
        <v>5.5</v>
      </c>
    </row>
    <row r="202" spans="1:13" x14ac:dyDescent="0.25">
      <c r="A202" s="133">
        <v>45396</v>
      </c>
      <c r="B202" s="51" t="s">
        <v>53</v>
      </c>
      <c r="C202" s="135">
        <v>0.45833333333333331</v>
      </c>
      <c r="D202" s="135">
        <v>0.72916666666666663</v>
      </c>
      <c r="E202" s="53">
        <f t="shared" si="33"/>
        <v>6</v>
      </c>
      <c r="F202" s="51">
        <v>0.5</v>
      </c>
      <c r="H202" s="53">
        <f t="shared" si="35"/>
        <v>6</v>
      </c>
      <c r="M202" s="51">
        <f t="shared" si="34"/>
        <v>6</v>
      </c>
    </row>
    <row r="203" spans="1:13" x14ac:dyDescent="0.25">
      <c r="A203" s="133">
        <v>45398</v>
      </c>
      <c r="B203" s="51" t="s">
        <v>56</v>
      </c>
      <c r="C203" s="135">
        <v>0.33333333333333331</v>
      </c>
      <c r="D203" s="135">
        <v>0.58333333333333337</v>
      </c>
      <c r="E203" s="53">
        <f t="shared" si="33"/>
        <v>5.5000000000000018</v>
      </c>
      <c r="F203" s="51">
        <v>0.5</v>
      </c>
      <c r="H203" s="53"/>
      <c r="J203" s="53">
        <f t="shared" ref="J203:J204" si="36">IF(WEEKDAY(A203, 2)&lt;6, E203-2, E203)</f>
        <v>3.5000000000000018</v>
      </c>
      <c r="M203" s="51">
        <f t="shared" si="34"/>
        <v>3.5000000000000018</v>
      </c>
    </row>
    <row r="204" spans="1:13" x14ac:dyDescent="0.25">
      <c r="A204" s="133">
        <v>45399</v>
      </c>
      <c r="B204" s="51" t="s">
        <v>56</v>
      </c>
      <c r="C204" s="135">
        <v>0.33333333333333331</v>
      </c>
      <c r="D204" s="135">
        <v>0.58333333333333337</v>
      </c>
      <c r="E204" s="53">
        <f t="shared" si="33"/>
        <v>5.5000000000000018</v>
      </c>
      <c r="F204" s="51">
        <v>0.5</v>
      </c>
      <c r="H204" s="53"/>
      <c r="J204" s="53">
        <f t="shared" si="36"/>
        <v>3.5000000000000018</v>
      </c>
      <c r="M204" s="51">
        <f t="shared" si="34"/>
        <v>3.5000000000000018</v>
      </c>
    </row>
    <row r="205" spans="1:13" x14ac:dyDescent="0.25">
      <c r="A205" s="133">
        <v>45399</v>
      </c>
      <c r="B205" s="51" t="s">
        <v>49</v>
      </c>
      <c r="C205" s="135">
        <v>0.6875</v>
      </c>
      <c r="D205" s="135">
        <v>0.875</v>
      </c>
      <c r="E205" s="53">
        <f t="shared" si="33"/>
        <v>4.5</v>
      </c>
      <c r="H205" s="53">
        <f t="shared" si="35"/>
        <v>6.5</v>
      </c>
      <c r="M205" s="51">
        <f t="shared" si="34"/>
        <v>6.5</v>
      </c>
    </row>
    <row r="206" spans="1:13" x14ac:dyDescent="0.25">
      <c r="A206" s="133">
        <v>45399</v>
      </c>
      <c r="B206" s="51" t="s">
        <v>58</v>
      </c>
      <c r="C206" s="135">
        <v>0.70833333333333337</v>
      </c>
      <c r="D206" s="135">
        <v>0.875</v>
      </c>
      <c r="E206" s="53">
        <f t="shared" si="33"/>
        <v>3.9999999999999991</v>
      </c>
      <c r="H206" s="53">
        <f t="shared" si="35"/>
        <v>5.9999999999999991</v>
      </c>
      <c r="M206" s="51">
        <f t="shared" si="34"/>
        <v>5.9999999999999991</v>
      </c>
    </row>
    <row r="207" spans="1:13" x14ac:dyDescent="0.25">
      <c r="A207" s="133">
        <v>45400</v>
      </c>
      <c r="B207" s="51" t="s">
        <v>56</v>
      </c>
      <c r="C207" s="135">
        <v>0.45833333333333331</v>
      </c>
      <c r="D207" s="135">
        <v>0.58333333333333337</v>
      </c>
      <c r="E207" s="53">
        <f t="shared" si="33"/>
        <v>3.0000000000000013</v>
      </c>
      <c r="H207" s="53"/>
      <c r="J207" s="53">
        <f t="shared" ref="J207:J211" si="37">IF(WEEKDAY(A207, 2)&lt;6, E207-2, E207)</f>
        <v>1.0000000000000013</v>
      </c>
      <c r="M207" s="51">
        <f t="shared" si="34"/>
        <v>1.0000000000000013</v>
      </c>
    </row>
    <row r="208" spans="1:13" x14ac:dyDescent="0.25">
      <c r="A208" s="133">
        <v>45400</v>
      </c>
      <c r="B208" s="51" t="s">
        <v>56</v>
      </c>
      <c r="C208" s="135">
        <v>0.77083333333333337</v>
      </c>
      <c r="D208" s="135">
        <v>0.9375</v>
      </c>
      <c r="E208" s="53">
        <f t="shared" si="33"/>
        <v>3.9999999999999991</v>
      </c>
      <c r="H208" s="53"/>
      <c r="J208" s="53">
        <f t="shared" si="37"/>
        <v>1.9999999999999991</v>
      </c>
      <c r="M208" s="51">
        <f t="shared" si="34"/>
        <v>1.9999999999999991</v>
      </c>
    </row>
    <row r="209" spans="1:13" x14ac:dyDescent="0.25">
      <c r="A209" s="133">
        <v>45401</v>
      </c>
      <c r="B209" s="51" t="s">
        <v>56</v>
      </c>
      <c r="C209" s="135">
        <v>0.33333333333333331</v>
      </c>
      <c r="D209" s="135">
        <v>0.58333333333333337</v>
      </c>
      <c r="E209" s="53">
        <f t="shared" si="33"/>
        <v>5.5000000000000018</v>
      </c>
      <c r="F209" s="51">
        <v>0.5</v>
      </c>
      <c r="H209" s="53"/>
      <c r="J209" s="53">
        <f t="shared" si="37"/>
        <v>3.5000000000000018</v>
      </c>
      <c r="M209" s="51">
        <f t="shared" si="34"/>
        <v>3.5000000000000018</v>
      </c>
    </row>
    <row r="210" spans="1:13" x14ac:dyDescent="0.25">
      <c r="A210" s="133">
        <v>45401</v>
      </c>
      <c r="B210" s="51" t="s">
        <v>56</v>
      </c>
      <c r="C210" s="135">
        <v>0.75</v>
      </c>
      <c r="D210" s="135">
        <v>0.95833333333333337</v>
      </c>
      <c r="E210" s="53">
        <f t="shared" si="33"/>
        <v>5.0000000000000009</v>
      </c>
      <c r="H210" s="53"/>
      <c r="J210" s="53">
        <f t="shared" si="37"/>
        <v>3.0000000000000009</v>
      </c>
      <c r="M210" s="51">
        <f t="shared" si="34"/>
        <v>3.0000000000000009</v>
      </c>
    </row>
    <row r="211" spans="1:13" x14ac:dyDescent="0.25">
      <c r="A211" s="133">
        <v>45402</v>
      </c>
      <c r="B211" s="51" t="s">
        <v>56</v>
      </c>
      <c r="C211" s="135">
        <v>0.33333333333333331</v>
      </c>
      <c r="D211" s="135">
        <v>0.5</v>
      </c>
      <c r="E211" s="53">
        <f t="shared" si="33"/>
        <v>4</v>
      </c>
      <c r="H211" s="53"/>
      <c r="J211" s="53">
        <f t="shared" si="37"/>
        <v>4</v>
      </c>
      <c r="M211" s="51">
        <f t="shared" si="34"/>
        <v>4</v>
      </c>
    </row>
    <row r="212" spans="1:13" x14ac:dyDescent="0.25">
      <c r="A212" s="133">
        <v>45402</v>
      </c>
      <c r="B212" s="51" t="s">
        <v>46</v>
      </c>
      <c r="C212" s="135">
        <v>0.41666666666666669</v>
      </c>
      <c r="D212" s="135">
        <v>0.66666666666666663</v>
      </c>
      <c r="E212" s="53">
        <f t="shared" si="33"/>
        <v>5.4999999999999982</v>
      </c>
      <c r="F212" s="51">
        <v>0.5</v>
      </c>
      <c r="H212" s="53">
        <f t="shared" si="35"/>
        <v>5.4999999999999982</v>
      </c>
      <c r="M212" s="51">
        <f t="shared" si="34"/>
        <v>5.4999999999999982</v>
      </c>
    </row>
    <row r="213" spans="1:13" x14ac:dyDescent="0.25">
      <c r="A213" s="133">
        <v>45402</v>
      </c>
      <c r="B213" s="51" t="s">
        <v>53</v>
      </c>
      <c r="C213" s="135">
        <v>0.52083333333333337</v>
      </c>
      <c r="D213" s="135">
        <v>0.75</v>
      </c>
      <c r="E213" s="53">
        <f t="shared" si="33"/>
        <v>5.4999999999999991</v>
      </c>
      <c r="H213" s="53">
        <f t="shared" si="35"/>
        <v>5.4999999999999991</v>
      </c>
      <c r="M213" s="51">
        <f t="shared" si="34"/>
        <v>5.4999999999999991</v>
      </c>
    </row>
    <row r="214" spans="1:13" x14ac:dyDescent="0.25">
      <c r="A214" s="133">
        <v>45403</v>
      </c>
      <c r="B214" s="51" t="s">
        <v>53</v>
      </c>
      <c r="C214" s="135">
        <v>0.29166666666666669</v>
      </c>
      <c r="D214" s="135">
        <v>0.70833333333333337</v>
      </c>
      <c r="E214" s="53">
        <f t="shared" si="33"/>
        <v>9</v>
      </c>
      <c r="F214" s="51">
        <v>1</v>
      </c>
      <c r="H214" s="53">
        <f t="shared" si="35"/>
        <v>9</v>
      </c>
      <c r="M214" s="51">
        <f t="shared" si="34"/>
        <v>9</v>
      </c>
    </row>
    <row r="215" spans="1:13" x14ac:dyDescent="0.25">
      <c r="A215" s="133">
        <v>45403</v>
      </c>
      <c r="B215" s="51" t="s">
        <v>58</v>
      </c>
      <c r="C215" s="135">
        <v>0.41666666666666669</v>
      </c>
      <c r="D215" s="135">
        <v>0.625</v>
      </c>
      <c r="E215" s="53">
        <f t="shared" si="33"/>
        <v>5</v>
      </c>
      <c r="H215" s="53">
        <f t="shared" si="35"/>
        <v>5</v>
      </c>
      <c r="M215" s="51">
        <f t="shared" si="34"/>
        <v>5</v>
      </c>
    </row>
    <row r="216" spans="1:13" x14ac:dyDescent="0.25">
      <c r="A216" s="133">
        <v>45404</v>
      </c>
      <c r="B216" s="51" t="s">
        <v>56</v>
      </c>
      <c r="C216" s="135">
        <v>0.33333333333333331</v>
      </c>
      <c r="D216" s="135">
        <v>0.58333333333333337</v>
      </c>
      <c r="E216" s="53">
        <f t="shared" si="33"/>
        <v>5.5000000000000018</v>
      </c>
      <c r="F216" s="51">
        <v>0.5</v>
      </c>
      <c r="H216" s="53"/>
      <c r="J216" s="53">
        <f t="shared" ref="J216:J218" si="38">IF(WEEKDAY(A216, 2)&lt;6, E216-2, E216)</f>
        <v>3.5000000000000018</v>
      </c>
      <c r="M216" s="51">
        <f t="shared" si="34"/>
        <v>3.5000000000000018</v>
      </c>
    </row>
    <row r="217" spans="1:13" x14ac:dyDescent="0.25">
      <c r="A217" s="133">
        <v>45405</v>
      </c>
      <c r="B217" s="51" t="s">
        <v>56</v>
      </c>
      <c r="C217" s="135">
        <v>0.33333333333333331</v>
      </c>
      <c r="D217" s="135">
        <v>0.58333333333333337</v>
      </c>
      <c r="E217" s="53">
        <f t="shared" si="33"/>
        <v>5.5000000000000018</v>
      </c>
      <c r="F217" s="51">
        <v>0.5</v>
      </c>
      <c r="H217" s="53"/>
      <c r="J217" s="53">
        <f t="shared" si="38"/>
        <v>3.5000000000000018</v>
      </c>
      <c r="M217" s="51">
        <f t="shared" si="34"/>
        <v>3.5000000000000018</v>
      </c>
    </row>
    <row r="218" spans="1:13" x14ac:dyDescent="0.25">
      <c r="A218" s="133">
        <v>45406</v>
      </c>
      <c r="B218" s="51" t="s">
        <v>56</v>
      </c>
      <c r="C218" s="135">
        <v>0.33333333333333331</v>
      </c>
      <c r="D218" s="135">
        <v>0.58333333333333337</v>
      </c>
      <c r="E218" s="53">
        <f t="shared" si="33"/>
        <v>5.5000000000000018</v>
      </c>
      <c r="F218" s="51">
        <v>0.5</v>
      </c>
      <c r="H218" s="53"/>
      <c r="J218" s="53">
        <f t="shared" si="38"/>
        <v>3.5000000000000018</v>
      </c>
      <c r="M218" s="51">
        <f t="shared" si="34"/>
        <v>3.5000000000000018</v>
      </c>
    </row>
    <row r="219" spans="1:13" x14ac:dyDescent="0.25">
      <c r="A219" s="133">
        <v>45406</v>
      </c>
      <c r="B219" s="51" t="s">
        <v>49</v>
      </c>
      <c r="C219" s="135">
        <v>0.6875</v>
      </c>
      <c r="D219" s="135">
        <v>0.875</v>
      </c>
      <c r="E219" s="53">
        <f t="shared" si="33"/>
        <v>4.5</v>
      </c>
      <c r="H219" s="53">
        <f t="shared" si="35"/>
        <v>6.5</v>
      </c>
      <c r="M219" s="51">
        <f t="shared" si="34"/>
        <v>6.5</v>
      </c>
    </row>
    <row r="220" spans="1:13" x14ac:dyDescent="0.25">
      <c r="A220" s="133">
        <v>45407</v>
      </c>
      <c r="B220" s="51" t="s">
        <v>56</v>
      </c>
      <c r="C220" s="135">
        <v>0.33333333333333331</v>
      </c>
      <c r="D220" s="135">
        <v>0.58333333333333337</v>
      </c>
      <c r="E220" s="53">
        <f t="shared" si="33"/>
        <v>5.5000000000000018</v>
      </c>
      <c r="F220" s="51">
        <v>0.5</v>
      </c>
      <c r="H220" s="53"/>
      <c r="J220" s="53">
        <f t="shared" ref="J220:J223" si="39">IF(WEEKDAY(A220, 2)&lt;6, E220-2, E220)</f>
        <v>3.5000000000000018</v>
      </c>
      <c r="M220" s="51">
        <f t="shared" si="34"/>
        <v>3.5000000000000018</v>
      </c>
    </row>
    <row r="221" spans="1:13" x14ac:dyDescent="0.25">
      <c r="A221" s="133">
        <v>45407</v>
      </c>
      <c r="B221" s="51" t="s">
        <v>56</v>
      </c>
      <c r="C221" s="135">
        <v>0.77083333333333337</v>
      </c>
      <c r="D221" s="135">
        <v>0.9375</v>
      </c>
      <c r="E221" s="53">
        <f t="shared" si="33"/>
        <v>3.9999999999999991</v>
      </c>
      <c r="H221" s="53"/>
      <c r="J221" s="53">
        <f t="shared" si="39"/>
        <v>1.9999999999999991</v>
      </c>
      <c r="M221" s="51">
        <f t="shared" si="34"/>
        <v>1.9999999999999991</v>
      </c>
    </row>
    <row r="222" spans="1:13" x14ac:dyDescent="0.25">
      <c r="A222" s="133">
        <v>45408</v>
      </c>
      <c r="B222" s="51" t="s">
        <v>56</v>
      </c>
      <c r="C222" s="135">
        <v>0.375</v>
      </c>
      <c r="D222" s="135">
        <v>0.58333333333333337</v>
      </c>
      <c r="E222" s="53">
        <f t="shared" si="33"/>
        <v>5.0000000000000009</v>
      </c>
      <c r="H222" s="53"/>
      <c r="J222" s="53">
        <f t="shared" si="39"/>
        <v>3.0000000000000009</v>
      </c>
      <c r="M222" s="51">
        <f t="shared" si="34"/>
        <v>3.0000000000000009</v>
      </c>
    </row>
    <row r="223" spans="1:13" x14ac:dyDescent="0.25">
      <c r="A223" s="133">
        <v>45408</v>
      </c>
      <c r="B223" s="51" t="s">
        <v>56</v>
      </c>
      <c r="C223" s="135">
        <v>0.75</v>
      </c>
      <c r="D223" s="135">
        <v>0.95833333333333337</v>
      </c>
      <c r="E223" s="53">
        <f t="shared" si="33"/>
        <v>5.0000000000000009</v>
      </c>
      <c r="H223" s="53"/>
      <c r="J223" s="53">
        <f t="shared" si="39"/>
        <v>3.0000000000000009</v>
      </c>
      <c r="M223" s="51">
        <f t="shared" si="34"/>
        <v>3.0000000000000009</v>
      </c>
    </row>
    <row r="224" spans="1:13" x14ac:dyDescent="0.25">
      <c r="A224" s="133">
        <v>45409</v>
      </c>
      <c r="B224" s="51" t="s">
        <v>53</v>
      </c>
      <c r="C224" s="135">
        <v>0.35416666666666669</v>
      </c>
      <c r="D224" s="135">
        <v>0.625</v>
      </c>
      <c r="E224" s="53">
        <f t="shared" si="33"/>
        <v>6</v>
      </c>
      <c r="F224" s="51">
        <v>0.5</v>
      </c>
      <c r="H224" s="53">
        <f t="shared" si="35"/>
        <v>6</v>
      </c>
      <c r="M224" s="51">
        <f t="shared" si="34"/>
        <v>6</v>
      </c>
    </row>
    <row r="225" spans="1:13" x14ac:dyDescent="0.25">
      <c r="A225" s="133">
        <v>45409</v>
      </c>
      <c r="B225" s="51" t="s">
        <v>56</v>
      </c>
      <c r="C225" s="135">
        <v>0.375</v>
      </c>
      <c r="D225" s="135">
        <v>0.54166666666666663</v>
      </c>
      <c r="E225" s="53">
        <f t="shared" si="33"/>
        <v>3.9999999999999991</v>
      </c>
      <c r="H225" s="53"/>
      <c r="J225" s="53">
        <f>IF(WEEKDAY(A225, 2)&lt;6, E225-2, E225)</f>
        <v>3.9999999999999991</v>
      </c>
      <c r="M225" s="51">
        <f t="shared" si="34"/>
        <v>3.9999999999999991</v>
      </c>
    </row>
    <row r="226" spans="1:13" x14ac:dyDescent="0.25">
      <c r="A226" s="133">
        <v>45409</v>
      </c>
      <c r="B226" s="51" t="s">
        <v>46</v>
      </c>
      <c r="C226" s="135">
        <v>0.375</v>
      </c>
      <c r="D226" s="135">
        <v>0.70833333333333337</v>
      </c>
      <c r="E226" s="53">
        <f t="shared" si="33"/>
        <v>7.5</v>
      </c>
      <c r="F226" s="51">
        <v>0.5</v>
      </c>
      <c r="H226" s="53">
        <f t="shared" si="35"/>
        <v>7.5</v>
      </c>
      <c r="M226" s="51">
        <f t="shared" si="34"/>
        <v>7.5</v>
      </c>
    </row>
    <row r="227" spans="1:13" x14ac:dyDescent="0.25">
      <c r="A227" s="133">
        <v>45409</v>
      </c>
      <c r="B227" s="51" t="s">
        <v>56</v>
      </c>
      <c r="C227" s="135">
        <v>0.5</v>
      </c>
      <c r="D227" s="135">
        <v>0.75</v>
      </c>
      <c r="E227" s="53">
        <f t="shared" si="33"/>
        <v>5.5</v>
      </c>
      <c r="F227" s="51">
        <v>0.5</v>
      </c>
      <c r="H227" s="53"/>
      <c r="J227" s="53">
        <f>IF(WEEKDAY(A227, 2)&lt;6, E227-2, E227)</f>
        <v>5.5</v>
      </c>
      <c r="M227" s="51">
        <f t="shared" si="34"/>
        <v>5.5</v>
      </c>
    </row>
    <row r="228" spans="1:13" x14ac:dyDescent="0.25">
      <c r="A228" s="133">
        <v>45409</v>
      </c>
      <c r="B228" s="51" t="s">
        <v>48</v>
      </c>
      <c r="C228" s="135">
        <v>0.625</v>
      </c>
      <c r="D228" s="135">
        <v>0.75</v>
      </c>
      <c r="E228" s="53">
        <f t="shared" si="33"/>
        <v>3</v>
      </c>
      <c r="H228" s="53">
        <f t="shared" si="35"/>
        <v>3</v>
      </c>
      <c r="M228" s="51">
        <f t="shared" si="34"/>
        <v>3</v>
      </c>
    </row>
    <row r="229" spans="1:13" x14ac:dyDescent="0.25">
      <c r="A229" s="133">
        <v>45410</v>
      </c>
      <c r="B229" s="51" t="s">
        <v>53</v>
      </c>
      <c r="C229" s="135">
        <v>0.5</v>
      </c>
      <c r="D229" s="135">
        <v>0.79166666666666663</v>
      </c>
      <c r="E229" s="53">
        <f t="shared" si="33"/>
        <v>6.4999999999999991</v>
      </c>
      <c r="F229" s="51">
        <v>0.5</v>
      </c>
      <c r="H229" s="53">
        <f t="shared" si="35"/>
        <v>6.4999999999999991</v>
      </c>
      <c r="M229" s="51">
        <f t="shared" si="34"/>
        <v>6.4999999999999991</v>
      </c>
    </row>
    <row r="230" spans="1:13" x14ac:dyDescent="0.25">
      <c r="A230" s="133">
        <v>45410</v>
      </c>
      <c r="B230" s="51" t="s">
        <v>58</v>
      </c>
      <c r="C230" s="135">
        <v>0.625</v>
      </c>
      <c r="D230" s="135">
        <v>0.83333333333333337</v>
      </c>
      <c r="E230" s="53">
        <f t="shared" si="33"/>
        <v>5.0000000000000009</v>
      </c>
      <c r="H230" s="53">
        <f t="shared" si="35"/>
        <v>5.0000000000000009</v>
      </c>
      <c r="M230" s="51">
        <f t="shared" si="34"/>
        <v>5.0000000000000009</v>
      </c>
    </row>
    <row r="231" spans="1:13" x14ac:dyDescent="0.25">
      <c r="A231" s="133">
        <v>45411</v>
      </c>
      <c r="B231" s="51" t="s">
        <v>56</v>
      </c>
      <c r="C231" s="135">
        <v>0.33333333333333331</v>
      </c>
      <c r="D231" s="135">
        <v>0.58333333333333337</v>
      </c>
      <c r="E231" s="53">
        <f t="shared" si="33"/>
        <v>5.5000000000000018</v>
      </c>
      <c r="F231" s="51">
        <v>0.5</v>
      </c>
      <c r="H231" s="53"/>
      <c r="J231" s="53">
        <f t="shared" ref="J231:J233" si="40">IF(WEEKDAY(A231, 2)&lt;6, E231-2, E231)</f>
        <v>3.5000000000000018</v>
      </c>
      <c r="M231" s="51">
        <f t="shared" si="34"/>
        <v>3.5000000000000018</v>
      </c>
    </row>
    <row r="232" spans="1:13" x14ac:dyDescent="0.25">
      <c r="A232" s="133">
        <v>45412</v>
      </c>
      <c r="B232" s="51" t="s">
        <v>56</v>
      </c>
      <c r="C232" s="135">
        <v>0.33333333333333331</v>
      </c>
      <c r="D232" s="135">
        <v>0.54166666666666663</v>
      </c>
      <c r="E232" s="53">
        <f t="shared" si="33"/>
        <v>5</v>
      </c>
      <c r="H232" s="53"/>
      <c r="J232" s="53">
        <f t="shared" si="40"/>
        <v>3</v>
      </c>
      <c r="M232" s="51">
        <f t="shared" si="34"/>
        <v>3</v>
      </c>
    </row>
    <row r="233" spans="1:13" x14ac:dyDescent="0.25">
      <c r="A233" s="133">
        <v>45413</v>
      </c>
      <c r="B233" s="51" t="s">
        <v>56</v>
      </c>
      <c r="C233" s="135">
        <v>0.33333333333333331</v>
      </c>
      <c r="D233" s="135">
        <v>0.58333333333333337</v>
      </c>
      <c r="E233" s="53">
        <f t="shared" si="33"/>
        <v>5.5000000000000018</v>
      </c>
      <c r="F233" s="51">
        <v>0.5</v>
      </c>
      <c r="G233" s="55">
        <f>SUM(E:E)</f>
        <v>5521</v>
      </c>
      <c r="H233" s="53"/>
      <c r="J233" s="53">
        <f t="shared" si="40"/>
        <v>3.5000000000000018</v>
      </c>
      <c r="M233" s="51">
        <f t="shared" si="34"/>
        <v>3.5000000000000018</v>
      </c>
    </row>
    <row r="234" spans="1:13" x14ac:dyDescent="0.25">
      <c r="A234" s="133">
        <v>45413</v>
      </c>
      <c r="B234" s="51" t="s">
        <v>49</v>
      </c>
      <c r="C234" s="135">
        <v>0.6875</v>
      </c>
      <c r="D234" s="135">
        <v>0.875</v>
      </c>
      <c r="E234" s="53">
        <f t="shared" si="33"/>
        <v>4.5</v>
      </c>
      <c r="H234" s="53">
        <f t="shared" si="35"/>
        <v>6.5</v>
      </c>
      <c r="M234" s="51">
        <f t="shared" si="34"/>
        <v>6.5</v>
      </c>
    </row>
    <row r="235" spans="1:13" x14ac:dyDescent="0.25">
      <c r="A235" s="133">
        <v>45414</v>
      </c>
      <c r="B235" s="51" t="s">
        <v>56</v>
      </c>
      <c r="C235" s="135">
        <v>0.77083333333333337</v>
      </c>
      <c r="D235" s="135">
        <v>0.9375</v>
      </c>
      <c r="E235" s="53">
        <f t="shared" si="33"/>
        <v>3.9999999999999991</v>
      </c>
      <c r="H235" s="53"/>
      <c r="J235" s="53">
        <f t="shared" ref="J235:J238" si="41">IF(WEEKDAY(A235, 2)&lt;6, E235-2, E235)</f>
        <v>1.9999999999999991</v>
      </c>
      <c r="M235" s="51">
        <f t="shared" si="34"/>
        <v>1.9999999999999991</v>
      </c>
    </row>
    <row r="236" spans="1:13" x14ac:dyDescent="0.25">
      <c r="A236" s="133">
        <v>45414</v>
      </c>
      <c r="B236" s="51" t="s">
        <v>56</v>
      </c>
      <c r="C236" s="135">
        <v>0.33333333333333331</v>
      </c>
      <c r="D236" s="135">
        <v>0.58333333333333337</v>
      </c>
      <c r="E236" s="53">
        <f t="shared" si="33"/>
        <v>5.5000000000000018</v>
      </c>
      <c r="F236" s="51">
        <v>0.5</v>
      </c>
      <c r="H236" s="53"/>
      <c r="J236" s="53">
        <f t="shared" si="41"/>
        <v>3.5000000000000018</v>
      </c>
      <c r="M236" s="51">
        <f t="shared" si="34"/>
        <v>3.5000000000000018</v>
      </c>
    </row>
    <row r="237" spans="1:13" x14ac:dyDescent="0.25">
      <c r="A237" s="133">
        <v>45415</v>
      </c>
      <c r="B237" s="51" t="s">
        <v>56</v>
      </c>
      <c r="C237" s="135">
        <v>0.33333333333333331</v>
      </c>
      <c r="D237" s="135">
        <v>0.58333333333333337</v>
      </c>
      <c r="E237" s="53">
        <f t="shared" si="33"/>
        <v>5.5000000000000018</v>
      </c>
      <c r="F237" s="51">
        <v>0.5</v>
      </c>
      <c r="H237" s="53"/>
      <c r="J237" s="53">
        <f t="shared" si="41"/>
        <v>3.5000000000000018</v>
      </c>
      <c r="M237" s="51">
        <f t="shared" si="34"/>
        <v>3.5000000000000018</v>
      </c>
    </row>
    <row r="238" spans="1:13" x14ac:dyDescent="0.25">
      <c r="A238" s="133">
        <v>45416</v>
      </c>
      <c r="B238" s="51" t="s">
        <v>56</v>
      </c>
      <c r="C238" s="135">
        <v>0.52083333333333337</v>
      </c>
      <c r="D238" s="135">
        <v>0.75</v>
      </c>
      <c r="E238" s="53">
        <f t="shared" si="33"/>
        <v>5.4999999999999991</v>
      </c>
      <c r="H238" s="53"/>
      <c r="J238" s="53">
        <f t="shared" si="41"/>
        <v>5.4999999999999991</v>
      </c>
      <c r="M238" s="51">
        <f t="shared" si="34"/>
        <v>5.4999999999999991</v>
      </c>
    </row>
    <row r="239" spans="1:13" x14ac:dyDescent="0.25">
      <c r="A239" s="133">
        <v>45416</v>
      </c>
      <c r="B239" s="51" t="s">
        <v>58</v>
      </c>
      <c r="C239" s="135">
        <v>0.625</v>
      </c>
      <c r="D239" s="135">
        <v>0.875</v>
      </c>
      <c r="E239" s="53">
        <f t="shared" si="33"/>
        <v>5.5</v>
      </c>
      <c r="F239" s="51">
        <v>0.5</v>
      </c>
      <c r="H239" s="53">
        <f t="shared" si="35"/>
        <v>5.5</v>
      </c>
      <c r="M239" s="51">
        <f t="shared" si="34"/>
        <v>5.5</v>
      </c>
    </row>
    <row r="240" spans="1:13" x14ac:dyDescent="0.25">
      <c r="A240" s="133">
        <v>45416</v>
      </c>
      <c r="B240" s="51" t="s">
        <v>53</v>
      </c>
      <c r="C240" s="135">
        <v>0.625</v>
      </c>
      <c r="D240" s="135">
        <v>0.83333333333333337</v>
      </c>
      <c r="E240" s="53">
        <f t="shared" si="33"/>
        <v>5.0000000000000009</v>
      </c>
      <c r="H240" s="53">
        <f t="shared" si="35"/>
        <v>5.0000000000000009</v>
      </c>
      <c r="M240" s="51">
        <f t="shared" si="34"/>
        <v>5.0000000000000009</v>
      </c>
    </row>
    <row r="241" spans="1:13" x14ac:dyDescent="0.25">
      <c r="A241" s="133">
        <v>45418</v>
      </c>
      <c r="B241" s="51" t="s">
        <v>56</v>
      </c>
      <c r="C241" s="135">
        <v>0.33333333333333331</v>
      </c>
      <c r="D241" s="135">
        <v>0.58333333333333337</v>
      </c>
      <c r="E241" s="53">
        <f t="shared" si="33"/>
        <v>5.5000000000000018</v>
      </c>
      <c r="F241" s="51">
        <v>0.5</v>
      </c>
      <c r="H241" s="53"/>
      <c r="J241" s="53">
        <f t="shared" ref="J241:J244" si="42">IF(WEEKDAY(A241, 2)&lt;6, E241-2, E241)</f>
        <v>3.5000000000000018</v>
      </c>
      <c r="M241" s="51">
        <f t="shared" si="34"/>
        <v>3.5000000000000018</v>
      </c>
    </row>
    <row r="242" spans="1:13" x14ac:dyDescent="0.25">
      <c r="A242" s="133">
        <v>45419</v>
      </c>
      <c r="B242" s="51" t="s">
        <v>56</v>
      </c>
      <c r="C242" s="135">
        <v>0.375</v>
      </c>
      <c r="D242" s="141">
        <v>0.5625</v>
      </c>
      <c r="E242" s="53">
        <f t="shared" si="33"/>
        <v>4.5</v>
      </c>
      <c r="H242" s="53"/>
      <c r="J242" s="53">
        <f t="shared" si="42"/>
        <v>2.5</v>
      </c>
      <c r="M242" s="51">
        <f t="shared" si="34"/>
        <v>2.5</v>
      </c>
    </row>
    <row r="243" spans="1:13" x14ac:dyDescent="0.25">
      <c r="A243" s="133">
        <v>45420</v>
      </c>
      <c r="B243" s="51" t="s">
        <v>56</v>
      </c>
      <c r="C243" s="135">
        <v>0.33333333333333331</v>
      </c>
      <c r="D243" s="135">
        <v>0.54166666666666663</v>
      </c>
      <c r="E243" s="53">
        <f t="shared" si="33"/>
        <v>5</v>
      </c>
      <c r="H243" s="53"/>
      <c r="J243" s="53">
        <f t="shared" si="42"/>
        <v>3</v>
      </c>
      <c r="M243" s="51">
        <f t="shared" si="34"/>
        <v>3</v>
      </c>
    </row>
    <row r="244" spans="1:13" x14ac:dyDescent="0.25">
      <c r="A244" s="133">
        <v>45420</v>
      </c>
      <c r="B244" s="51" t="s">
        <v>56</v>
      </c>
      <c r="C244" s="135">
        <v>0.66666666666666663</v>
      </c>
      <c r="D244" s="141">
        <v>0.72916666666666663</v>
      </c>
      <c r="E244" s="53">
        <f t="shared" si="33"/>
        <v>1.5</v>
      </c>
      <c r="H244" s="53"/>
      <c r="J244" s="53">
        <f t="shared" si="42"/>
        <v>-0.5</v>
      </c>
      <c r="M244" s="51">
        <f t="shared" si="34"/>
        <v>-0.5</v>
      </c>
    </row>
    <row r="245" spans="1:13" x14ac:dyDescent="0.25">
      <c r="A245" s="133">
        <v>45420</v>
      </c>
      <c r="B245" s="51" t="s">
        <v>49</v>
      </c>
      <c r="C245" s="135">
        <v>0.6875</v>
      </c>
      <c r="D245" s="135">
        <v>0.875</v>
      </c>
      <c r="E245" s="53">
        <f t="shared" si="33"/>
        <v>4.5</v>
      </c>
      <c r="H245" s="53">
        <f t="shared" si="35"/>
        <v>6.5</v>
      </c>
      <c r="M245" s="51">
        <f t="shared" si="34"/>
        <v>6.5</v>
      </c>
    </row>
    <row r="246" spans="1:13" x14ac:dyDescent="0.25">
      <c r="A246" s="133">
        <v>45421</v>
      </c>
      <c r="B246" s="51" t="s">
        <v>49</v>
      </c>
      <c r="C246" s="135">
        <v>0.77083333333333337</v>
      </c>
      <c r="D246" s="135">
        <v>0.95833333333333337</v>
      </c>
      <c r="E246" s="53">
        <f t="shared" si="33"/>
        <v>4.5</v>
      </c>
      <c r="H246" s="53">
        <f t="shared" si="35"/>
        <v>6.5</v>
      </c>
      <c r="M246" s="51">
        <f t="shared" si="34"/>
        <v>6.5</v>
      </c>
    </row>
    <row r="247" spans="1:13" x14ac:dyDescent="0.25">
      <c r="A247" s="133">
        <v>45421</v>
      </c>
      <c r="B247" s="51" t="s">
        <v>56</v>
      </c>
      <c r="C247" s="135">
        <v>0.33333333333333331</v>
      </c>
      <c r="D247" s="135">
        <v>0.58333333333333337</v>
      </c>
      <c r="E247" s="53">
        <f t="shared" si="33"/>
        <v>5.5000000000000018</v>
      </c>
      <c r="F247" s="51">
        <v>0.5</v>
      </c>
      <c r="H247" s="53"/>
      <c r="J247" s="53">
        <f t="shared" ref="J247:J248" si="43">IF(WEEKDAY(A247, 2)&lt;6, E247-2, E247)</f>
        <v>3.5000000000000018</v>
      </c>
      <c r="M247" s="51">
        <f t="shared" si="34"/>
        <v>3.5000000000000018</v>
      </c>
    </row>
    <row r="248" spans="1:13" x14ac:dyDescent="0.25">
      <c r="A248" s="133">
        <v>45421</v>
      </c>
      <c r="B248" s="51" t="s">
        <v>56</v>
      </c>
      <c r="C248" s="135">
        <v>0.77083333333333337</v>
      </c>
      <c r="D248" s="135">
        <v>0.9375</v>
      </c>
      <c r="E248" s="53">
        <f t="shared" si="33"/>
        <v>3.9999999999999991</v>
      </c>
      <c r="H248" s="53"/>
      <c r="J248" s="53">
        <f t="shared" si="43"/>
        <v>1.9999999999999991</v>
      </c>
      <c r="M248" s="51">
        <f t="shared" si="34"/>
        <v>1.9999999999999991</v>
      </c>
    </row>
    <row r="249" spans="1:13" x14ac:dyDescent="0.25">
      <c r="A249" s="133">
        <v>45422</v>
      </c>
      <c r="B249" s="51" t="s">
        <v>49</v>
      </c>
      <c r="C249" s="135">
        <v>0.75</v>
      </c>
      <c r="D249" s="135">
        <v>0.97916666666666663</v>
      </c>
      <c r="E249" s="53">
        <f t="shared" si="33"/>
        <v>4.9999999999999991</v>
      </c>
      <c r="F249" s="51">
        <v>0.5</v>
      </c>
      <c r="H249" s="53">
        <f t="shared" si="35"/>
        <v>6.9999999999999991</v>
      </c>
      <c r="M249" s="51">
        <f t="shared" si="34"/>
        <v>6.9999999999999991</v>
      </c>
    </row>
    <row r="250" spans="1:13" x14ac:dyDescent="0.25">
      <c r="A250" s="133">
        <v>45422</v>
      </c>
      <c r="B250" s="51" t="s">
        <v>56</v>
      </c>
      <c r="C250" s="135">
        <v>0.33333333333333331</v>
      </c>
      <c r="D250" s="135">
        <v>0.58333333333333337</v>
      </c>
      <c r="E250" s="53">
        <f t="shared" si="33"/>
        <v>5.5000000000000018</v>
      </c>
      <c r="F250" s="51">
        <v>0.5</v>
      </c>
      <c r="H250" s="53"/>
      <c r="J250" s="53">
        <f>IF(WEEKDAY(A250, 2)&lt;6, E250-2, E250)</f>
        <v>3.5000000000000018</v>
      </c>
      <c r="M250" s="51">
        <f t="shared" si="34"/>
        <v>3.5000000000000018</v>
      </c>
    </row>
    <row r="251" spans="1:13" x14ac:dyDescent="0.25">
      <c r="A251" s="133">
        <v>45423</v>
      </c>
      <c r="B251" s="51" t="s">
        <v>53</v>
      </c>
      <c r="C251" s="135">
        <v>0.52083333333333337</v>
      </c>
      <c r="D251" s="135">
        <v>0.6875</v>
      </c>
      <c r="E251" s="53">
        <f t="shared" si="33"/>
        <v>3.9999999999999991</v>
      </c>
      <c r="H251" s="53">
        <f t="shared" si="35"/>
        <v>3.9999999999999991</v>
      </c>
      <c r="M251" s="51">
        <f t="shared" si="34"/>
        <v>3.9999999999999991</v>
      </c>
    </row>
    <row r="252" spans="1:13" x14ac:dyDescent="0.25">
      <c r="A252" s="133">
        <v>45423</v>
      </c>
      <c r="B252" s="51" t="s">
        <v>58</v>
      </c>
      <c r="C252" s="135">
        <v>0.58333333333333337</v>
      </c>
      <c r="D252" s="135">
        <v>0.85416666666666663</v>
      </c>
      <c r="E252" s="53">
        <f t="shared" si="33"/>
        <v>5.9999999999999982</v>
      </c>
      <c r="F252" s="51">
        <v>0.5</v>
      </c>
      <c r="H252" s="53">
        <f t="shared" si="35"/>
        <v>5.9999999999999982</v>
      </c>
      <c r="M252" s="51">
        <f t="shared" si="34"/>
        <v>5.9999999999999982</v>
      </c>
    </row>
    <row r="253" spans="1:13" x14ac:dyDescent="0.25">
      <c r="A253" s="133">
        <v>45423</v>
      </c>
      <c r="B253" s="51" t="s">
        <v>53</v>
      </c>
      <c r="C253" s="135">
        <v>0.3125</v>
      </c>
      <c r="D253" s="135">
        <v>0.52083333333333337</v>
      </c>
      <c r="E253" s="53">
        <f t="shared" si="33"/>
        <v>5.0000000000000009</v>
      </c>
      <c r="H253" s="53">
        <f t="shared" si="35"/>
        <v>5.0000000000000009</v>
      </c>
      <c r="M253" s="51">
        <f t="shared" si="34"/>
        <v>5.0000000000000009</v>
      </c>
    </row>
    <row r="254" spans="1:13" x14ac:dyDescent="0.25">
      <c r="A254" s="133">
        <v>45423</v>
      </c>
      <c r="B254" s="51" t="s">
        <v>46</v>
      </c>
      <c r="C254" s="135">
        <v>0.41666666666666669</v>
      </c>
      <c r="D254" s="135">
        <v>0.70833333333333337</v>
      </c>
      <c r="E254" s="53">
        <f t="shared" si="33"/>
        <v>6.5</v>
      </c>
      <c r="F254" s="51">
        <v>0.5</v>
      </c>
      <c r="H254" s="53">
        <f t="shared" si="35"/>
        <v>6.5</v>
      </c>
      <c r="M254" s="51">
        <f t="shared" si="34"/>
        <v>6.5</v>
      </c>
    </row>
    <row r="255" spans="1:13" x14ac:dyDescent="0.25">
      <c r="A255" s="133">
        <v>45424</v>
      </c>
      <c r="B255" s="51" t="s">
        <v>49</v>
      </c>
      <c r="C255" s="135">
        <v>0.625</v>
      </c>
      <c r="D255" s="135">
        <v>0.79166666666666663</v>
      </c>
      <c r="E255" s="53">
        <f t="shared" si="33"/>
        <v>3.9999999999999991</v>
      </c>
      <c r="H255" s="53">
        <f t="shared" si="35"/>
        <v>3.9999999999999991</v>
      </c>
      <c r="M255" s="51">
        <f t="shared" si="34"/>
        <v>3.9999999999999991</v>
      </c>
    </row>
    <row r="256" spans="1:13" x14ac:dyDescent="0.25">
      <c r="A256" s="133">
        <v>45425</v>
      </c>
      <c r="B256" s="51" t="s">
        <v>56</v>
      </c>
      <c r="C256" s="135">
        <v>0.33333333333333331</v>
      </c>
      <c r="D256" s="135">
        <v>0.58333333333333337</v>
      </c>
      <c r="E256" s="53">
        <f t="shared" si="33"/>
        <v>5.5000000000000018</v>
      </c>
      <c r="F256" s="51">
        <v>0.5</v>
      </c>
      <c r="H256" s="53"/>
      <c r="J256" s="53">
        <f t="shared" ref="J256:J259" si="44">IF(WEEKDAY(A256, 2)&lt;6, E256-2, E256)</f>
        <v>3.5000000000000018</v>
      </c>
      <c r="M256" s="51">
        <f t="shared" si="34"/>
        <v>3.5000000000000018</v>
      </c>
    </row>
    <row r="257" spans="1:13" x14ac:dyDescent="0.25">
      <c r="A257" s="133">
        <v>45426</v>
      </c>
      <c r="B257" s="51" t="s">
        <v>56</v>
      </c>
      <c r="C257" s="135">
        <v>0.33333333333333331</v>
      </c>
      <c r="D257" s="135">
        <v>0.58333333333333337</v>
      </c>
      <c r="E257" s="53">
        <f t="shared" si="33"/>
        <v>5.5000000000000018</v>
      </c>
      <c r="F257" s="51">
        <v>0.5</v>
      </c>
      <c r="H257" s="53"/>
      <c r="J257" s="53">
        <f t="shared" si="44"/>
        <v>3.5000000000000018</v>
      </c>
      <c r="M257" s="51">
        <f t="shared" si="34"/>
        <v>3.5000000000000018</v>
      </c>
    </row>
    <row r="258" spans="1:13" x14ac:dyDescent="0.25">
      <c r="A258" s="133">
        <v>45427</v>
      </c>
      <c r="B258" s="51" t="s">
        <v>56</v>
      </c>
      <c r="C258" s="135">
        <v>0.33333333333333331</v>
      </c>
      <c r="D258" s="135">
        <v>0.58333333333333337</v>
      </c>
      <c r="E258" s="53">
        <f t="shared" si="33"/>
        <v>5.5000000000000018</v>
      </c>
      <c r="F258" s="51">
        <v>0.5</v>
      </c>
      <c r="H258" s="53"/>
      <c r="J258" s="53">
        <f t="shared" si="44"/>
        <v>3.5000000000000018</v>
      </c>
      <c r="M258" s="51">
        <f t="shared" si="34"/>
        <v>3.5000000000000018</v>
      </c>
    </row>
    <row r="259" spans="1:13" x14ac:dyDescent="0.25">
      <c r="A259" s="133">
        <v>45427</v>
      </c>
      <c r="B259" s="51" t="s">
        <v>56</v>
      </c>
      <c r="C259" s="135">
        <v>0.66666666666666663</v>
      </c>
      <c r="D259" s="135">
        <v>0.875</v>
      </c>
      <c r="E259" s="53">
        <f t="shared" ref="E259:E322" si="45">MOD((D259-C259),1) *24 - F259</f>
        <v>5.0000000000000009</v>
      </c>
      <c r="H259" s="53"/>
      <c r="J259" s="53">
        <f t="shared" si="44"/>
        <v>3.0000000000000009</v>
      </c>
      <c r="M259" s="51">
        <f t="shared" ref="M259:M322" si="46">IF(H259&lt;&gt;"",H259,J259)</f>
        <v>3.0000000000000009</v>
      </c>
    </row>
    <row r="260" spans="1:13" x14ac:dyDescent="0.25">
      <c r="A260" s="133">
        <v>45427</v>
      </c>
      <c r="B260" s="51" t="s">
        <v>49</v>
      </c>
      <c r="C260" s="135">
        <v>0.6875</v>
      </c>
      <c r="D260" s="135">
        <v>0.875</v>
      </c>
      <c r="E260" s="53">
        <f t="shared" si="45"/>
        <v>4.5</v>
      </c>
      <c r="H260" s="53">
        <f t="shared" ref="H260:H322" si="47">IF(WEEKDAY(A260, 2)&lt;6, E260+2, E260)</f>
        <v>6.5</v>
      </c>
      <c r="M260" s="51">
        <f t="shared" si="46"/>
        <v>6.5</v>
      </c>
    </row>
    <row r="261" spans="1:13" x14ac:dyDescent="0.25">
      <c r="A261" s="133">
        <v>45428</v>
      </c>
      <c r="B261" s="51" t="s">
        <v>56</v>
      </c>
      <c r="C261" s="135">
        <v>0.33333333333333331</v>
      </c>
      <c r="D261" s="135">
        <v>0.58333333333333337</v>
      </c>
      <c r="E261" s="53">
        <f t="shared" si="45"/>
        <v>5.5000000000000018</v>
      </c>
      <c r="F261" s="51">
        <v>0.5</v>
      </c>
      <c r="H261" s="53"/>
      <c r="J261" s="53">
        <f>IF(WEEKDAY(A261, 2)&lt;6, E261-2, E261)</f>
        <v>3.5000000000000018</v>
      </c>
      <c r="M261" s="51">
        <f t="shared" si="46"/>
        <v>3.5000000000000018</v>
      </c>
    </row>
    <row r="262" spans="1:13" x14ac:dyDescent="0.25">
      <c r="A262" s="133">
        <v>45428</v>
      </c>
      <c r="B262" s="51" t="s">
        <v>89</v>
      </c>
      <c r="C262" s="135">
        <v>0.29166666666666669</v>
      </c>
      <c r="D262" s="135">
        <v>0.45833333333333331</v>
      </c>
      <c r="E262" s="53">
        <f t="shared" si="45"/>
        <v>3.9999999999999991</v>
      </c>
      <c r="H262" s="53">
        <f t="shared" si="47"/>
        <v>5.9999999999999991</v>
      </c>
      <c r="M262" s="51">
        <f t="shared" si="46"/>
        <v>5.9999999999999991</v>
      </c>
    </row>
    <row r="263" spans="1:13" x14ac:dyDescent="0.25">
      <c r="A263" s="133">
        <v>45428</v>
      </c>
      <c r="B263" s="51" t="s">
        <v>56</v>
      </c>
      <c r="C263" s="135">
        <v>0.75</v>
      </c>
      <c r="D263" s="135">
        <v>0.95833333333333337</v>
      </c>
      <c r="E263" s="53">
        <f t="shared" si="45"/>
        <v>5.0000000000000009</v>
      </c>
      <c r="H263" s="53"/>
      <c r="J263" s="53">
        <f>IF(WEEKDAY(A263, 2)&lt;6, E263-2, E263)</f>
        <v>3.0000000000000009</v>
      </c>
      <c r="M263" s="51">
        <f t="shared" si="46"/>
        <v>3.0000000000000009</v>
      </c>
    </row>
    <row r="264" spans="1:13" x14ac:dyDescent="0.25">
      <c r="A264" s="133">
        <v>45428</v>
      </c>
      <c r="B264" s="51" t="s">
        <v>44</v>
      </c>
      <c r="C264" s="135">
        <v>0.79166666666666663</v>
      </c>
      <c r="D264" s="135">
        <v>0.91666666666666663</v>
      </c>
      <c r="E264" s="53">
        <f t="shared" si="45"/>
        <v>3</v>
      </c>
      <c r="H264" s="53">
        <f t="shared" si="47"/>
        <v>5</v>
      </c>
      <c r="M264" s="51">
        <f t="shared" si="46"/>
        <v>5</v>
      </c>
    </row>
    <row r="265" spans="1:13" x14ac:dyDescent="0.25">
      <c r="A265" s="133">
        <v>45429</v>
      </c>
      <c r="B265" s="51" t="s">
        <v>56</v>
      </c>
      <c r="C265" s="135">
        <v>0.375</v>
      </c>
      <c r="D265" s="135">
        <v>0.58333333333333337</v>
      </c>
      <c r="E265" s="53">
        <f t="shared" si="45"/>
        <v>5.0000000000000009</v>
      </c>
      <c r="H265" s="53"/>
      <c r="J265" s="53">
        <f>IF(WEEKDAY(A265, 2)&lt;6, E265-2, E265)</f>
        <v>3.0000000000000009</v>
      </c>
      <c r="M265" s="51">
        <f t="shared" si="46"/>
        <v>3.0000000000000009</v>
      </c>
    </row>
    <row r="266" spans="1:13" x14ac:dyDescent="0.25">
      <c r="A266" s="133">
        <v>45430</v>
      </c>
      <c r="B266" s="51" t="s">
        <v>58</v>
      </c>
      <c r="C266" s="134">
        <v>0.64583333333333337</v>
      </c>
      <c r="D266" s="135">
        <v>0.9375</v>
      </c>
      <c r="E266" s="53">
        <f t="shared" si="45"/>
        <v>6.4999999999999991</v>
      </c>
      <c r="F266" s="51">
        <v>0.5</v>
      </c>
      <c r="H266" s="53">
        <f t="shared" si="47"/>
        <v>6.4999999999999991</v>
      </c>
      <c r="M266" s="51">
        <f t="shared" si="46"/>
        <v>6.4999999999999991</v>
      </c>
    </row>
    <row r="267" spans="1:13" x14ac:dyDescent="0.25">
      <c r="A267" s="133">
        <v>45430</v>
      </c>
      <c r="B267" s="51" t="s">
        <v>56</v>
      </c>
      <c r="C267" s="134">
        <v>0.33333333333333331</v>
      </c>
      <c r="D267" s="135">
        <v>0.52083333333333337</v>
      </c>
      <c r="E267" s="53">
        <f t="shared" si="45"/>
        <v>4.5000000000000018</v>
      </c>
      <c r="H267" s="53"/>
      <c r="J267" s="53">
        <f>IF(WEEKDAY(A267, 2)&lt;6, E267-2, E267)</f>
        <v>4.5000000000000018</v>
      </c>
      <c r="M267" s="51">
        <f t="shared" si="46"/>
        <v>4.5000000000000018</v>
      </c>
    </row>
    <row r="268" spans="1:13" x14ac:dyDescent="0.25">
      <c r="A268" s="133">
        <v>45431</v>
      </c>
      <c r="B268" s="51" t="s">
        <v>48</v>
      </c>
      <c r="C268" s="134">
        <v>0.58333333333333337</v>
      </c>
      <c r="D268" s="135">
        <v>0.79166666666666663</v>
      </c>
      <c r="E268" s="53">
        <f t="shared" si="45"/>
        <v>4.9999999999999982</v>
      </c>
      <c r="H268" s="53">
        <f t="shared" si="47"/>
        <v>4.9999999999999982</v>
      </c>
      <c r="M268" s="51">
        <f t="shared" si="46"/>
        <v>4.9999999999999982</v>
      </c>
    </row>
    <row r="269" spans="1:13" x14ac:dyDescent="0.25">
      <c r="A269" s="133">
        <v>45431</v>
      </c>
      <c r="B269" s="51" t="s">
        <v>58</v>
      </c>
      <c r="C269" s="134">
        <v>0.625</v>
      </c>
      <c r="D269" s="135">
        <v>0.9375</v>
      </c>
      <c r="E269" s="53">
        <f t="shared" si="45"/>
        <v>7</v>
      </c>
      <c r="F269" s="51">
        <v>0.5</v>
      </c>
      <c r="H269" s="53">
        <f t="shared" si="47"/>
        <v>7</v>
      </c>
      <c r="M269" s="51">
        <f t="shared" si="46"/>
        <v>7</v>
      </c>
    </row>
    <row r="270" spans="1:13" x14ac:dyDescent="0.25">
      <c r="A270" s="133">
        <v>45432</v>
      </c>
      <c r="B270" s="51" t="s">
        <v>56</v>
      </c>
      <c r="C270" s="134">
        <v>0.33333333333333331</v>
      </c>
      <c r="D270" s="135">
        <v>0.58333333333333337</v>
      </c>
      <c r="E270" s="53">
        <f t="shared" si="45"/>
        <v>5.5000000000000018</v>
      </c>
      <c r="F270" s="51">
        <v>0.5</v>
      </c>
      <c r="H270" s="53"/>
      <c r="J270" s="53">
        <f>IF(WEEKDAY(A270, 2)&lt;6, E270-2, E270)</f>
        <v>3.5000000000000018</v>
      </c>
      <c r="M270" s="51">
        <f t="shared" si="46"/>
        <v>3.5000000000000018</v>
      </c>
    </row>
    <row r="271" spans="1:13" x14ac:dyDescent="0.25">
      <c r="A271" s="133">
        <v>45432</v>
      </c>
      <c r="B271" s="51" t="s">
        <v>58</v>
      </c>
      <c r="C271" s="134">
        <v>0.75</v>
      </c>
      <c r="D271" s="135">
        <v>0.89583333333333337</v>
      </c>
      <c r="E271" s="53">
        <f t="shared" si="45"/>
        <v>3.5000000000000009</v>
      </c>
      <c r="H271" s="53">
        <f t="shared" si="47"/>
        <v>5.5000000000000009</v>
      </c>
      <c r="M271" s="51">
        <f t="shared" si="46"/>
        <v>5.5000000000000009</v>
      </c>
    </row>
    <row r="272" spans="1:13" x14ac:dyDescent="0.25">
      <c r="A272" s="133">
        <v>45433</v>
      </c>
      <c r="B272" s="51" t="s">
        <v>56</v>
      </c>
      <c r="C272" s="134">
        <v>0.33333333333333331</v>
      </c>
      <c r="D272" s="135">
        <v>0.58333333333333337</v>
      </c>
      <c r="E272" s="53">
        <f t="shared" si="45"/>
        <v>5.5000000000000018</v>
      </c>
      <c r="F272" s="51">
        <v>0.5</v>
      </c>
      <c r="H272" s="53"/>
      <c r="J272" s="53">
        <f t="shared" ref="J272:J276" si="48">IF(WEEKDAY(A272, 2)&lt;6, E272-2, E272)</f>
        <v>3.5000000000000018</v>
      </c>
      <c r="M272" s="51">
        <f t="shared" si="46"/>
        <v>3.5000000000000018</v>
      </c>
    </row>
    <row r="273" spans="1:13" x14ac:dyDescent="0.25">
      <c r="A273" s="133">
        <v>45434</v>
      </c>
      <c r="B273" s="51" t="s">
        <v>56</v>
      </c>
      <c r="C273" s="134">
        <v>0.6875</v>
      </c>
      <c r="D273" s="135">
        <v>0.875</v>
      </c>
      <c r="E273" s="53">
        <f t="shared" si="45"/>
        <v>4.5</v>
      </c>
      <c r="H273" s="53"/>
      <c r="J273" s="53">
        <f t="shared" si="48"/>
        <v>2.5</v>
      </c>
      <c r="M273" s="51">
        <f t="shared" si="46"/>
        <v>2.5</v>
      </c>
    </row>
    <row r="274" spans="1:13" x14ac:dyDescent="0.25">
      <c r="A274" s="133">
        <v>45434</v>
      </c>
      <c r="B274" s="51" t="s">
        <v>56</v>
      </c>
      <c r="C274" s="134">
        <v>0.33333333333333331</v>
      </c>
      <c r="D274" s="135">
        <v>0.54166666666666663</v>
      </c>
      <c r="E274" s="53">
        <f t="shared" si="45"/>
        <v>5</v>
      </c>
      <c r="H274" s="53"/>
      <c r="J274" s="53">
        <f t="shared" si="48"/>
        <v>3</v>
      </c>
      <c r="M274" s="51">
        <f t="shared" si="46"/>
        <v>3</v>
      </c>
    </row>
    <row r="275" spans="1:13" x14ac:dyDescent="0.25">
      <c r="A275" s="133">
        <v>45435</v>
      </c>
      <c r="B275" s="51" t="s">
        <v>56</v>
      </c>
      <c r="C275" s="134">
        <v>0.33333333333333331</v>
      </c>
      <c r="D275" s="135">
        <v>0.58333333333333337</v>
      </c>
      <c r="E275" s="53">
        <f t="shared" si="45"/>
        <v>5.5000000000000018</v>
      </c>
      <c r="F275" s="51">
        <v>0.5</v>
      </c>
      <c r="H275" s="53"/>
      <c r="J275" s="53">
        <f t="shared" si="48"/>
        <v>3.5000000000000018</v>
      </c>
      <c r="M275" s="51">
        <f t="shared" si="46"/>
        <v>3.5000000000000018</v>
      </c>
    </row>
    <row r="276" spans="1:13" x14ac:dyDescent="0.25">
      <c r="A276" s="133">
        <v>45435</v>
      </c>
      <c r="B276" s="51" t="s">
        <v>56</v>
      </c>
      <c r="C276" s="134">
        <v>0.77083333333333337</v>
      </c>
      <c r="D276" s="135">
        <v>0.9375</v>
      </c>
      <c r="E276" s="53">
        <f t="shared" si="45"/>
        <v>3.9999999999999991</v>
      </c>
      <c r="H276" s="53"/>
      <c r="J276" s="53">
        <f t="shared" si="48"/>
        <v>1.9999999999999991</v>
      </c>
      <c r="M276" s="51">
        <f t="shared" si="46"/>
        <v>1.9999999999999991</v>
      </c>
    </row>
    <row r="277" spans="1:13" x14ac:dyDescent="0.25">
      <c r="A277" s="133">
        <v>45435</v>
      </c>
      <c r="B277" s="51" t="s">
        <v>51</v>
      </c>
      <c r="C277" s="134">
        <v>0.70833333333333337</v>
      </c>
      <c r="D277" s="135">
        <v>0.91666666666666663</v>
      </c>
      <c r="E277" s="53">
        <f t="shared" si="45"/>
        <v>4.4999999999999982</v>
      </c>
      <c r="F277" s="51">
        <v>0.5</v>
      </c>
      <c r="H277" s="53">
        <f t="shared" si="47"/>
        <v>6.4999999999999982</v>
      </c>
      <c r="M277" s="51">
        <f t="shared" si="46"/>
        <v>6.4999999999999982</v>
      </c>
    </row>
    <row r="278" spans="1:13" x14ac:dyDescent="0.25">
      <c r="A278" s="133">
        <v>45436</v>
      </c>
      <c r="B278" s="51" t="s">
        <v>56</v>
      </c>
      <c r="C278" s="134">
        <v>0.33333333333333331</v>
      </c>
      <c r="D278" s="135">
        <v>0.58333333333333337</v>
      </c>
      <c r="E278" s="53">
        <f t="shared" si="45"/>
        <v>5.5000000000000018</v>
      </c>
      <c r="F278" s="51">
        <v>0.5</v>
      </c>
      <c r="H278" s="53"/>
      <c r="J278" s="53">
        <f>IF(WEEKDAY(A278, 2)&lt;6, E278-2, E278)</f>
        <v>3.5000000000000018</v>
      </c>
      <c r="M278" s="51">
        <f t="shared" si="46"/>
        <v>3.5000000000000018</v>
      </c>
    </row>
    <row r="279" spans="1:13" x14ac:dyDescent="0.25">
      <c r="A279" s="133">
        <v>45436</v>
      </c>
      <c r="B279" s="51" t="s">
        <v>51</v>
      </c>
      <c r="C279" s="134">
        <v>0.77083333333333337</v>
      </c>
      <c r="D279" s="135">
        <v>0.97916666666666663</v>
      </c>
      <c r="E279" s="53">
        <f t="shared" si="45"/>
        <v>4.9999999999999982</v>
      </c>
      <c r="H279" s="53">
        <f t="shared" si="47"/>
        <v>6.9999999999999982</v>
      </c>
      <c r="M279" s="51">
        <f t="shared" si="46"/>
        <v>6.9999999999999982</v>
      </c>
    </row>
    <row r="280" spans="1:13" x14ac:dyDescent="0.25">
      <c r="A280" s="133">
        <v>45437</v>
      </c>
      <c r="B280" s="51" t="s">
        <v>58</v>
      </c>
      <c r="C280" s="134">
        <v>0.5</v>
      </c>
      <c r="D280" s="135">
        <v>0.89583333333333337</v>
      </c>
      <c r="E280" s="53">
        <f t="shared" si="45"/>
        <v>8.5</v>
      </c>
      <c r="F280" s="51">
        <v>1</v>
      </c>
      <c r="H280" s="53">
        <f t="shared" si="47"/>
        <v>8.5</v>
      </c>
      <c r="M280" s="51">
        <f t="shared" si="46"/>
        <v>8.5</v>
      </c>
    </row>
    <row r="281" spans="1:13" x14ac:dyDescent="0.25">
      <c r="A281" s="133">
        <v>45437</v>
      </c>
      <c r="B281" s="51" t="s">
        <v>53</v>
      </c>
      <c r="C281" s="134">
        <v>0.79166666666666663</v>
      </c>
      <c r="D281" s="135">
        <v>0.875</v>
      </c>
      <c r="E281" s="53">
        <f t="shared" si="45"/>
        <v>2.0000000000000009</v>
      </c>
      <c r="H281" s="53">
        <f t="shared" si="47"/>
        <v>2.0000000000000009</v>
      </c>
      <c r="M281" s="51">
        <f t="shared" si="46"/>
        <v>2.0000000000000009</v>
      </c>
    </row>
    <row r="282" spans="1:13" x14ac:dyDescent="0.25">
      <c r="A282" s="133">
        <v>45437</v>
      </c>
      <c r="B282" s="51" t="s">
        <v>46</v>
      </c>
      <c r="C282" s="134">
        <v>0.52083333333333337</v>
      </c>
      <c r="D282" s="135">
        <v>0.79166666666666663</v>
      </c>
      <c r="E282" s="53">
        <f t="shared" si="45"/>
        <v>5.9999999999999982</v>
      </c>
      <c r="F282" s="51">
        <v>0.5</v>
      </c>
      <c r="H282" s="53">
        <f t="shared" si="47"/>
        <v>5.9999999999999982</v>
      </c>
      <c r="M282" s="51">
        <f t="shared" si="46"/>
        <v>5.9999999999999982</v>
      </c>
    </row>
    <row r="283" spans="1:13" x14ac:dyDescent="0.25">
      <c r="A283" s="133">
        <v>45438</v>
      </c>
      <c r="B283" s="51" t="s">
        <v>51</v>
      </c>
      <c r="C283" s="134">
        <v>0.66666666666666663</v>
      </c>
      <c r="D283" s="135">
        <v>0.95833333333333337</v>
      </c>
      <c r="E283" s="53">
        <f t="shared" si="45"/>
        <v>6.5000000000000018</v>
      </c>
      <c r="F283" s="51">
        <v>0.5</v>
      </c>
      <c r="H283" s="53">
        <f t="shared" si="47"/>
        <v>6.5000000000000018</v>
      </c>
      <c r="M283" s="51">
        <f t="shared" si="46"/>
        <v>6.5000000000000018</v>
      </c>
    </row>
    <row r="284" spans="1:13" x14ac:dyDescent="0.25">
      <c r="A284" s="133">
        <v>45440</v>
      </c>
      <c r="B284" s="51" t="s">
        <v>56</v>
      </c>
      <c r="C284" s="135">
        <v>0.33333333333333331</v>
      </c>
      <c r="D284" s="135">
        <v>0.58333333333333337</v>
      </c>
      <c r="E284" s="53">
        <f t="shared" si="45"/>
        <v>5.5000000000000018</v>
      </c>
      <c r="F284" s="51">
        <v>0.5</v>
      </c>
      <c r="H284" s="53"/>
      <c r="J284" s="53">
        <f>IF(WEEKDAY(A284, 2)&lt;6, E284-2, E284)</f>
        <v>3.5000000000000018</v>
      </c>
      <c r="M284" s="51">
        <f t="shared" si="46"/>
        <v>3.5000000000000018</v>
      </c>
    </row>
    <row r="285" spans="1:13" x14ac:dyDescent="0.25">
      <c r="A285" s="133">
        <v>45441</v>
      </c>
      <c r="B285" s="51" t="s">
        <v>49</v>
      </c>
      <c r="C285" s="135">
        <v>0.6875</v>
      </c>
      <c r="D285" s="135">
        <v>0.875</v>
      </c>
      <c r="E285" s="53">
        <f t="shared" si="45"/>
        <v>4.5</v>
      </c>
      <c r="H285" s="53">
        <f t="shared" si="47"/>
        <v>6.5</v>
      </c>
      <c r="M285" s="51">
        <f t="shared" si="46"/>
        <v>6.5</v>
      </c>
    </row>
    <row r="286" spans="1:13" x14ac:dyDescent="0.25">
      <c r="A286" s="133">
        <v>45442</v>
      </c>
      <c r="B286" s="51" t="s">
        <v>56</v>
      </c>
      <c r="C286" s="135">
        <v>0.75</v>
      </c>
      <c r="D286" s="135">
        <v>0.95833333333333337</v>
      </c>
      <c r="E286" s="53">
        <f t="shared" si="45"/>
        <v>5.0000000000000009</v>
      </c>
      <c r="H286" s="53"/>
      <c r="J286" s="53">
        <f>IF(WEEKDAY(A286, 2)&lt;6, E286-2, E286)</f>
        <v>3.0000000000000009</v>
      </c>
      <c r="M286" s="51">
        <f t="shared" si="46"/>
        <v>3.0000000000000009</v>
      </c>
    </row>
    <row r="287" spans="1:13" x14ac:dyDescent="0.25">
      <c r="A287" s="133">
        <v>45442</v>
      </c>
      <c r="B287" s="51" t="s">
        <v>44</v>
      </c>
      <c r="C287" s="135">
        <v>0.79166666666666663</v>
      </c>
      <c r="D287" s="135">
        <v>0.91666666666666663</v>
      </c>
      <c r="E287" s="53">
        <f t="shared" si="45"/>
        <v>3</v>
      </c>
      <c r="H287" s="53">
        <f t="shared" si="47"/>
        <v>5</v>
      </c>
      <c r="M287" s="51">
        <f t="shared" si="46"/>
        <v>5</v>
      </c>
    </row>
    <row r="288" spans="1:13" x14ac:dyDescent="0.25">
      <c r="A288" s="133">
        <v>45442</v>
      </c>
      <c r="B288" s="51" t="s">
        <v>53</v>
      </c>
      <c r="C288" s="135">
        <v>0.64583333333333337</v>
      </c>
      <c r="D288" s="135">
        <v>0.91666666666666663</v>
      </c>
      <c r="E288" s="53">
        <f t="shared" si="45"/>
        <v>5.9999999999999982</v>
      </c>
      <c r="F288" s="51">
        <v>0.5</v>
      </c>
      <c r="H288" s="53">
        <f t="shared" si="47"/>
        <v>7.9999999999999982</v>
      </c>
      <c r="M288" s="51">
        <f t="shared" si="46"/>
        <v>7.9999999999999982</v>
      </c>
    </row>
    <row r="289" spans="1:13" x14ac:dyDescent="0.25">
      <c r="A289" s="133">
        <v>45442</v>
      </c>
      <c r="B289" s="51" t="s">
        <v>56</v>
      </c>
      <c r="C289" s="135">
        <v>0.375</v>
      </c>
      <c r="D289" s="135">
        <v>0.58333333333333337</v>
      </c>
      <c r="E289" s="53">
        <f t="shared" si="45"/>
        <v>5.0000000000000009</v>
      </c>
      <c r="H289" s="53"/>
      <c r="J289" s="53">
        <f t="shared" ref="J289:J290" si="49">IF(WEEKDAY(A289, 2)&lt;6, E289-2, E289)</f>
        <v>3.0000000000000009</v>
      </c>
      <c r="M289" s="51">
        <f t="shared" si="46"/>
        <v>3.0000000000000009</v>
      </c>
    </row>
    <row r="290" spans="1:13" x14ac:dyDescent="0.25">
      <c r="A290" s="133">
        <v>45443</v>
      </c>
      <c r="B290" s="51" t="s">
        <v>56</v>
      </c>
      <c r="C290" s="135">
        <v>0.33333333333333331</v>
      </c>
      <c r="D290" s="135">
        <v>0.58333333333333337</v>
      </c>
      <c r="E290" s="53">
        <f t="shared" si="45"/>
        <v>5.5000000000000018</v>
      </c>
      <c r="F290" s="51">
        <v>0.5</v>
      </c>
      <c r="H290" s="53"/>
      <c r="J290" s="53">
        <f t="shared" si="49"/>
        <v>3.5000000000000018</v>
      </c>
      <c r="M290" s="51">
        <f t="shared" si="46"/>
        <v>3.5000000000000018</v>
      </c>
    </row>
    <row r="291" spans="1:13" x14ac:dyDescent="0.25">
      <c r="A291" s="133">
        <v>45444</v>
      </c>
      <c r="B291" s="51" t="s">
        <v>53</v>
      </c>
      <c r="C291" s="135">
        <v>0.375</v>
      </c>
      <c r="D291" s="135">
        <v>0.54166666666666663</v>
      </c>
      <c r="E291" s="53">
        <f t="shared" si="45"/>
        <v>3.9999999999999991</v>
      </c>
      <c r="G291" s="55">
        <f>SUM(E:E)</f>
        <v>5521</v>
      </c>
      <c r="H291" s="53">
        <f t="shared" si="47"/>
        <v>3.9999999999999991</v>
      </c>
      <c r="M291" s="51">
        <f t="shared" si="46"/>
        <v>3.9999999999999991</v>
      </c>
    </row>
    <row r="292" spans="1:13" x14ac:dyDescent="0.25">
      <c r="A292" s="133">
        <v>45444</v>
      </c>
      <c r="B292" s="51" t="s">
        <v>46</v>
      </c>
      <c r="C292" s="135">
        <v>0.375</v>
      </c>
      <c r="D292" s="135">
        <v>0.70833333333333337</v>
      </c>
      <c r="E292" s="53">
        <f t="shared" si="45"/>
        <v>7.5</v>
      </c>
      <c r="F292" s="51">
        <v>0.5</v>
      </c>
      <c r="H292" s="53">
        <f t="shared" si="47"/>
        <v>7.5</v>
      </c>
      <c r="M292" s="51">
        <f t="shared" si="46"/>
        <v>7.5</v>
      </c>
    </row>
    <row r="293" spans="1:13" x14ac:dyDescent="0.25">
      <c r="A293" s="133">
        <v>45444</v>
      </c>
      <c r="B293" s="51" t="s">
        <v>58</v>
      </c>
      <c r="C293" s="135">
        <v>0.54166666666666663</v>
      </c>
      <c r="D293" s="135">
        <v>0.875</v>
      </c>
      <c r="E293" s="53">
        <f t="shared" si="45"/>
        <v>7.5</v>
      </c>
      <c r="F293" s="51">
        <v>0.5</v>
      </c>
      <c r="H293" s="53">
        <f t="shared" si="47"/>
        <v>7.5</v>
      </c>
      <c r="M293" s="51">
        <f t="shared" si="46"/>
        <v>7.5</v>
      </c>
    </row>
    <row r="294" spans="1:13" x14ac:dyDescent="0.25">
      <c r="A294" s="133">
        <v>45444</v>
      </c>
      <c r="B294" s="51" t="s">
        <v>53</v>
      </c>
      <c r="C294" s="135">
        <v>0.66666666666666663</v>
      </c>
      <c r="D294" s="135">
        <v>0.875</v>
      </c>
      <c r="E294" s="53">
        <f t="shared" si="45"/>
        <v>5.0000000000000009</v>
      </c>
      <c r="H294" s="53">
        <f t="shared" si="47"/>
        <v>5.0000000000000009</v>
      </c>
      <c r="M294" s="51">
        <f t="shared" si="46"/>
        <v>5.0000000000000009</v>
      </c>
    </row>
    <row r="295" spans="1:13" x14ac:dyDescent="0.25">
      <c r="A295" s="133">
        <v>45445</v>
      </c>
      <c r="B295" s="51" t="s">
        <v>53</v>
      </c>
      <c r="C295" s="135">
        <v>0.66666666666666663</v>
      </c>
      <c r="D295" s="135">
        <v>0.95833333333333337</v>
      </c>
      <c r="E295" s="53">
        <f t="shared" si="45"/>
        <v>6.5000000000000018</v>
      </c>
      <c r="F295" s="51">
        <v>0.5</v>
      </c>
      <c r="H295" s="53">
        <f t="shared" si="47"/>
        <v>6.5000000000000018</v>
      </c>
      <c r="M295" s="51">
        <f t="shared" si="46"/>
        <v>6.5000000000000018</v>
      </c>
    </row>
    <row r="296" spans="1:13" x14ac:dyDescent="0.25">
      <c r="A296" s="133">
        <v>45446</v>
      </c>
      <c r="B296" s="51" t="s">
        <v>56</v>
      </c>
      <c r="C296" s="135">
        <v>0.33333333333333331</v>
      </c>
      <c r="D296" s="135">
        <v>0.58333333333333337</v>
      </c>
      <c r="E296" s="53">
        <f t="shared" si="45"/>
        <v>5.5000000000000018</v>
      </c>
      <c r="F296" s="51">
        <v>0.5</v>
      </c>
      <c r="H296" s="53"/>
      <c r="J296" s="53">
        <f t="shared" ref="J296:J297" si="50">IF(WEEKDAY(A296, 2)&lt;6, E296-2, E296)</f>
        <v>3.5000000000000018</v>
      </c>
      <c r="M296" s="51">
        <f t="shared" si="46"/>
        <v>3.5000000000000018</v>
      </c>
    </row>
    <row r="297" spans="1:13" x14ac:dyDescent="0.25">
      <c r="A297" s="133">
        <v>45447</v>
      </c>
      <c r="B297" s="51" t="s">
        <v>56</v>
      </c>
      <c r="C297" s="135">
        <v>0.33333333333333331</v>
      </c>
      <c r="D297" s="135">
        <v>0.58333333333333337</v>
      </c>
      <c r="E297" s="53">
        <f t="shared" si="45"/>
        <v>5.5000000000000018</v>
      </c>
      <c r="F297" s="51">
        <v>0.5</v>
      </c>
      <c r="H297" s="53"/>
      <c r="J297" s="53">
        <f t="shared" si="50"/>
        <v>3.5000000000000018</v>
      </c>
      <c r="M297" s="51">
        <f t="shared" si="46"/>
        <v>3.5000000000000018</v>
      </c>
    </row>
    <row r="298" spans="1:13" x14ac:dyDescent="0.25">
      <c r="A298" s="133">
        <v>45447</v>
      </c>
      <c r="B298" s="51" t="s">
        <v>53</v>
      </c>
      <c r="C298" s="135">
        <v>0.70833333333333337</v>
      </c>
      <c r="D298" s="135">
        <v>0.95833333333333337</v>
      </c>
      <c r="E298" s="53">
        <f t="shared" si="45"/>
        <v>5.5</v>
      </c>
      <c r="F298" s="51">
        <v>0.5</v>
      </c>
      <c r="H298" s="53">
        <f t="shared" si="47"/>
        <v>7.5</v>
      </c>
      <c r="M298" s="51">
        <f t="shared" si="46"/>
        <v>7.5</v>
      </c>
    </row>
    <row r="299" spans="1:13" x14ac:dyDescent="0.25">
      <c r="A299" s="133">
        <v>45448</v>
      </c>
      <c r="B299" s="51" t="s">
        <v>56</v>
      </c>
      <c r="C299" s="135">
        <v>0.33333333333333331</v>
      </c>
      <c r="D299" s="135">
        <v>0.58333333333333337</v>
      </c>
      <c r="E299" s="53">
        <f t="shared" si="45"/>
        <v>5.5000000000000018</v>
      </c>
      <c r="F299" s="51">
        <v>0.5</v>
      </c>
      <c r="H299" s="53"/>
      <c r="J299" s="53">
        <f>IF(WEEKDAY(A299, 2)&lt;6, E299-2, E299)</f>
        <v>3.5000000000000018</v>
      </c>
      <c r="M299" s="51">
        <f t="shared" si="46"/>
        <v>3.5000000000000018</v>
      </c>
    </row>
    <row r="300" spans="1:13" x14ac:dyDescent="0.25">
      <c r="A300" s="133">
        <v>45448</v>
      </c>
      <c r="B300" s="51" t="s">
        <v>58</v>
      </c>
      <c r="C300" s="135">
        <v>0.66666666666666663</v>
      </c>
      <c r="D300" s="135">
        <v>0.875</v>
      </c>
      <c r="E300" s="53">
        <f t="shared" si="45"/>
        <v>5.0000000000000009</v>
      </c>
      <c r="H300" s="53">
        <f t="shared" si="47"/>
        <v>7.0000000000000009</v>
      </c>
      <c r="M300" s="51">
        <f t="shared" si="46"/>
        <v>7.0000000000000009</v>
      </c>
    </row>
    <row r="301" spans="1:13" x14ac:dyDescent="0.25">
      <c r="A301" s="133">
        <v>45448</v>
      </c>
      <c r="B301" s="51" t="s">
        <v>49</v>
      </c>
      <c r="C301" s="135">
        <v>0.66666666666666663</v>
      </c>
      <c r="D301" s="135">
        <v>0.89583333333333337</v>
      </c>
      <c r="E301" s="53">
        <f t="shared" si="45"/>
        <v>5.5000000000000018</v>
      </c>
      <c r="H301" s="53">
        <f t="shared" si="47"/>
        <v>7.5000000000000018</v>
      </c>
      <c r="M301" s="51">
        <f t="shared" si="46"/>
        <v>7.5000000000000018</v>
      </c>
    </row>
    <row r="302" spans="1:13" x14ac:dyDescent="0.25">
      <c r="A302" s="133">
        <v>45449</v>
      </c>
      <c r="B302" s="51" t="s">
        <v>53</v>
      </c>
      <c r="C302" s="135">
        <v>0.29166666666666669</v>
      </c>
      <c r="D302" s="135">
        <v>0.58333333333333337</v>
      </c>
      <c r="E302" s="53">
        <f t="shared" si="45"/>
        <v>6.5</v>
      </c>
      <c r="F302" s="51">
        <v>0.5</v>
      </c>
      <c r="H302" s="53">
        <f t="shared" si="47"/>
        <v>8.5</v>
      </c>
      <c r="M302" s="51">
        <f t="shared" si="46"/>
        <v>8.5</v>
      </c>
    </row>
    <row r="303" spans="1:13" x14ac:dyDescent="0.25">
      <c r="A303" s="133">
        <v>45449</v>
      </c>
      <c r="B303" s="51" t="s">
        <v>56</v>
      </c>
      <c r="C303" s="135">
        <v>0.33333333333333331</v>
      </c>
      <c r="D303" s="135">
        <v>0.58333333333333337</v>
      </c>
      <c r="E303" s="53">
        <f t="shared" si="45"/>
        <v>5.5000000000000018</v>
      </c>
      <c r="F303" s="51">
        <v>0.5</v>
      </c>
      <c r="H303" s="53"/>
      <c r="J303" s="53">
        <f t="shared" ref="J303:J304" si="51">IF(WEEKDAY(A303, 2)&lt;6, E303-2, E303)</f>
        <v>3.5000000000000018</v>
      </c>
      <c r="M303" s="51">
        <f t="shared" si="46"/>
        <v>3.5000000000000018</v>
      </c>
    </row>
    <row r="304" spans="1:13" x14ac:dyDescent="0.25">
      <c r="A304" s="133">
        <v>45449</v>
      </c>
      <c r="B304" s="51" t="s">
        <v>56</v>
      </c>
      <c r="C304" s="135">
        <v>0.75</v>
      </c>
      <c r="D304" s="135">
        <v>0.95833333333333337</v>
      </c>
      <c r="E304" s="53">
        <f t="shared" si="45"/>
        <v>5.0000000000000009</v>
      </c>
      <c r="H304" s="53"/>
      <c r="J304" s="53">
        <f t="shared" si="51"/>
        <v>3.0000000000000009</v>
      </c>
      <c r="M304" s="51">
        <f t="shared" si="46"/>
        <v>3.0000000000000009</v>
      </c>
    </row>
    <row r="305" spans="1:13" x14ac:dyDescent="0.25">
      <c r="A305" s="133">
        <v>45449</v>
      </c>
      <c r="B305" s="51" t="s">
        <v>49</v>
      </c>
      <c r="C305" s="135">
        <v>0.79166666666666663</v>
      </c>
      <c r="D305" s="135">
        <v>0.9375</v>
      </c>
      <c r="E305" s="53">
        <f t="shared" si="45"/>
        <v>3.5000000000000009</v>
      </c>
      <c r="H305" s="53">
        <f t="shared" si="47"/>
        <v>5.5000000000000009</v>
      </c>
      <c r="M305" s="51">
        <f t="shared" si="46"/>
        <v>5.5000000000000009</v>
      </c>
    </row>
    <row r="306" spans="1:13" x14ac:dyDescent="0.25">
      <c r="A306" s="133">
        <v>45450</v>
      </c>
      <c r="B306" s="51" t="s">
        <v>56</v>
      </c>
      <c r="C306" s="135">
        <v>0.33333333333333331</v>
      </c>
      <c r="D306" s="135">
        <v>0.58333333333333337</v>
      </c>
      <c r="E306" s="53">
        <f t="shared" si="45"/>
        <v>5.5000000000000018</v>
      </c>
      <c r="F306" s="51">
        <v>0.5</v>
      </c>
      <c r="H306" s="53"/>
      <c r="J306" s="53">
        <f t="shared" ref="J306:J307" si="52">IF(WEEKDAY(A306, 2)&lt;6, E306-2, E306)</f>
        <v>3.5000000000000018</v>
      </c>
      <c r="M306" s="51">
        <f t="shared" si="46"/>
        <v>3.5000000000000018</v>
      </c>
    </row>
    <row r="307" spans="1:13" x14ac:dyDescent="0.25">
      <c r="A307" s="133">
        <v>45451</v>
      </c>
      <c r="B307" s="51" t="s">
        <v>56</v>
      </c>
      <c r="C307" s="135">
        <v>0.33333333333333331</v>
      </c>
      <c r="D307" s="135">
        <v>0.52083333333333337</v>
      </c>
      <c r="E307" s="53">
        <f t="shared" si="45"/>
        <v>4.5000000000000018</v>
      </c>
      <c r="H307" s="53"/>
      <c r="J307" s="53">
        <f t="shared" si="52"/>
        <v>4.5000000000000018</v>
      </c>
      <c r="M307" s="51">
        <f t="shared" si="46"/>
        <v>4.5000000000000018</v>
      </c>
    </row>
    <row r="308" spans="1:13" x14ac:dyDescent="0.25">
      <c r="A308" s="133">
        <v>45451</v>
      </c>
      <c r="B308" s="51" t="s">
        <v>53</v>
      </c>
      <c r="C308" s="135">
        <v>0.375</v>
      </c>
      <c r="D308" s="135">
        <v>0.83333333333333337</v>
      </c>
      <c r="E308" s="53">
        <f t="shared" si="45"/>
        <v>10</v>
      </c>
      <c r="F308" s="51">
        <v>1</v>
      </c>
      <c r="H308" s="53">
        <f t="shared" si="47"/>
        <v>10</v>
      </c>
      <c r="M308" s="51">
        <f t="shared" si="46"/>
        <v>10</v>
      </c>
    </row>
    <row r="309" spans="1:13" x14ac:dyDescent="0.25">
      <c r="A309" s="133">
        <v>45451</v>
      </c>
      <c r="B309" s="51" t="s">
        <v>58</v>
      </c>
      <c r="C309" s="135">
        <v>0.54166666666666663</v>
      </c>
      <c r="D309" s="135">
        <v>0.9375</v>
      </c>
      <c r="E309" s="53">
        <f t="shared" si="45"/>
        <v>8.5</v>
      </c>
      <c r="F309" s="51">
        <v>1</v>
      </c>
      <c r="H309" s="53">
        <f t="shared" si="47"/>
        <v>8.5</v>
      </c>
      <c r="M309" s="51">
        <f t="shared" si="46"/>
        <v>8.5</v>
      </c>
    </row>
    <row r="310" spans="1:13" x14ac:dyDescent="0.25">
      <c r="A310" s="133">
        <v>45452</v>
      </c>
      <c r="B310" s="51" t="s">
        <v>58</v>
      </c>
      <c r="C310" s="135">
        <v>0.47916666666666669</v>
      </c>
      <c r="D310" s="135">
        <v>0.77083333333333337</v>
      </c>
      <c r="E310" s="53">
        <f t="shared" si="45"/>
        <v>6.5</v>
      </c>
      <c r="F310" s="51">
        <v>0.5</v>
      </c>
      <c r="H310" s="53">
        <f t="shared" si="47"/>
        <v>6.5</v>
      </c>
      <c r="M310" s="51">
        <f t="shared" si="46"/>
        <v>6.5</v>
      </c>
    </row>
    <row r="311" spans="1:13" x14ac:dyDescent="0.25">
      <c r="A311" s="133">
        <v>45453</v>
      </c>
      <c r="B311" s="51" t="s">
        <v>56</v>
      </c>
      <c r="C311" s="135">
        <v>0.33333333333333331</v>
      </c>
      <c r="D311" s="135">
        <v>0.58333333333333337</v>
      </c>
      <c r="E311" s="53">
        <f t="shared" si="45"/>
        <v>5.5000000000000018</v>
      </c>
      <c r="F311" s="51">
        <v>0.5</v>
      </c>
      <c r="H311" s="53"/>
      <c r="J311" s="53">
        <f>IF(WEEKDAY(A311, 2)&lt;6, E311-2, E311)</f>
        <v>3.5000000000000018</v>
      </c>
      <c r="M311" s="51">
        <f t="shared" si="46"/>
        <v>3.5000000000000018</v>
      </c>
    </row>
    <row r="312" spans="1:13" x14ac:dyDescent="0.25">
      <c r="A312" s="133">
        <v>45453</v>
      </c>
      <c r="B312" s="51" t="s">
        <v>44</v>
      </c>
      <c r="C312" s="135">
        <v>0.33333333333333331</v>
      </c>
      <c r="D312" s="135">
        <v>0.54166666666666663</v>
      </c>
      <c r="E312" s="53">
        <f t="shared" si="45"/>
        <v>5</v>
      </c>
      <c r="H312" s="53">
        <f t="shared" si="47"/>
        <v>7</v>
      </c>
      <c r="M312" s="51">
        <f t="shared" si="46"/>
        <v>7</v>
      </c>
    </row>
    <row r="313" spans="1:13" x14ac:dyDescent="0.25">
      <c r="A313" s="133">
        <v>45453</v>
      </c>
      <c r="B313" s="51" t="s">
        <v>47</v>
      </c>
      <c r="C313" s="135">
        <v>0.52083333333333337</v>
      </c>
      <c r="D313" s="135">
        <v>0.6875</v>
      </c>
      <c r="E313" s="53">
        <f t="shared" si="45"/>
        <v>3.9999999999999991</v>
      </c>
      <c r="H313" s="53">
        <f t="shared" si="47"/>
        <v>5.9999999999999991</v>
      </c>
      <c r="M313" s="51">
        <f t="shared" si="46"/>
        <v>5.9999999999999991</v>
      </c>
    </row>
    <row r="314" spans="1:13" x14ac:dyDescent="0.25">
      <c r="A314" s="133">
        <v>45454</v>
      </c>
      <c r="B314" s="51" t="s">
        <v>56</v>
      </c>
      <c r="C314" s="135">
        <v>0.33333333333333331</v>
      </c>
      <c r="D314" s="135">
        <v>0.58333333333333337</v>
      </c>
      <c r="E314" s="53">
        <f t="shared" si="45"/>
        <v>5.5000000000000018</v>
      </c>
      <c r="F314" s="51">
        <v>0.5</v>
      </c>
      <c r="H314" s="53"/>
      <c r="J314" s="53">
        <f>IF(WEEKDAY(A314, 2)&lt;6, E314-2, E314)</f>
        <v>3.5000000000000018</v>
      </c>
      <c r="M314" s="51">
        <f t="shared" si="46"/>
        <v>3.5000000000000018</v>
      </c>
    </row>
    <row r="315" spans="1:13" x14ac:dyDescent="0.25">
      <c r="A315" s="133">
        <v>45454</v>
      </c>
      <c r="B315" s="51" t="s">
        <v>47</v>
      </c>
      <c r="C315" s="135">
        <v>0.52083333333333337</v>
      </c>
      <c r="D315" s="135">
        <v>0.6875</v>
      </c>
      <c r="E315" s="53">
        <f t="shared" si="45"/>
        <v>3.9999999999999991</v>
      </c>
      <c r="H315" s="53">
        <f t="shared" si="47"/>
        <v>5.9999999999999991</v>
      </c>
      <c r="M315" s="51">
        <f t="shared" si="46"/>
        <v>5.9999999999999991</v>
      </c>
    </row>
    <row r="316" spans="1:13" x14ac:dyDescent="0.25">
      <c r="A316" s="133">
        <v>45455</v>
      </c>
      <c r="B316" s="51" t="s">
        <v>56</v>
      </c>
      <c r="C316" s="135">
        <v>0.33333333333333331</v>
      </c>
      <c r="D316" s="135">
        <v>0.58333333333333337</v>
      </c>
      <c r="E316" s="53">
        <f t="shared" si="45"/>
        <v>5.5000000000000018</v>
      </c>
      <c r="F316" s="51">
        <v>0.5</v>
      </c>
      <c r="H316" s="53"/>
      <c r="J316" s="53">
        <f>IF(WEEKDAY(A316, 2)&lt;6, E316-2, E316)</f>
        <v>3.5000000000000018</v>
      </c>
      <c r="M316" s="51">
        <f t="shared" si="46"/>
        <v>3.5000000000000018</v>
      </c>
    </row>
    <row r="317" spans="1:13" x14ac:dyDescent="0.25">
      <c r="A317" s="133">
        <v>45455</v>
      </c>
      <c r="B317" s="51" t="s">
        <v>54</v>
      </c>
      <c r="C317" s="135">
        <v>0.5</v>
      </c>
      <c r="D317" s="135">
        <v>0.66666666666666663</v>
      </c>
      <c r="E317" s="53">
        <f t="shared" si="45"/>
        <v>3.9999999999999991</v>
      </c>
      <c r="H317" s="53">
        <f t="shared" si="47"/>
        <v>5.9999999999999991</v>
      </c>
      <c r="M317" s="51">
        <f t="shared" si="46"/>
        <v>5.9999999999999991</v>
      </c>
    </row>
    <row r="318" spans="1:13" x14ac:dyDescent="0.25">
      <c r="A318" s="133">
        <v>45455</v>
      </c>
      <c r="B318" s="51" t="s">
        <v>47</v>
      </c>
      <c r="C318" s="135">
        <v>0.52083333333333337</v>
      </c>
      <c r="D318" s="135">
        <v>0.6875</v>
      </c>
      <c r="E318" s="53">
        <f t="shared" si="45"/>
        <v>3.9999999999999991</v>
      </c>
      <c r="H318" s="53">
        <f t="shared" si="47"/>
        <v>5.9999999999999991</v>
      </c>
      <c r="M318" s="51">
        <f t="shared" si="46"/>
        <v>5.9999999999999991</v>
      </c>
    </row>
    <row r="319" spans="1:13" x14ac:dyDescent="0.25">
      <c r="A319" s="133">
        <v>45455</v>
      </c>
      <c r="B319" s="51" t="s">
        <v>49</v>
      </c>
      <c r="C319" s="135">
        <v>0.66666666666666663</v>
      </c>
      <c r="D319" s="135">
        <v>0.89583333333333337</v>
      </c>
      <c r="E319" s="53">
        <f t="shared" si="45"/>
        <v>5.5000000000000018</v>
      </c>
      <c r="H319" s="53">
        <f t="shared" si="47"/>
        <v>7.5000000000000018</v>
      </c>
      <c r="M319" s="51">
        <f t="shared" si="46"/>
        <v>7.5000000000000018</v>
      </c>
    </row>
    <row r="320" spans="1:13" x14ac:dyDescent="0.25">
      <c r="A320" s="133">
        <v>45456</v>
      </c>
      <c r="B320" s="51" t="s">
        <v>56</v>
      </c>
      <c r="C320" s="135">
        <v>0.33333333333333331</v>
      </c>
      <c r="D320" s="135">
        <v>0.58333333333333337</v>
      </c>
      <c r="E320" s="53">
        <f t="shared" si="45"/>
        <v>5.5000000000000018</v>
      </c>
      <c r="F320" s="51">
        <v>0.5</v>
      </c>
      <c r="H320" s="53"/>
      <c r="J320" s="53">
        <f>IF(WEEKDAY(A320, 2)&lt;6, E320-2, E320)</f>
        <v>3.5000000000000018</v>
      </c>
      <c r="M320" s="51">
        <f t="shared" si="46"/>
        <v>3.5000000000000018</v>
      </c>
    </row>
    <row r="321" spans="1:13" x14ac:dyDescent="0.25">
      <c r="A321" s="133">
        <v>45456</v>
      </c>
      <c r="B321" s="51" t="s">
        <v>47</v>
      </c>
      <c r="C321" s="135">
        <v>0.52083333333333337</v>
      </c>
      <c r="D321" s="135">
        <v>0.6875</v>
      </c>
      <c r="E321" s="53">
        <f t="shared" si="45"/>
        <v>3.9999999999999991</v>
      </c>
      <c r="H321" s="53">
        <f t="shared" si="47"/>
        <v>5.9999999999999991</v>
      </c>
      <c r="M321" s="51">
        <f t="shared" si="46"/>
        <v>5.9999999999999991</v>
      </c>
    </row>
    <row r="322" spans="1:13" x14ac:dyDescent="0.25">
      <c r="A322" s="133">
        <v>45456</v>
      </c>
      <c r="B322" s="51" t="s">
        <v>49</v>
      </c>
      <c r="C322" s="135">
        <v>0.75</v>
      </c>
      <c r="D322" s="135">
        <v>0.9375</v>
      </c>
      <c r="E322" s="53">
        <f t="shared" si="45"/>
        <v>4.5</v>
      </c>
      <c r="H322" s="53">
        <f t="shared" si="47"/>
        <v>6.5</v>
      </c>
      <c r="M322" s="51">
        <f t="shared" si="46"/>
        <v>6.5</v>
      </c>
    </row>
    <row r="323" spans="1:13" x14ac:dyDescent="0.25">
      <c r="A323" s="133">
        <v>45456</v>
      </c>
      <c r="B323" s="51" t="s">
        <v>56</v>
      </c>
      <c r="C323" s="135">
        <v>0.75</v>
      </c>
      <c r="D323" s="135">
        <v>0.95833333333333337</v>
      </c>
      <c r="E323" s="53">
        <f t="shared" ref="E323:E386" si="53">MOD((D323-C323),1) *24 - F323</f>
        <v>5.0000000000000009</v>
      </c>
      <c r="H323" s="53"/>
      <c r="J323" s="53">
        <f t="shared" ref="J323:J324" si="54">IF(WEEKDAY(A323, 2)&lt;6, E323-2, E323)</f>
        <v>3.0000000000000009</v>
      </c>
      <c r="M323" s="51">
        <f t="shared" ref="M323:M386" si="55">IF(H323&lt;&gt;"",H323,J323)</f>
        <v>3.0000000000000009</v>
      </c>
    </row>
    <row r="324" spans="1:13" x14ac:dyDescent="0.25">
      <c r="A324" s="133">
        <v>45457</v>
      </c>
      <c r="B324" s="51" t="s">
        <v>56</v>
      </c>
      <c r="C324" s="135">
        <v>0.33333333333333331</v>
      </c>
      <c r="D324" s="135">
        <v>0.58333333333333337</v>
      </c>
      <c r="E324" s="53">
        <f t="shared" si="53"/>
        <v>5.5000000000000018</v>
      </c>
      <c r="F324" s="51">
        <v>0.5</v>
      </c>
      <c r="H324" s="53"/>
      <c r="J324" s="53">
        <f t="shared" si="54"/>
        <v>3.5000000000000018</v>
      </c>
      <c r="M324" s="51">
        <f t="shared" si="55"/>
        <v>3.5000000000000018</v>
      </c>
    </row>
    <row r="325" spans="1:13" x14ac:dyDescent="0.25">
      <c r="A325" s="133">
        <v>45457</v>
      </c>
      <c r="B325" s="51" t="s">
        <v>47</v>
      </c>
      <c r="C325" s="135">
        <v>0.52083333333333337</v>
      </c>
      <c r="D325" s="135">
        <v>0.6875</v>
      </c>
      <c r="E325" s="53">
        <f t="shared" si="53"/>
        <v>3.9999999999999991</v>
      </c>
      <c r="H325" s="53">
        <f t="shared" ref="H325:H386" si="56">IF(WEEKDAY(A325, 2)&lt;6, E325+2, E325)</f>
        <v>5.9999999999999991</v>
      </c>
      <c r="M325" s="51">
        <f t="shared" si="55"/>
        <v>5.9999999999999991</v>
      </c>
    </row>
    <row r="326" spans="1:13" x14ac:dyDescent="0.25">
      <c r="A326" s="133">
        <v>45457</v>
      </c>
      <c r="B326" s="51" t="s">
        <v>46</v>
      </c>
      <c r="C326" s="135">
        <v>0.58333333333333337</v>
      </c>
      <c r="D326" s="135">
        <v>0.95833333333333337</v>
      </c>
      <c r="E326" s="53">
        <f t="shared" si="53"/>
        <v>8</v>
      </c>
      <c r="F326" s="51">
        <v>1</v>
      </c>
      <c r="H326" s="53">
        <f t="shared" si="56"/>
        <v>10</v>
      </c>
      <c r="M326" s="51">
        <f t="shared" si="55"/>
        <v>10</v>
      </c>
    </row>
    <row r="327" spans="1:13" x14ac:dyDescent="0.25">
      <c r="A327" s="133">
        <v>45458</v>
      </c>
      <c r="B327" s="51" t="s">
        <v>56</v>
      </c>
      <c r="C327" s="135">
        <v>0.33333333333333331</v>
      </c>
      <c r="D327" s="135">
        <v>0.52083333333333337</v>
      </c>
      <c r="E327" s="53">
        <f t="shared" si="53"/>
        <v>4.5000000000000018</v>
      </c>
      <c r="H327" s="53"/>
      <c r="J327" s="53">
        <f>IF(WEEKDAY(A327, 2)&lt;6, E327-2, E327)</f>
        <v>4.5000000000000018</v>
      </c>
      <c r="M327" s="51">
        <f t="shared" si="55"/>
        <v>4.5000000000000018</v>
      </c>
    </row>
    <row r="328" spans="1:13" x14ac:dyDescent="0.25">
      <c r="A328" s="133">
        <v>45458</v>
      </c>
      <c r="B328" s="51" t="s">
        <v>53</v>
      </c>
      <c r="C328" s="135">
        <v>0.33333333333333331</v>
      </c>
      <c r="D328" s="135">
        <v>6.25E-2</v>
      </c>
      <c r="E328" s="53">
        <f t="shared" si="53"/>
        <v>16</v>
      </c>
      <c r="F328" s="51">
        <v>1.5</v>
      </c>
      <c r="H328" s="53">
        <f t="shared" si="56"/>
        <v>16</v>
      </c>
      <c r="M328" s="51">
        <f t="shared" si="55"/>
        <v>16</v>
      </c>
    </row>
    <row r="329" spans="1:13" x14ac:dyDescent="0.25">
      <c r="A329" s="133">
        <v>45458</v>
      </c>
      <c r="B329" s="51" t="s">
        <v>46</v>
      </c>
      <c r="C329" s="135">
        <v>0.58333333333333337</v>
      </c>
      <c r="D329" s="135">
        <v>0.95833333333333337</v>
      </c>
      <c r="E329" s="53">
        <f t="shared" si="53"/>
        <v>8</v>
      </c>
      <c r="F329" s="51">
        <v>1</v>
      </c>
      <c r="H329" s="53">
        <f t="shared" si="56"/>
        <v>8</v>
      </c>
      <c r="M329" s="51">
        <f t="shared" si="55"/>
        <v>8</v>
      </c>
    </row>
    <row r="330" spans="1:13" x14ac:dyDescent="0.25">
      <c r="A330" s="133">
        <v>45459</v>
      </c>
      <c r="B330" s="51" t="s">
        <v>46</v>
      </c>
      <c r="C330" s="135">
        <v>0.41666666666666669</v>
      </c>
      <c r="D330" s="135">
        <v>0.625</v>
      </c>
      <c r="E330" s="53">
        <f t="shared" si="53"/>
        <v>5</v>
      </c>
      <c r="H330" s="53">
        <f t="shared" si="56"/>
        <v>5</v>
      </c>
      <c r="M330" s="51">
        <f t="shared" si="55"/>
        <v>5</v>
      </c>
    </row>
    <row r="331" spans="1:13" x14ac:dyDescent="0.25">
      <c r="A331" s="133">
        <v>45459</v>
      </c>
      <c r="B331" s="51" t="s">
        <v>53</v>
      </c>
      <c r="C331" s="135">
        <v>0.58333333333333337</v>
      </c>
      <c r="D331" s="135">
        <v>0.91666666666666663</v>
      </c>
      <c r="E331" s="53">
        <f t="shared" si="53"/>
        <v>7.4999999999999982</v>
      </c>
      <c r="F331" s="51">
        <v>0.5</v>
      </c>
      <c r="H331" s="53">
        <f t="shared" si="56"/>
        <v>7.4999999999999982</v>
      </c>
      <c r="M331" s="51">
        <f t="shared" si="55"/>
        <v>7.4999999999999982</v>
      </c>
    </row>
    <row r="332" spans="1:13" x14ac:dyDescent="0.25">
      <c r="A332" s="133">
        <v>45460</v>
      </c>
      <c r="B332" s="51" t="s">
        <v>56</v>
      </c>
      <c r="C332" s="135">
        <v>0.33333333333333331</v>
      </c>
      <c r="D332" s="135">
        <v>0.58333333333333337</v>
      </c>
      <c r="E332" s="53">
        <f t="shared" si="53"/>
        <v>5.5000000000000018</v>
      </c>
      <c r="F332" s="51">
        <v>0.5</v>
      </c>
      <c r="H332" s="53"/>
      <c r="J332" s="53">
        <f>IF(WEEKDAY(A332, 2)&lt;6, E332-2, E332)</f>
        <v>3.5000000000000018</v>
      </c>
      <c r="M332" s="51">
        <f t="shared" si="55"/>
        <v>3.5000000000000018</v>
      </c>
    </row>
    <row r="333" spans="1:13" x14ac:dyDescent="0.25">
      <c r="A333" s="133">
        <v>45460</v>
      </c>
      <c r="B333" s="51" t="s">
        <v>47</v>
      </c>
      <c r="C333" s="135">
        <v>0.33333333333333331</v>
      </c>
      <c r="D333" s="135">
        <v>0.6875</v>
      </c>
      <c r="E333" s="53">
        <f t="shared" si="53"/>
        <v>8</v>
      </c>
      <c r="F333" s="51">
        <v>0.5</v>
      </c>
      <c r="H333" s="53">
        <f t="shared" si="56"/>
        <v>10</v>
      </c>
      <c r="M333" s="51">
        <f t="shared" si="55"/>
        <v>10</v>
      </c>
    </row>
    <row r="334" spans="1:13" x14ac:dyDescent="0.25">
      <c r="A334" s="133">
        <v>45461</v>
      </c>
      <c r="B334" s="51" t="s">
        <v>56</v>
      </c>
      <c r="C334" s="135">
        <v>0.33333333333333331</v>
      </c>
      <c r="D334" s="135">
        <v>0.58333333333333337</v>
      </c>
      <c r="E334" s="53">
        <f t="shared" si="53"/>
        <v>5.5000000000000018</v>
      </c>
      <c r="F334" s="51">
        <v>0.5</v>
      </c>
      <c r="H334" s="53"/>
      <c r="J334" s="53">
        <f>IF(WEEKDAY(A334, 2)&lt;6, E334-2, E334)</f>
        <v>3.5000000000000018</v>
      </c>
      <c r="M334" s="51">
        <f t="shared" si="55"/>
        <v>3.5000000000000018</v>
      </c>
    </row>
    <row r="335" spans="1:13" x14ac:dyDescent="0.25">
      <c r="A335" s="133">
        <v>45461</v>
      </c>
      <c r="B335" s="51" t="s">
        <v>47</v>
      </c>
      <c r="C335" s="135">
        <v>0.5</v>
      </c>
      <c r="D335" s="135">
        <v>0.6875</v>
      </c>
      <c r="E335" s="53">
        <f t="shared" si="53"/>
        <v>4.5</v>
      </c>
      <c r="H335" s="53">
        <f t="shared" si="56"/>
        <v>6.5</v>
      </c>
      <c r="M335" s="51">
        <f t="shared" si="55"/>
        <v>6.5</v>
      </c>
    </row>
    <row r="336" spans="1:13" x14ac:dyDescent="0.25">
      <c r="A336" s="133">
        <v>45462</v>
      </c>
      <c r="B336" s="51" t="s">
        <v>56</v>
      </c>
      <c r="C336" s="135">
        <v>0.33333333333333331</v>
      </c>
      <c r="D336" s="135">
        <v>0.58333333333333337</v>
      </c>
      <c r="E336" s="53">
        <f t="shared" si="53"/>
        <v>5.5000000000000018</v>
      </c>
      <c r="F336" s="51">
        <v>0.5</v>
      </c>
      <c r="H336" s="53"/>
      <c r="J336" s="53">
        <f>IF(WEEKDAY(A336, 2)&lt;6, E336-2, E336)</f>
        <v>3.5000000000000018</v>
      </c>
      <c r="M336" s="51">
        <f t="shared" si="55"/>
        <v>3.5000000000000018</v>
      </c>
    </row>
    <row r="337" spans="1:13" x14ac:dyDescent="0.25">
      <c r="A337" s="133">
        <v>45462</v>
      </c>
      <c r="B337" s="51" t="s">
        <v>47</v>
      </c>
      <c r="C337" s="135">
        <v>0.5</v>
      </c>
      <c r="D337" s="135">
        <v>0.6875</v>
      </c>
      <c r="E337" s="53">
        <f t="shared" si="53"/>
        <v>4.5</v>
      </c>
      <c r="H337" s="53">
        <f t="shared" si="56"/>
        <v>6.5</v>
      </c>
      <c r="M337" s="51">
        <f t="shared" si="55"/>
        <v>6.5</v>
      </c>
    </row>
    <row r="338" spans="1:13" x14ac:dyDescent="0.25">
      <c r="A338" s="133">
        <v>45462</v>
      </c>
      <c r="B338" s="51" t="s">
        <v>46</v>
      </c>
      <c r="C338" s="135">
        <v>0.66666666666666663</v>
      </c>
      <c r="D338" s="135">
        <v>0.91666666666666663</v>
      </c>
      <c r="E338" s="53">
        <f t="shared" si="53"/>
        <v>5.5</v>
      </c>
      <c r="F338" s="51">
        <v>0.5</v>
      </c>
      <c r="H338" s="53">
        <f t="shared" si="56"/>
        <v>7.5</v>
      </c>
      <c r="M338" s="51">
        <f t="shared" si="55"/>
        <v>7.5</v>
      </c>
    </row>
    <row r="339" spans="1:13" x14ac:dyDescent="0.25">
      <c r="A339" s="133">
        <v>45462</v>
      </c>
      <c r="B339" s="51" t="s">
        <v>58</v>
      </c>
      <c r="C339" s="135">
        <v>0.70833333333333337</v>
      </c>
      <c r="D339" s="135">
        <v>0.875</v>
      </c>
      <c r="E339" s="53">
        <f t="shared" si="53"/>
        <v>3.9999999999999991</v>
      </c>
      <c r="H339" s="53">
        <f t="shared" si="56"/>
        <v>5.9999999999999991</v>
      </c>
      <c r="M339" s="51">
        <f t="shared" si="55"/>
        <v>5.9999999999999991</v>
      </c>
    </row>
    <row r="340" spans="1:13" x14ac:dyDescent="0.25">
      <c r="A340" s="133">
        <v>45463</v>
      </c>
      <c r="B340" s="51" t="s">
        <v>56</v>
      </c>
      <c r="C340" s="135">
        <v>0.33333333333333331</v>
      </c>
      <c r="D340" s="135">
        <v>0.58333333333333337</v>
      </c>
      <c r="E340" s="53">
        <f t="shared" si="53"/>
        <v>5.5000000000000018</v>
      </c>
      <c r="F340" s="51">
        <v>0.5</v>
      </c>
      <c r="H340" s="53"/>
      <c r="J340" s="53">
        <f>IF(WEEKDAY(A340, 2)&lt;6, E340-2, E340)</f>
        <v>3.5000000000000018</v>
      </c>
      <c r="M340" s="51">
        <f t="shared" si="55"/>
        <v>3.5000000000000018</v>
      </c>
    </row>
    <row r="341" spans="1:13" x14ac:dyDescent="0.25">
      <c r="A341" s="133">
        <v>45463</v>
      </c>
      <c r="B341" s="51" t="s">
        <v>47</v>
      </c>
      <c r="C341" s="135">
        <v>0.5</v>
      </c>
      <c r="D341" s="135">
        <v>0.6875</v>
      </c>
      <c r="E341" s="53">
        <f t="shared" si="53"/>
        <v>4.5</v>
      </c>
      <c r="H341" s="53">
        <f t="shared" si="56"/>
        <v>6.5</v>
      </c>
      <c r="M341" s="51">
        <f t="shared" si="55"/>
        <v>6.5</v>
      </c>
    </row>
    <row r="342" spans="1:13" x14ac:dyDescent="0.25">
      <c r="A342" s="133">
        <v>45463</v>
      </c>
      <c r="B342" s="51" t="s">
        <v>49</v>
      </c>
      <c r="C342" s="135">
        <v>0.75</v>
      </c>
      <c r="D342" s="135">
        <v>0.9375</v>
      </c>
      <c r="E342" s="53">
        <f t="shared" si="53"/>
        <v>4.5</v>
      </c>
      <c r="H342" s="53">
        <f t="shared" si="56"/>
        <v>6.5</v>
      </c>
      <c r="M342" s="51">
        <f t="shared" si="55"/>
        <v>6.5</v>
      </c>
    </row>
    <row r="343" spans="1:13" x14ac:dyDescent="0.25">
      <c r="A343" s="133">
        <v>45463</v>
      </c>
      <c r="B343" s="51" t="s">
        <v>56</v>
      </c>
      <c r="C343" s="135">
        <v>0.75</v>
      </c>
      <c r="D343" s="135">
        <v>0.95833333333333337</v>
      </c>
      <c r="E343" s="53">
        <f t="shared" si="53"/>
        <v>5.0000000000000009</v>
      </c>
      <c r="H343" s="53"/>
      <c r="J343" s="53">
        <f t="shared" ref="J343:J344" si="57">IF(WEEKDAY(A343, 2)&lt;6, E343-2, E343)</f>
        <v>3.0000000000000009</v>
      </c>
      <c r="M343" s="51">
        <f t="shared" si="55"/>
        <v>3.0000000000000009</v>
      </c>
    </row>
    <row r="344" spans="1:13" x14ac:dyDescent="0.25">
      <c r="A344" s="133">
        <v>45464</v>
      </c>
      <c r="B344" s="51" t="s">
        <v>56</v>
      </c>
      <c r="C344" s="135">
        <v>0.33333333333333331</v>
      </c>
      <c r="D344" s="135">
        <v>0.58333333333333337</v>
      </c>
      <c r="E344" s="53">
        <f t="shared" si="53"/>
        <v>5.5000000000000018</v>
      </c>
      <c r="F344" s="51">
        <v>0.5</v>
      </c>
      <c r="H344" s="53"/>
      <c r="J344" s="53">
        <f t="shared" si="57"/>
        <v>3.5000000000000018</v>
      </c>
      <c r="M344" s="51">
        <f t="shared" si="55"/>
        <v>3.5000000000000018</v>
      </c>
    </row>
    <row r="345" spans="1:13" x14ac:dyDescent="0.25">
      <c r="A345" s="133">
        <v>45464</v>
      </c>
      <c r="B345" s="51" t="s">
        <v>47</v>
      </c>
      <c r="C345" s="135">
        <v>0.5</v>
      </c>
      <c r="D345" s="135">
        <v>0.6875</v>
      </c>
      <c r="E345" s="53">
        <f t="shared" si="53"/>
        <v>4.5</v>
      </c>
      <c r="H345" s="53">
        <f t="shared" si="56"/>
        <v>6.5</v>
      </c>
      <c r="M345" s="51">
        <f t="shared" si="55"/>
        <v>6.5</v>
      </c>
    </row>
    <row r="346" spans="1:13" x14ac:dyDescent="0.25">
      <c r="A346" s="133">
        <v>45464</v>
      </c>
      <c r="B346" s="51" t="s">
        <v>53</v>
      </c>
      <c r="C346" s="135">
        <v>0.54166666666666663</v>
      </c>
      <c r="D346" s="135">
        <v>4.1666666666666664E-2</v>
      </c>
      <c r="E346" s="53">
        <f t="shared" si="53"/>
        <v>11</v>
      </c>
      <c r="F346" s="51">
        <v>1</v>
      </c>
      <c r="H346" s="53">
        <f t="shared" si="56"/>
        <v>13</v>
      </c>
      <c r="M346" s="51">
        <f t="shared" si="55"/>
        <v>13</v>
      </c>
    </row>
    <row r="347" spans="1:13" x14ac:dyDescent="0.25">
      <c r="A347" s="133">
        <v>45464</v>
      </c>
      <c r="B347" s="51" t="s">
        <v>58</v>
      </c>
      <c r="C347" s="135">
        <v>0.70833333333333337</v>
      </c>
      <c r="D347" s="135">
        <v>0.95833333333333337</v>
      </c>
      <c r="E347" s="53">
        <f t="shared" si="53"/>
        <v>5.5</v>
      </c>
      <c r="F347" s="51">
        <v>0.5</v>
      </c>
      <c r="H347" s="53">
        <f t="shared" si="56"/>
        <v>7.5</v>
      </c>
      <c r="M347" s="51">
        <f t="shared" si="55"/>
        <v>7.5</v>
      </c>
    </row>
    <row r="348" spans="1:13" x14ac:dyDescent="0.25">
      <c r="A348" s="133">
        <v>45465</v>
      </c>
      <c r="B348" s="51" t="s">
        <v>56</v>
      </c>
      <c r="C348" s="135">
        <v>0.33333333333333331</v>
      </c>
      <c r="D348" s="135">
        <v>0.52083333333333337</v>
      </c>
      <c r="E348" s="53">
        <f t="shared" si="53"/>
        <v>4.5000000000000018</v>
      </c>
      <c r="H348" s="53"/>
      <c r="J348" s="53">
        <f>IF(WEEKDAY(A348, 2)&lt;6, E348-2, E348)</f>
        <v>4.5000000000000018</v>
      </c>
      <c r="M348" s="51">
        <f t="shared" si="55"/>
        <v>4.5000000000000018</v>
      </c>
    </row>
    <row r="349" spans="1:13" x14ac:dyDescent="0.25">
      <c r="A349" s="133">
        <v>45465</v>
      </c>
      <c r="B349" s="51" t="s">
        <v>48</v>
      </c>
      <c r="C349" s="135">
        <v>0.35416666666666669</v>
      </c>
      <c r="D349" s="135">
        <v>0.70833333333333337</v>
      </c>
      <c r="E349" s="53">
        <f t="shared" si="53"/>
        <v>8</v>
      </c>
      <c r="F349" s="51">
        <v>0.5</v>
      </c>
      <c r="H349" s="53">
        <f t="shared" si="56"/>
        <v>8</v>
      </c>
      <c r="M349" s="51">
        <f t="shared" si="55"/>
        <v>8</v>
      </c>
    </row>
    <row r="350" spans="1:13" x14ac:dyDescent="0.25">
      <c r="A350" s="133">
        <v>45465</v>
      </c>
      <c r="B350" s="51" t="s">
        <v>53</v>
      </c>
      <c r="C350" s="135">
        <v>0.33333333333333331</v>
      </c>
      <c r="D350" s="135">
        <v>0.91666666666666663</v>
      </c>
      <c r="E350" s="53">
        <f t="shared" si="53"/>
        <v>12.999999999999998</v>
      </c>
      <c r="F350" s="51">
        <v>1</v>
      </c>
      <c r="H350" s="53">
        <f t="shared" si="56"/>
        <v>12.999999999999998</v>
      </c>
      <c r="M350" s="51">
        <f t="shared" si="55"/>
        <v>12.999999999999998</v>
      </c>
    </row>
    <row r="351" spans="1:13" x14ac:dyDescent="0.25">
      <c r="A351" s="133">
        <v>45465</v>
      </c>
      <c r="B351" s="51" t="s">
        <v>58</v>
      </c>
      <c r="C351" s="135">
        <v>0.58333333333333337</v>
      </c>
      <c r="D351" s="135">
        <v>0</v>
      </c>
      <c r="E351" s="53">
        <f t="shared" si="53"/>
        <v>9</v>
      </c>
      <c r="F351" s="51">
        <v>1</v>
      </c>
      <c r="H351" s="53">
        <f t="shared" si="56"/>
        <v>9</v>
      </c>
      <c r="M351" s="51">
        <f t="shared" si="55"/>
        <v>9</v>
      </c>
    </row>
    <row r="352" spans="1:13" x14ac:dyDescent="0.25">
      <c r="A352" s="133">
        <v>45465</v>
      </c>
      <c r="B352" s="51" t="s">
        <v>46</v>
      </c>
      <c r="C352" s="135">
        <v>0.45833333333333331</v>
      </c>
      <c r="D352" s="135">
        <v>0.875</v>
      </c>
      <c r="E352" s="53">
        <f t="shared" si="53"/>
        <v>9</v>
      </c>
      <c r="F352" s="51">
        <v>1</v>
      </c>
      <c r="H352" s="53">
        <f t="shared" si="56"/>
        <v>9</v>
      </c>
      <c r="M352" s="51">
        <f t="shared" si="55"/>
        <v>9</v>
      </c>
    </row>
    <row r="353" spans="1:13" x14ac:dyDescent="0.25">
      <c r="A353" s="133">
        <v>45466</v>
      </c>
      <c r="B353" s="51" t="s">
        <v>46</v>
      </c>
      <c r="C353" s="135">
        <v>0.45833333333333331</v>
      </c>
      <c r="D353" s="135">
        <v>0.75</v>
      </c>
      <c r="E353" s="53">
        <f t="shared" si="53"/>
        <v>6.5</v>
      </c>
      <c r="F353" s="51">
        <v>0.5</v>
      </c>
      <c r="H353" s="53">
        <f t="shared" si="56"/>
        <v>6.5</v>
      </c>
      <c r="M353" s="51">
        <f t="shared" si="55"/>
        <v>6.5</v>
      </c>
    </row>
    <row r="354" spans="1:13" x14ac:dyDescent="0.25">
      <c r="A354" s="133">
        <v>45466</v>
      </c>
      <c r="B354" s="51" t="s">
        <v>53</v>
      </c>
      <c r="C354" s="135">
        <v>0.58333333333333337</v>
      </c>
      <c r="D354" s="135">
        <v>0.91666666666666663</v>
      </c>
      <c r="E354" s="53">
        <f t="shared" si="53"/>
        <v>7.4999999999999982</v>
      </c>
      <c r="F354" s="51">
        <v>0.5</v>
      </c>
      <c r="H354" s="53">
        <f t="shared" si="56"/>
        <v>7.4999999999999982</v>
      </c>
      <c r="M354" s="51">
        <f t="shared" si="55"/>
        <v>7.4999999999999982</v>
      </c>
    </row>
    <row r="355" spans="1:13" x14ac:dyDescent="0.25">
      <c r="A355" s="133">
        <v>45467</v>
      </c>
      <c r="B355" s="51" t="s">
        <v>56</v>
      </c>
      <c r="C355" s="135">
        <v>0.33333333333333331</v>
      </c>
      <c r="D355" s="135">
        <v>0.58333333333333337</v>
      </c>
      <c r="E355" s="53">
        <f t="shared" si="53"/>
        <v>5.5000000000000018</v>
      </c>
      <c r="F355" s="51">
        <v>0.5</v>
      </c>
      <c r="H355" s="53"/>
      <c r="J355" s="53">
        <f>IF(WEEKDAY(A355, 2)&lt;6, E355-2, E355)</f>
        <v>3.5000000000000018</v>
      </c>
      <c r="M355" s="51">
        <f t="shared" si="55"/>
        <v>3.5000000000000018</v>
      </c>
    </row>
    <row r="356" spans="1:13" x14ac:dyDescent="0.25">
      <c r="A356" s="133">
        <v>45467</v>
      </c>
      <c r="B356" s="51" t="s">
        <v>47</v>
      </c>
      <c r="C356" s="135">
        <v>0.33333333333333331</v>
      </c>
      <c r="D356" s="135">
        <v>0.6875</v>
      </c>
      <c r="E356" s="53">
        <f t="shared" si="53"/>
        <v>8</v>
      </c>
      <c r="F356" s="51">
        <v>0.5</v>
      </c>
      <c r="H356" s="53">
        <f t="shared" si="56"/>
        <v>10</v>
      </c>
      <c r="M356" s="51">
        <f t="shared" si="55"/>
        <v>10</v>
      </c>
    </row>
    <row r="357" spans="1:13" x14ac:dyDescent="0.25">
      <c r="A357" s="133">
        <v>45468</v>
      </c>
      <c r="B357" s="51" t="s">
        <v>56</v>
      </c>
      <c r="C357" s="135">
        <v>0.33333333333333331</v>
      </c>
      <c r="D357" s="135">
        <v>0.58333333333333337</v>
      </c>
      <c r="E357" s="53">
        <f t="shared" si="53"/>
        <v>5.5000000000000018</v>
      </c>
      <c r="F357" s="51">
        <v>0.5</v>
      </c>
      <c r="H357" s="53"/>
      <c r="J357" s="53">
        <f>IF(WEEKDAY(A357, 2)&lt;6, E357-2, E357)</f>
        <v>3.5000000000000018</v>
      </c>
      <c r="M357" s="51">
        <f t="shared" si="55"/>
        <v>3.5000000000000018</v>
      </c>
    </row>
    <row r="358" spans="1:13" x14ac:dyDescent="0.25">
      <c r="A358" s="133">
        <v>45468</v>
      </c>
      <c r="B358" s="51" t="s">
        <v>47</v>
      </c>
      <c r="C358" s="135">
        <v>0.33333333333333331</v>
      </c>
      <c r="D358" s="135">
        <v>0.6875</v>
      </c>
      <c r="E358" s="53">
        <f t="shared" si="53"/>
        <v>8</v>
      </c>
      <c r="F358" s="51">
        <v>0.5</v>
      </c>
      <c r="H358" s="53">
        <f t="shared" si="56"/>
        <v>10</v>
      </c>
      <c r="M358" s="51">
        <f t="shared" si="55"/>
        <v>10</v>
      </c>
    </row>
    <row r="359" spans="1:13" x14ac:dyDescent="0.25">
      <c r="A359" s="133">
        <v>45469</v>
      </c>
      <c r="B359" s="51" t="s">
        <v>56</v>
      </c>
      <c r="C359" s="135">
        <v>0.33333333333333331</v>
      </c>
      <c r="D359" s="135">
        <v>0.58333333333333337</v>
      </c>
      <c r="E359" s="53">
        <f t="shared" si="53"/>
        <v>5.5000000000000018</v>
      </c>
      <c r="F359" s="51">
        <v>0.5</v>
      </c>
      <c r="H359" s="53"/>
      <c r="J359" s="53">
        <f>IF(WEEKDAY(A359, 2)&lt;6, E359-2, E359)</f>
        <v>3.5000000000000018</v>
      </c>
      <c r="M359" s="51">
        <f t="shared" si="55"/>
        <v>3.5000000000000018</v>
      </c>
    </row>
    <row r="360" spans="1:13" x14ac:dyDescent="0.25">
      <c r="A360" s="133">
        <v>45469</v>
      </c>
      <c r="B360" s="51" t="s">
        <v>47</v>
      </c>
      <c r="C360" s="135">
        <v>0.33333333333333331</v>
      </c>
      <c r="D360" s="135">
        <v>0.6875</v>
      </c>
      <c r="E360" s="53">
        <f t="shared" si="53"/>
        <v>8</v>
      </c>
      <c r="F360" s="51">
        <v>0.5</v>
      </c>
      <c r="H360" s="53">
        <f t="shared" si="56"/>
        <v>10</v>
      </c>
      <c r="M360" s="51">
        <f t="shared" si="55"/>
        <v>10</v>
      </c>
    </row>
    <row r="361" spans="1:13" x14ac:dyDescent="0.25">
      <c r="A361" s="133">
        <v>45469</v>
      </c>
      <c r="B361" s="51" t="s">
        <v>49</v>
      </c>
      <c r="C361" s="135">
        <v>0.66666666666666663</v>
      </c>
      <c r="D361" s="135">
        <v>0.89583333333333337</v>
      </c>
      <c r="E361" s="53">
        <f t="shared" si="53"/>
        <v>5.5000000000000018</v>
      </c>
      <c r="H361" s="53">
        <f t="shared" si="56"/>
        <v>7.5000000000000018</v>
      </c>
      <c r="M361" s="51">
        <f t="shared" si="55"/>
        <v>7.5000000000000018</v>
      </c>
    </row>
    <row r="362" spans="1:13" x14ac:dyDescent="0.25">
      <c r="A362" s="133">
        <v>45470</v>
      </c>
      <c r="B362" s="51" t="s">
        <v>56</v>
      </c>
      <c r="C362" s="135">
        <v>0.33333333333333331</v>
      </c>
      <c r="D362" s="135">
        <v>0.58333333333333337</v>
      </c>
      <c r="E362" s="53">
        <f t="shared" si="53"/>
        <v>5.5000000000000018</v>
      </c>
      <c r="F362" s="51">
        <v>0.5</v>
      </c>
      <c r="H362" s="53"/>
      <c r="J362" s="53">
        <f>IF(WEEKDAY(A362, 2)&lt;6, E362-2, E362)</f>
        <v>3.5000000000000018</v>
      </c>
      <c r="M362" s="51">
        <f t="shared" si="55"/>
        <v>3.5000000000000018</v>
      </c>
    </row>
    <row r="363" spans="1:13" x14ac:dyDescent="0.25">
      <c r="A363" s="133">
        <v>45470</v>
      </c>
      <c r="B363" s="51" t="s">
        <v>47</v>
      </c>
      <c r="C363" s="135">
        <v>0.5</v>
      </c>
      <c r="D363" s="135">
        <v>0.6875</v>
      </c>
      <c r="E363" s="53">
        <f t="shared" si="53"/>
        <v>4.5</v>
      </c>
      <c r="H363" s="53">
        <f t="shared" si="56"/>
        <v>6.5</v>
      </c>
      <c r="M363" s="51">
        <f t="shared" si="55"/>
        <v>6.5</v>
      </c>
    </row>
    <row r="364" spans="1:13" x14ac:dyDescent="0.25">
      <c r="A364" s="133">
        <v>45470</v>
      </c>
      <c r="B364" s="51" t="s">
        <v>49</v>
      </c>
      <c r="C364" s="135">
        <v>0.75</v>
      </c>
      <c r="D364" s="135">
        <v>0.9375</v>
      </c>
      <c r="E364" s="53">
        <f t="shared" si="53"/>
        <v>4.5</v>
      </c>
      <c r="H364" s="53">
        <f t="shared" si="56"/>
        <v>6.5</v>
      </c>
      <c r="M364" s="51">
        <f t="shared" si="55"/>
        <v>6.5</v>
      </c>
    </row>
    <row r="365" spans="1:13" x14ac:dyDescent="0.25">
      <c r="A365" s="133">
        <v>45470</v>
      </c>
      <c r="B365" s="51" t="s">
        <v>56</v>
      </c>
      <c r="C365" s="135">
        <v>0.75</v>
      </c>
      <c r="D365" s="135">
        <v>0.95833333333333337</v>
      </c>
      <c r="E365" s="53">
        <f t="shared" si="53"/>
        <v>5.0000000000000009</v>
      </c>
      <c r="H365" s="53"/>
      <c r="J365" s="53">
        <f t="shared" ref="J365:J366" si="58">IF(WEEKDAY(A365, 2)&lt;6, E365-2, E365)</f>
        <v>3.0000000000000009</v>
      </c>
      <c r="M365" s="51">
        <f t="shared" si="55"/>
        <v>3.0000000000000009</v>
      </c>
    </row>
    <row r="366" spans="1:13" x14ac:dyDescent="0.25">
      <c r="A366" s="133">
        <v>45471</v>
      </c>
      <c r="B366" s="51" t="s">
        <v>56</v>
      </c>
      <c r="C366" s="135">
        <v>0.33333333333333331</v>
      </c>
      <c r="D366" s="135">
        <v>0.58333333333333337</v>
      </c>
      <c r="E366" s="53">
        <f t="shared" si="53"/>
        <v>5.5000000000000018</v>
      </c>
      <c r="F366" s="51">
        <v>0.5</v>
      </c>
      <c r="H366" s="53"/>
      <c r="J366" s="53">
        <f t="shared" si="58"/>
        <v>3.5000000000000018</v>
      </c>
      <c r="M366" s="51">
        <f t="shared" si="55"/>
        <v>3.5000000000000018</v>
      </c>
    </row>
    <row r="367" spans="1:13" x14ac:dyDescent="0.25">
      <c r="A367" s="133">
        <v>45471</v>
      </c>
      <c r="B367" s="51" t="s">
        <v>47</v>
      </c>
      <c r="C367" s="135">
        <v>0.5</v>
      </c>
      <c r="D367" s="135">
        <v>0.6875</v>
      </c>
      <c r="E367" s="53">
        <f t="shared" si="53"/>
        <v>4.5</v>
      </c>
      <c r="H367" s="53">
        <f t="shared" si="56"/>
        <v>6.5</v>
      </c>
      <c r="M367" s="51">
        <f t="shared" si="55"/>
        <v>6.5</v>
      </c>
    </row>
    <row r="368" spans="1:13" x14ac:dyDescent="0.25">
      <c r="A368" s="133">
        <v>45472</v>
      </c>
      <c r="B368" s="51" t="s">
        <v>56</v>
      </c>
      <c r="C368" s="135">
        <v>0.33333333333333331</v>
      </c>
      <c r="D368" s="135">
        <v>0.52083333333333337</v>
      </c>
      <c r="E368" s="53">
        <f t="shared" si="53"/>
        <v>4.5000000000000018</v>
      </c>
      <c r="H368" s="53"/>
      <c r="J368" s="53">
        <f>IF(WEEKDAY(A368, 2)&lt;6, E368-2, E368)</f>
        <v>4.5000000000000018</v>
      </c>
      <c r="M368" s="51">
        <f t="shared" si="55"/>
        <v>4.5000000000000018</v>
      </c>
    </row>
    <row r="369" spans="1:13" x14ac:dyDescent="0.25">
      <c r="A369" s="133">
        <v>45472</v>
      </c>
      <c r="B369" s="51" t="s">
        <v>49</v>
      </c>
      <c r="C369" s="135">
        <v>0.33333333333333331</v>
      </c>
      <c r="D369" s="135">
        <v>0</v>
      </c>
      <c r="E369" s="53">
        <f t="shared" si="53"/>
        <v>15</v>
      </c>
      <c r="F369" s="51">
        <v>1</v>
      </c>
      <c r="H369" s="53">
        <f t="shared" si="56"/>
        <v>15</v>
      </c>
      <c r="M369" s="51">
        <f t="shared" si="55"/>
        <v>15</v>
      </c>
    </row>
    <row r="370" spans="1:13" x14ac:dyDescent="0.25">
      <c r="A370" s="133">
        <v>45472</v>
      </c>
      <c r="B370" s="51" t="s">
        <v>48</v>
      </c>
      <c r="C370" s="135">
        <v>0.35416666666666669</v>
      </c>
      <c r="D370" s="135">
        <v>0.6875</v>
      </c>
      <c r="E370" s="53">
        <f t="shared" si="53"/>
        <v>7.5</v>
      </c>
      <c r="F370" s="51">
        <v>0.5</v>
      </c>
      <c r="H370" s="53">
        <f t="shared" si="56"/>
        <v>7.5</v>
      </c>
      <c r="M370" s="51">
        <f t="shared" si="55"/>
        <v>7.5</v>
      </c>
    </row>
    <row r="371" spans="1:13" x14ac:dyDescent="0.25">
      <c r="A371" s="133">
        <v>45472</v>
      </c>
      <c r="B371" s="51" t="s">
        <v>58</v>
      </c>
      <c r="C371" s="135">
        <v>0.54166666666666663</v>
      </c>
      <c r="D371" s="135">
        <v>0.83333333333333337</v>
      </c>
      <c r="E371" s="53">
        <f t="shared" si="53"/>
        <v>6.5000000000000018</v>
      </c>
      <c r="F371" s="51">
        <v>0.5</v>
      </c>
      <c r="H371" s="53">
        <f t="shared" si="56"/>
        <v>6.5000000000000018</v>
      </c>
      <c r="M371" s="51">
        <f t="shared" si="55"/>
        <v>6.5000000000000018</v>
      </c>
    </row>
    <row r="372" spans="1:13" x14ac:dyDescent="0.25">
      <c r="A372" s="133">
        <v>45472</v>
      </c>
      <c r="B372" s="51" t="s">
        <v>46</v>
      </c>
      <c r="C372" s="135">
        <v>0.45833333333333331</v>
      </c>
      <c r="D372" s="135">
        <v>0.83333333333333337</v>
      </c>
      <c r="E372" s="53">
        <f t="shared" si="53"/>
        <v>8.0000000000000018</v>
      </c>
      <c r="F372" s="51">
        <v>1</v>
      </c>
      <c r="H372" s="53">
        <f t="shared" si="56"/>
        <v>8.0000000000000018</v>
      </c>
      <c r="M372" s="51">
        <f t="shared" si="55"/>
        <v>8.0000000000000018</v>
      </c>
    </row>
    <row r="373" spans="1:13" x14ac:dyDescent="0.25">
      <c r="A373" s="133">
        <v>45474</v>
      </c>
      <c r="B373" s="51" t="s">
        <v>56</v>
      </c>
      <c r="C373" s="135">
        <v>0.33333333333333331</v>
      </c>
      <c r="D373" s="135">
        <v>0.58333333333333337</v>
      </c>
      <c r="E373" s="53">
        <f t="shared" si="53"/>
        <v>5.5000000000000018</v>
      </c>
      <c r="F373" s="51">
        <v>0.5</v>
      </c>
      <c r="G373" s="55">
        <f>SUM(E:E)</f>
        <v>5521</v>
      </c>
      <c r="H373" s="53"/>
      <c r="J373" s="53">
        <f t="shared" ref="J373:J374" si="59">IF(WEEKDAY(A373, 2)&lt;6, E373-2, E373)</f>
        <v>3.5000000000000018</v>
      </c>
      <c r="M373" s="51">
        <f t="shared" si="55"/>
        <v>3.5000000000000018</v>
      </c>
    </row>
    <row r="374" spans="1:13" x14ac:dyDescent="0.25">
      <c r="A374" s="133">
        <v>45475</v>
      </c>
      <c r="B374" s="51" t="s">
        <v>56</v>
      </c>
      <c r="C374" s="135">
        <v>0.33333333333333331</v>
      </c>
      <c r="D374" s="135">
        <v>0.58333333333333337</v>
      </c>
      <c r="E374" s="53">
        <f t="shared" si="53"/>
        <v>5.5000000000000018</v>
      </c>
      <c r="F374" s="51">
        <v>0.5</v>
      </c>
      <c r="H374" s="53"/>
      <c r="J374" s="53">
        <f t="shared" si="59"/>
        <v>3.5000000000000018</v>
      </c>
      <c r="M374" s="51">
        <f t="shared" si="55"/>
        <v>3.5000000000000018</v>
      </c>
    </row>
    <row r="375" spans="1:13" x14ac:dyDescent="0.25">
      <c r="A375" s="133">
        <v>45476</v>
      </c>
      <c r="B375" s="51" t="s">
        <v>49</v>
      </c>
      <c r="C375" s="135">
        <v>0.66666666666666663</v>
      </c>
      <c r="D375" s="135">
        <v>0.89583333333333337</v>
      </c>
      <c r="E375" s="53">
        <f t="shared" si="53"/>
        <v>5.0000000000000018</v>
      </c>
      <c r="F375" s="51">
        <v>0.5</v>
      </c>
      <c r="H375" s="53">
        <f t="shared" si="56"/>
        <v>7.0000000000000018</v>
      </c>
      <c r="M375" s="51">
        <f t="shared" si="55"/>
        <v>7.0000000000000018</v>
      </c>
    </row>
    <row r="376" spans="1:13" x14ac:dyDescent="0.25">
      <c r="A376" s="133">
        <v>45476</v>
      </c>
      <c r="B376" s="51" t="s">
        <v>56</v>
      </c>
      <c r="C376" s="135">
        <v>0.33333333333333331</v>
      </c>
      <c r="D376" s="135">
        <v>0.58333333333333337</v>
      </c>
      <c r="E376" s="53">
        <f t="shared" si="53"/>
        <v>5.5000000000000018</v>
      </c>
      <c r="F376" s="51">
        <v>0.5</v>
      </c>
      <c r="H376" s="53"/>
      <c r="J376" s="53">
        <f t="shared" ref="J376:J377" si="60">IF(WEEKDAY(A376, 2)&lt;6, E376-2, E376)</f>
        <v>3.5000000000000018</v>
      </c>
      <c r="M376" s="51">
        <f t="shared" si="55"/>
        <v>3.5000000000000018</v>
      </c>
    </row>
    <row r="377" spans="1:13" x14ac:dyDescent="0.25">
      <c r="A377" s="133">
        <v>45478</v>
      </c>
      <c r="B377" s="51" t="s">
        <v>56</v>
      </c>
      <c r="C377" s="135">
        <v>0.33333333333333331</v>
      </c>
      <c r="D377" s="135">
        <v>0.58333333333333337</v>
      </c>
      <c r="E377" s="53">
        <f t="shared" si="53"/>
        <v>5.5000000000000018</v>
      </c>
      <c r="F377" s="51">
        <v>0.5</v>
      </c>
      <c r="H377" s="53"/>
      <c r="J377" s="53">
        <f t="shared" si="60"/>
        <v>3.5000000000000018</v>
      </c>
      <c r="M377" s="51">
        <f t="shared" si="55"/>
        <v>3.5000000000000018</v>
      </c>
    </row>
    <row r="378" spans="1:13" x14ac:dyDescent="0.25">
      <c r="A378" s="133">
        <v>45479</v>
      </c>
      <c r="B378" s="51" t="s">
        <v>53</v>
      </c>
      <c r="C378" s="135">
        <v>0.54166666666666663</v>
      </c>
      <c r="D378" s="135">
        <v>0.75</v>
      </c>
      <c r="E378" s="53">
        <f t="shared" si="53"/>
        <v>5.0000000000000009</v>
      </c>
      <c r="H378" s="53">
        <f t="shared" si="56"/>
        <v>5.0000000000000009</v>
      </c>
      <c r="M378" s="51">
        <f t="shared" si="55"/>
        <v>5.0000000000000009</v>
      </c>
    </row>
    <row r="379" spans="1:13" x14ac:dyDescent="0.25">
      <c r="A379" s="133">
        <v>45479</v>
      </c>
      <c r="B379" s="51" t="s">
        <v>49</v>
      </c>
      <c r="C379" s="135">
        <v>0.32291666666666669</v>
      </c>
      <c r="D379" s="135">
        <v>0.54166666666666663</v>
      </c>
      <c r="E379" s="53">
        <f t="shared" si="53"/>
        <v>4.7499999999999982</v>
      </c>
      <c r="F379" s="51">
        <v>0.5</v>
      </c>
      <c r="H379" s="53">
        <f t="shared" si="56"/>
        <v>4.7499999999999982</v>
      </c>
      <c r="M379" s="51">
        <f t="shared" si="55"/>
        <v>4.7499999999999982</v>
      </c>
    </row>
    <row r="380" spans="1:13" x14ac:dyDescent="0.25">
      <c r="A380" s="133">
        <v>45479</v>
      </c>
      <c r="B380" s="51" t="s">
        <v>56</v>
      </c>
      <c r="C380" s="135">
        <v>0.33333333333333331</v>
      </c>
      <c r="D380" s="135">
        <v>0.54166666666666663</v>
      </c>
      <c r="E380" s="53">
        <f t="shared" si="53"/>
        <v>5</v>
      </c>
      <c r="H380" s="53"/>
      <c r="J380" s="53">
        <f>IF(WEEKDAY(A380, 2)&lt;6, E380-2, E380)</f>
        <v>5</v>
      </c>
      <c r="M380" s="51">
        <f t="shared" si="55"/>
        <v>5</v>
      </c>
    </row>
    <row r="381" spans="1:13" x14ac:dyDescent="0.25">
      <c r="A381" s="133">
        <v>45479</v>
      </c>
      <c r="B381" s="51" t="s">
        <v>53</v>
      </c>
      <c r="C381" s="135">
        <v>0.75</v>
      </c>
      <c r="D381" s="135">
        <v>0.9375</v>
      </c>
      <c r="E381" s="53">
        <f t="shared" si="53"/>
        <v>4.5</v>
      </c>
      <c r="H381" s="53">
        <f t="shared" si="56"/>
        <v>4.5</v>
      </c>
      <c r="M381" s="51">
        <f t="shared" si="55"/>
        <v>4.5</v>
      </c>
    </row>
    <row r="382" spans="1:13" x14ac:dyDescent="0.25">
      <c r="A382" s="133">
        <v>45479</v>
      </c>
      <c r="B382" s="51" t="s">
        <v>58</v>
      </c>
      <c r="C382" s="135">
        <v>0.72916666666666663</v>
      </c>
      <c r="D382" s="141">
        <v>0.97916666666666663</v>
      </c>
      <c r="E382" s="53">
        <f t="shared" si="53"/>
        <v>5.5</v>
      </c>
      <c r="F382" s="51">
        <v>0.5</v>
      </c>
      <c r="H382" s="53">
        <f t="shared" si="56"/>
        <v>5.5</v>
      </c>
      <c r="M382" s="51">
        <f t="shared" si="55"/>
        <v>5.5</v>
      </c>
    </row>
    <row r="383" spans="1:13" x14ac:dyDescent="0.25">
      <c r="A383" s="133">
        <v>45480</v>
      </c>
      <c r="B383" s="51" t="s">
        <v>58</v>
      </c>
      <c r="C383" s="135">
        <v>0.5</v>
      </c>
      <c r="D383" s="141">
        <v>0.75</v>
      </c>
      <c r="E383" s="53">
        <f t="shared" si="53"/>
        <v>5.5</v>
      </c>
      <c r="F383" s="51">
        <v>0.5</v>
      </c>
      <c r="H383" s="53">
        <f t="shared" si="56"/>
        <v>5.5</v>
      </c>
      <c r="M383" s="51">
        <f t="shared" si="55"/>
        <v>5.5</v>
      </c>
    </row>
    <row r="384" spans="1:13" x14ac:dyDescent="0.25">
      <c r="A384" s="133">
        <v>45481</v>
      </c>
      <c r="B384" s="51" t="s">
        <v>56</v>
      </c>
      <c r="C384" s="135">
        <v>0.33333333333333331</v>
      </c>
      <c r="D384" s="135">
        <v>0.58333333333333337</v>
      </c>
      <c r="E384" s="53">
        <f t="shared" si="53"/>
        <v>5.5000000000000018</v>
      </c>
      <c r="F384" s="51">
        <v>0.5</v>
      </c>
      <c r="H384" s="53"/>
      <c r="J384" s="53">
        <f>IF(WEEKDAY(A384, 2)&lt;6, E384-2, E384)</f>
        <v>3.5000000000000018</v>
      </c>
      <c r="M384" s="51">
        <f t="shared" si="55"/>
        <v>3.5000000000000018</v>
      </c>
    </row>
    <row r="385" spans="1:13" x14ac:dyDescent="0.25">
      <c r="A385" s="133">
        <v>45481</v>
      </c>
      <c r="B385" s="51" t="s">
        <v>49</v>
      </c>
      <c r="C385" s="135">
        <v>0.33333333333333331</v>
      </c>
      <c r="D385" s="135">
        <v>0.5</v>
      </c>
      <c r="E385" s="53">
        <f t="shared" si="53"/>
        <v>4</v>
      </c>
      <c r="H385" s="53">
        <f t="shared" si="56"/>
        <v>6</v>
      </c>
      <c r="M385" s="51">
        <f t="shared" si="55"/>
        <v>6</v>
      </c>
    </row>
    <row r="386" spans="1:13" x14ac:dyDescent="0.25">
      <c r="A386" s="133">
        <v>45481</v>
      </c>
      <c r="B386" s="51" t="s">
        <v>47</v>
      </c>
      <c r="C386" s="135">
        <v>0.33333333333333331</v>
      </c>
      <c r="D386" s="141">
        <v>0.6875</v>
      </c>
      <c r="E386" s="53">
        <f t="shared" si="53"/>
        <v>8</v>
      </c>
      <c r="F386" s="51">
        <v>0.5</v>
      </c>
      <c r="H386" s="53">
        <f t="shared" si="56"/>
        <v>10</v>
      </c>
      <c r="M386" s="51">
        <f t="shared" si="55"/>
        <v>10</v>
      </c>
    </row>
    <row r="387" spans="1:13" x14ac:dyDescent="0.25">
      <c r="A387" s="133">
        <v>45482</v>
      </c>
      <c r="B387" s="51" t="s">
        <v>56</v>
      </c>
      <c r="C387" s="135">
        <v>0.33333333333333331</v>
      </c>
      <c r="D387" s="135">
        <v>0.58333333333333337</v>
      </c>
      <c r="E387" s="53">
        <f t="shared" ref="E387:E450" si="61">MOD((D387-C387),1) *24 - F387</f>
        <v>5.5000000000000018</v>
      </c>
      <c r="F387" s="51">
        <v>0.5</v>
      </c>
      <c r="H387" s="53"/>
      <c r="J387" s="53">
        <f>IF(WEEKDAY(A387, 2)&lt;6, E387-2, E387)</f>
        <v>3.5000000000000018</v>
      </c>
      <c r="M387" s="51">
        <f t="shared" ref="M387:M450" si="62">IF(H387&lt;&gt;"",H387,J387)</f>
        <v>3.5000000000000018</v>
      </c>
    </row>
    <row r="388" spans="1:13" x14ac:dyDescent="0.25">
      <c r="A388" s="133">
        <v>45483</v>
      </c>
      <c r="B388" s="51" t="s">
        <v>49</v>
      </c>
      <c r="C388" s="135">
        <v>0.66666666666666663</v>
      </c>
      <c r="D388" s="135">
        <v>0.89583333333333337</v>
      </c>
      <c r="E388" s="53">
        <f t="shared" si="61"/>
        <v>5.0000000000000018</v>
      </c>
      <c r="F388" s="51">
        <v>0.5</v>
      </c>
      <c r="H388" s="53">
        <f t="shared" ref="H388:H448" si="63">IF(WEEKDAY(A388, 2)&lt;6, E388+2, E388)</f>
        <v>7.0000000000000018</v>
      </c>
      <c r="M388" s="51">
        <f t="shared" si="62"/>
        <v>7.0000000000000018</v>
      </c>
    </row>
    <row r="389" spans="1:13" x14ac:dyDescent="0.25">
      <c r="A389" s="133">
        <v>45483</v>
      </c>
      <c r="B389" s="51" t="s">
        <v>56</v>
      </c>
      <c r="C389" s="135">
        <v>0.33333333333333331</v>
      </c>
      <c r="D389" s="135">
        <v>0.58333333333333337</v>
      </c>
      <c r="E389" s="53">
        <f t="shared" si="61"/>
        <v>5.5000000000000018</v>
      </c>
      <c r="F389" s="51">
        <v>0.5</v>
      </c>
      <c r="H389" s="53"/>
      <c r="J389" s="53">
        <f t="shared" ref="J389:J392" si="64">IF(WEEKDAY(A389, 2)&lt;6, E389-2, E389)</f>
        <v>3.5000000000000018</v>
      </c>
      <c r="M389" s="51">
        <f t="shared" si="62"/>
        <v>3.5000000000000018</v>
      </c>
    </row>
    <row r="390" spans="1:13" x14ac:dyDescent="0.25">
      <c r="A390" s="133">
        <v>45484</v>
      </c>
      <c r="B390" s="51" t="s">
        <v>56</v>
      </c>
      <c r="C390" s="135">
        <v>0.33333333333333331</v>
      </c>
      <c r="D390" s="135">
        <v>0.58333333333333337</v>
      </c>
      <c r="E390" s="53">
        <f t="shared" si="61"/>
        <v>5.5000000000000018</v>
      </c>
      <c r="F390" s="51">
        <v>0.5</v>
      </c>
      <c r="H390" s="53"/>
      <c r="J390" s="53">
        <f t="shared" si="64"/>
        <v>3.5000000000000018</v>
      </c>
      <c r="M390" s="51">
        <f t="shared" si="62"/>
        <v>3.5000000000000018</v>
      </c>
    </row>
    <row r="391" spans="1:13" x14ac:dyDescent="0.25">
      <c r="A391" s="133">
        <v>45484</v>
      </c>
      <c r="B391" s="51" t="s">
        <v>56</v>
      </c>
      <c r="C391" s="135">
        <v>0.75</v>
      </c>
      <c r="D391" s="135">
        <v>0.95833333333333337</v>
      </c>
      <c r="E391" s="53">
        <f t="shared" si="61"/>
        <v>5.0000000000000009</v>
      </c>
      <c r="H391" s="53"/>
      <c r="J391" s="53">
        <f t="shared" si="64"/>
        <v>3.0000000000000009</v>
      </c>
      <c r="M391" s="51">
        <f t="shared" si="62"/>
        <v>3.0000000000000009</v>
      </c>
    </row>
    <row r="392" spans="1:13" x14ac:dyDescent="0.25">
      <c r="A392" s="133">
        <v>45485</v>
      </c>
      <c r="B392" s="51" t="s">
        <v>56</v>
      </c>
      <c r="C392" s="135">
        <v>0.33333333333333331</v>
      </c>
      <c r="D392" s="135">
        <v>0.58333333333333337</v>
      </c>
      <c r="E392" s="53">
        <f t="shared" si="61"/>
        <v>5.5000000000000018</v>
      </c>
      <c r="F392" s="51">
        <v>0.5</v>
      </c>
      <c r="H392" s="53"/>
      <c r="J392" s="53">
        <f t="shared" si="64"/>
        <v>3.5000000000000018</v>
      </c>
      <c r="M392" s="51">
        <f t="shared" si="62"/>
        <v>3.5000000000000018</v>
      </c>
    </row>
    <row r="393" spans="1:13" x14ac:dyDescent="0.25">
      <c r="A393" s="133">
        <v>45486</v>
      </c>
      <c r="B393" s="51" t="s">
        <v>48</v>
      </c>
      <c r="C393" s="135">
        <v>0.54166666666666663</v>
      </c>
      <c r="D393" s="135">
        <v>0.875</v>
      </c>
      <c r="E393" s="53">
        <f t="shared" si="61"/>
        <v>7.5</v>
      </c>
      <c r="F393" s="51">
        <v>0.5</v>
      </c>
      <c r="H393" s="53">
        <f t="shared" si="63"/>
        <v>7.5</v>
      </c>
      <c r="M393" s="51">
        <f t="shared" si="62"/>
        <v>7.5</v>
      </c>
    </row>
    <row r="394" spans="1:13" x14ac:dyDescent="0.25">
      <c r="A394" s="133">
        <v>45486</v>
      </c>
      <c r="B394" s="51" t="s">
        <v>49</v>
      </c>
      <c r="C394" s="135">
        <v>0.32291666666666669</v>
      </c>
      <c r="D394" s="135">
        <v>0.64583333333333337</v>
      </c>
      <c r="E394" s="53">
        <f t="shared" si="61"/>
        <v>7.25</v>
      </c>
      <c r="F394" s="51">
        <v>0.5</v>
      </c>
      <c r="H394" s="53">
        <f t="shared" si="63"/>
        <v>7.25</v>
      </c>
      <c r="M394" s="51">
        <f t="shared" si="62"/>
        <v>7.25</v>
      </c>
    </row>
    <row r="395" spans="1:13" x14ac:dyDescent="0.25">
      <c r="A395" s="133">
        <v>45486</v>
      </c>
      <c r="B395" s="51" t="s">
        <v>56</v>
      </c>
      <c r="C395" s="135">
        <v>0.33333333333333331</v>
      </c>
      <c r="D395" s="135">
        <v>0.54166666666666663</v>
      </c>
      <c r="E395" s="53">
        <f t="shared" si="61"/>
        <v>5</v>
      </c>
      <c r="H395" s="53"/>
      <c r="J395" s="53">
        <f>IF(WEEKDAY(A395, 2)&lt;6, E395-2, E395)</f>
        <v>5</v>
      </c>
      <c r="M395" s="51">
        <f t="shared" si="62"/>
        <v>5</v>
      </c>
    </row>
    <row r="396" spans="1:13" x14ac:dyDescent="0.25">
      <c r="A396" s="133">
        <v>45486</v>
      </c>
      <c r="B396" s="51" t="s">
        <v>53</v>
      </c>
      <c r="C396" s="135">
        <v>0.625</v>
      </c>
      <c r="D396" s="135">
        <v>0.79166666666666663</v>
      </c>
      <c r="E396" s="53">
        <f t="shared" si="61"/>
        <v>3.9999999999999991</v>
      </c>
      <c r="H396" s="53">
        <f t="shared" si="63"/>
        <v>3.9999999999999991</v>
      </c>
      <c r="M396" s="51">
        <f t="shared" si="62"/>
        <v>3.9999999999999991</v>
      </c>
    </row>
    <row r="397" spans="1:13" x14ac:dyDescent="0.25">
      <c r="A397" s="133">
        <v>45486</v>
      </c>
      <c r="B397" s="51" t="s">
        <v>53</v>
      </c>
      <c r="C397" s="135">
        <v>0.79166666666666663</v>
      </c>
      <c r="D397" s="135">
        <v>0</v>
      </c>
      <c r="E397" s="53">
        <f t="shared" si="61"/>
        <v>5.0000000000000009</v>
      </c>
      <c r="H397" s="53">
        <f t="shared" si="63"/>
        <v>5.0000000000000009</v>
      </c>
      <c r="M397" s="51">
        <f t="shared" si="62"/>
        <v>5.0000000000000009</v>
      </c>
    </row>
    <row r="398" spans="1:13" x14ac:dyDescent="0.25">
      <c r="A398" s="133">
        <v>45486</v>
      </c>
      <c r="B398" s="51" t="s">
        <v>46</v>
      </c>
      <c r="C398" s="135">
        <v>0.625</v>
      </c>
      <c r="D398" s="135">
        <v>0.91666666666666663</v>
      </c>
      <c r="E398" s="53">
        <f t="shared" si="61"/>
        <v>6.4999999999999991</v>
      </c>
      <c r="F398" s="51">
        <v>0.5</v>
      </c>
      <c r="H398" s="53">
        <f t="shared" si="63"/>
        <v>6.4999999999999991</v>
      </c>
      <c r="M398" s="51">
        <f t="shared" si="62"/>
        <v>6.4999999999999991</v>
      </c>
    </row>
    <row r="399" spans="1:13" x14ac:dyDescent="0.25">
      <c r="A399" s="133">
        <v>45486</v>
      </c>
      <c r="B399" s="51" t="s">
        <v>58</v>
      </c>
      <c r="C399" s="135">
        <v>0.54166666666666663</v>
      </c>
      <c r="D399" s="135">
        <v>0.875</v>
      </c>
      <c r="E399" s="53">
        <f t="shared" si="61"/>
        <v>7.5</v>
      </c>
      <c r="F399" s="51">
        <v>0.5</v>
      </c>
      <c r="H399" s="53">
        <f t="shared" si="63"/>
        <v>7.5</v>
      </c>
      <c r="M399" s="51">
        <f t="shared" si="62"/>
        <v>7.5</v>
      </c>
    </row>
    <row r="400" spans="1:13" x14ac:dyDescent="0.25">
      <c r="A400" s="133">
        <v>45487</v>
      </c>
      <c r="B400" s="51" t="s">
        <v>53</v>
      </c>
      <c r="C400" s="135">
        <v>0.29166666666666669</v>
      </c>
      <c r="D400" s="135">
        <v>0.45833333333333331</v>
      </c>
      <c r="E400" s="53">
        <f t="shared" si="61"/>
        <v>3.9999999999999991</v>
      </c>
      <c r="H400" s="53">
        <f t="shared" si="63"/>
        <v>3.9999999999999991</v>
      </c>
      <c r="M400" s="51">
        <f t="shared" si="62"/>
        <v>3.9999999999999991</v>
      </c>
    </row>
    <row r="401" spans="1:13" x14ac:dyDescent="0.25">
      <c r="A401" s="133">
        <v>45487</v>
      </c>
      <c r="B401" s="51" t="s">
        <v>53</v>
      </c>
      <c r="C401" s="135">
        <v>0.45833333333333331</v>
      </c>
      <c r="D401" s="135">
        <v>0.75</v>
      </c>
      <c r="E401" s="53">
        <f t="shared" si="61"/>
        <v>6.5</v>
      </c>
      <c r="F401" s="51">
        <v>0.5</v>
      </c>
      <c r="H401" s="53">
        <f t="shared" si="63"/>
        <v>6.5</v>
      </c>
      <c r="M401" s="51">
        <f t="shared" si="62"/>
        <v>6.5</v>
      </c>
    </row>
    <row r="402" spans="1:13" x14ac:dyDescent="0.25">
      <c r="A402" s="133">
        <v>45487</v>
      </c>
      <c r="B402" s="51" t="s">
        <v>46</v>
      </c>
      <c r="C402" s="135">
        <v>0.29166666666666669</v>
      </c>
      <c r="D402" s="135">
        <v>0.66666666666666663</v>
      </c>
      <c r="E402" s="53">
        <f t="shared" si="61"/>
        <v>7.9999999999999982</v>
      </c>
      <c r="F402" s="51">
        <v>1</v>
      </c>
      <c r="H402" s="53">
        <f t="shared" si="63"/>
        <v>7.9999999999999982</v>
      </c>
      <c r="M402" s="51">
        <f t="shared" si="62"/>
        <v>7.9999999999999982</v>
      </c>
    </row>
    <row r="403" spans="1:13" x14ac:dyDescent="0.25">
      <c r="A403" s="133">
        <v>45488</v>
      </c>
      <c r="B403" s="51" t="s">
        <v>56</v>
      </c>
      <c r="C403" s="135">
        <v>0.33333333333333331</v>
      </c>
      <c r="D403" s="135">
        <v>0.58333333333333337</v>
      </c>
      <c r="E403" s="53">
        <f t="shared" si="61"/>
        <v>5.5000000000000018</v>
      </c>
      <c r="F403" s="51">
        <v>0.5</v>
      </c>
      <c r="H403" s="53"/>
      <c r="J403" s="53">
        <f>IF(WEEKDAY(A403, 2)&lt;6, E403-2, E403)</f>
        <v>3.5000000000000018</v>
      </c>
      <c r="M403" s="51">
        <f t="shared" si="62"/>
        <v>3.5000000000000018</v>
      </c>
    </row>
    <row r="404" spans="1:13" x14ac:dyDescent="0.25">
      <c r="A404" s="133">
        <v>45489</v>
      </c>
      <c r="B404" s="51" t="s">
        <v>58</v>
      </c>
      <c r="C404" s="135">
        <v>0.70833333333333337</v>
      </c>
      <c r="D404" s="135">
        <v>0.91666666666666663</v>
      </c>
      <c r="E404" s="53">
        <f t="shared" si="61"/>
        <v>4.9999999999999982</v>
      </c>
      <c r="H404" s="53">
        <f t="shared" si="63"/>
        <v>6.9999999999999982</v>
      </c>
      <c r="M404" s="51">
        <f t="shared" si="62"/>
        <v>6.9999999999999982</v>
      </c>
    </row>
    <row r="405" spans="1:13" x14ac:dyDescent="0.25">
      <c r="A405" s="133">
        <v>45489</v>
      </c>
      <c r="B405" s="51" t="s">
        <v>56</v>
      </c>
      <c r="C405" s="135">
        <v>0.33333333333333331</v>
      </c>
      <c r="D405" s="135">
        <v>0.58333333333333337</v>
      </c>
      <c r="E405" s="53">
        <f t="shared" si="61"/>
        <v>5.5000000000000018</v>
      </c>
      <c r="F405" s="51">
        <v>0.5</v>
      </c>
      <c r="H405" s="53"/>
      <c r="J405" s="53">
        <f t="shared" ref="J405:J406" si="65">IF(WEEKDAY(A405, 2)&lt;6, E405-2, E405)</f>
        <v>3.5000000000000018</v>
      </c>
      <c r="M405" s="51">
        <f t="shared" si="62"/>
        <v>3.5000000000000018</v>
      </c>
    </row>
    <row r="406" spans="1:13" x14ac:dyDescent="0.25">
      <c r="A406" s="133">
        <v>45490</v>
      </c>
      <c r="B406" s="51" t="s">
        <v>56</v>
      </c>
      <c r="C406" s="135">
        <v>0.33333333333333331</v>
      </c>
      <c r="D406" s="135">
        <v>0.58333333333333337</v>
      </c>
      <c r="E406" s="53">
        <f t="shared" si="61"/>
        <v>5.5000000000000018</v>
      </c>
      <c r="F406" s="51">
        <v>0.5</v>
      </c>
      <c r="H406" s="53"/>
      <c r="J406" s="53">
        <f t="shared" si="65"/>
        <v>3.5000000000000018</v>
      </c>
      <c r="M406" s="51">
        <f t="shared" si="62"/>
        <v>3.5000000000000018</v>
      </c>
    </row>
    <row r="407" spans="1:13" x14ac:dyDescent="0.25">
      <c r="A407" s="133">
        <v>45490</v>
      </c>
      <c r="B407" s="51" t="s">
        <v>58</v>
      </c>
      <c r="C407" s="135">
        <v>0.70833333333333337</v>
      </c>
      <c r="D407" s="135">
        <v>0.875</v>
      </c>
      <c r="E407" s="53">
        <f t="shared" si="61"/>
        <v>3.9999999999999991</v>
      </c>
      <c r="H407" s="53">
        <f t="shared" si="63"/>
        <v>5.9999999999999991</v>
      </c>
      <c r="M407" s="51">
        <f t="shared" si="62"/>
        <v>5.9999999999999991</v>
      </c>
    </row>
    <row r="408" spans="1:13" x14ac:dyDescent="0.25">
      <c r="A408" s="133">
        <v>45490</v>
      </c>
      <c r="B408" s="51" t="s">
        <v>49</v>
      </c>
      <c r="C408" s="135">
        <v>0.66666666666666663</v>
      </c>
      <c r="D408" s="135">
        <v>0.89583333333333337</v>
      </c>
      <c r="E408" s="53">
        <f t="shared" si="61"/>
        <v>5.0000000000000018</v>
      </c>
      <c r="F408" s="51">
        <v>0.5</v>
      </c>
      <c r="H408" s="53">
        <f t="shared" si="63"/>
        <v>7.0000000000000018</v>
      </c>
      <c r="M408" s="51">
        <f t="shared" si="62"/>
        <v>7.0000000000000018</v>
      </c>
    </row>
    <row r="409" spans="1:13" x14ac:dyDescent="0.25">
      <c r="A409" s="133">
        <v>45491</v>
      </c>
      <c r="B409" s="51" t="s">
        <v>56</v>
      </c>
      <c r="C409" s="135">
        <v>0.75</v>
      </c>
      <c r="D409" s="135">
        <v>0.95833333333333337</v>
      </c>
      <c r="E409" s="53">
        <f t="shared" si="61"/>
        <v>5.0000000000000009</v>
      </c>
      <c r="H409" s="53"/>
      <c r="J409" s="53">
        <f t="shared" ref="J409:J411" si="66">IF(WEEKDAY(A409, 2)&lt;6, E409-2, E409)</f>
        <v>3.0000000000000009</v>
      </c>
      <c r="M409" s="51">
        <f t="shared" si="62"/>
        <v>3.0000000000000009</v>
      </c>
    </row>
    <row r="410" spans="1:13" x14ac:dyDescent="0.25">
      <c r="A410" s="133">
        <v>45491</v>
      </c>
      <c r="B410" s="51" t="s">
        <v>56</v>
      </c>
      <c r="C410" s="135">
        <v>0.33333333333333331</v>
      </c>
      <c r="D410" s="135">
        <v>0.58333333333333337</v>
      </c>
      <c r="E410" s="53">
        <f t="shared" si="61"/>
        <v>5.5000000000000018</v>
      </c>
      <c r="F410" s="51">
        <v>0.5</v>
      </c>
      <c r="H410" s="53"/>
      <c r="J410" s="53">
        <f t="shared" si="66"/>
        <v>3.5000000000000018</v>
      </c>
      <c r="M410" s="51">
        <f t="shared" si="62"/>
        <v>3.5000000000000018</v>
      </c>
    </row>
    <row r="411" spans="1:13" x14ac:dyDescent="0.25">
      <c r="A411" s="133">
        <v>45492</v>
      </c>
      <c r="B411" s="51" t="s">
        <v>56</v>
      </c>
      <c r="C411" s="135">
        <v>0.33333333333333331</v>
      </c>
      <c r="D411" s="135">
        <v>0.58333333333333337</v>
      </c>
      <c r="E411" s="53">
        <f t="shared" si="61"/>
        <v>5.5000000000000018</v>
      </c>
      <c r="F411" s="51">
        <v>0.5</v>
      </c>
      <c r="H411" s="53"/>
      <c r="J411" s="53">
        <f t="shared" si="66"/>
        <v>3.5000000000000018</v>
      </c>
      <c r="M411" s="51">
        <f t="shared" si="62"/>
        <v>3.5000000000000018</v>
      </c>
    </row>
    <row r="412" spans="1:13" x14ac:dyDescent="0.25">
      <c r="A412" s="133">
        <v>45492</v>
      </c>
      <c r="B412" s="51" t="s">
        <v>58</v>
      </c>
      <c r="C412" s="135">
        <v>0.66666666666666663</v>
      </c>
      <c r="D412" s="135">
        <v>0.95833333333333337</v>
      </c>
      <c r="E412" s="53">
        <f t="shared" si="61"/>
        <v>6.5000000000000018</v>
      </c>
      <c r="F412" s="51">
        <v>0.5</v>
      </c>
      <c r="H412" s="53">
        <f t="shared" si="63"/>
        <v>8.5000000000000018</v>
      </c>
      <c r="M412" s="51">
        <f t="shared" si="62"/>
        <v>8.5000000000000018</v>
      </c>
    </row>
    <row r="413" spans="1:13" x14ac:dyDescent="0.25">
      <c r="A413" s="133">
        <v>45493</v>
      </c>
      <c r="B413" s="51" t="s">
        <v>49</v>
      </c>
      <c r="C413" s="135">
        <v>0.28125</v>
      </c>
      <c r="D413" s="134">
        <v>0.60416666666666663</v>
      </c>
      <c r="E413" s="53">
        <f t="shared" si="61"/>
        <v>7.2499999999999991</v>
      </c>
      <c r="F413" s="51">
        <v>0.5</v>
      </c>
      <c r="H413" s="53">
        <f t="shared" si="63"/>
        <v>7.2499999999999991</v>
      </c>
      <c r="M413" s="51">
        <f t="shared" si="62"/>
        <v>7.2499999999999991</v>
      </c>
    </row>
    <row r="414" spans="1:13" x14ac:dyDescent="0.25">
      <c r="A414" s="133">
        <v>45493</v>
      </c>
      <c r="B414" s="51" t="s">
        <v>56</v>
      </c>
      <c r="C414" s="135">
        <v>0.33333333333333331</v>
      </c>
      <c r="D414" s="134">
        <v>0.54166666666666663</v>
      </c>
      <c r="E414" s="53">
        <f t="shared" si="61"/>
        <v>5</v>
      </c>
      <c r="H414" s="53"/>
      <c r="J414" s="53">
        <f>IF(WEEKDAY(A414, 2)&lt;6, E414-2, E414)</f>
        <v>5</v>
      </c>
      <c r="M414" s="51">
        <f t="shared" si="62"/>
        <v>5</v>
      </c>
    </row>
    <row r="415" spans="1:13" x14ac:dyDescent="0.25">
      <c r="A415" s="133">
        <v>45493</v>
      </c>
      <c r="B415" s="51" t="s">
        <v>53</v>
      </c>
      <c r="C415" s="135">
        <v>0.60416666666666663</v>
      </c>
      <c r="D415" s="134">
        <v>0.97916666666666663</v>
      </c>
      <c r="E415" s="53">
        <f t="shared" si="61"/>
        <v>8</v>
      </c>
      <c r="F415" s="51">
        <v>1</v>
      </c>
      <c r="H415" s="53">
        <f t="shared" si="63"/>
        <v>8</v>
      </c>
      <c r="M415" s="51">
        <f t="shared" si="62"/>
        <v>8</v>
      </c>
    </row>
    <row r="416" spans="1:13" x14ac:dyDescent="0.25">
      <c r="A416" s="133">
        <v>45493</v>
      </c>
      <c r="B416" s="51" t="s">
        <v>58</v>
      </c>
      <c r="C416" s="135">
        <v>0.625</v>
      </c>
      <c r="D416" s="134">
        <v>0.95833333333333337</v>
      </c>
      <c r="E416" s="53">
        <f t="shared" si="61"/>
        <v>7.5</v>
      </c>
      <c r="F416" s="51">
        <v>0.5</v>
      </c>
      <c r="H416" s="53">
        <f t="shared" si="63"/>
        <v>7.5</v>
      </c>
      <c r="M416" s="51">
        <f t="shared" si="62"/>
        <v>7.5</v>
      </c>
    </row>
    <row r="417" spans="1:13" x14ac:dyDescent="0.25">
      <c r="A417" s="133">
        <v>45493</v>
      </c>
      <c r="B417" s="51" t="s">
        <v>46</v>
      </c>
      <c r="C417" s="135">
        <v>0.45833333333333331</v>
      </c>
      <c r="D417" s="134">
        <v>0.79166666666666663</v>
      </c>
      <c r="E417" s="53">
        <f t="shared" si="61"/>
        <v>7.5</v>
      </c>
      <c r="F417" s="51">
        <v>0.5</v>
      </c>
      <c r="H417" s="53">
        <f t="shared" si="63"/>
        <v>7.5</v>
      </c>
      <c r="M417" s="51">
        <f t="shared" si="62"/>
        <v>7.5</v>
      </c>
    </row>
    <row r="418" spans="1:13" x14ac:dyDescent="0.25">
      <c r="A418" s="133">
        <v>45494</v>
      </c>
      <c r="B418" s="51" t="s">
        <v>53</v>
      </c>
      <c r="C418" s="135">
        <v>0.66666666666666663</v>
      </c>
      <c r="D418" s="135">
        <v>0.875</v>
      </c>
      <c r="E418" s="53">
        <f t="shared" si="61"/>
        <v>5.0000000000000009</v>
      </c>
      <c r="H418" s="53">
        <f t="shared" si="63"/>
        <v>5.0000000000000009</v>
      </c>
      <c r="M418" s="51">
        <f t="shared" si="62"/>
        <v>5.0000000000000009</v>
      </c>
    </row>
    <row r="419" spans="1:13" x14ac:dyDescent="0.25">
      <c r="A419" s="133">
        <v>45494</v>
      </c>
      <c r="B419" s="51" t="s">
        <v>53</v>
      </c>
      <c r="C419" s="135">
        <v>0.33333333333333331</v>
      </c>
      <c r="D419" s="135">
        <v>0.66666666666666663</v>
      </c>
      <c r="E419" s="53">
        <f t="shared" si="61"/>
        <v>7.5</v>
      </c>
      <c r="F419" s="51">
        <v>0.5</v>
      </c>
      <c r="H419" s="53">
        <f t="shared" si="63"/>
        <v>7.5</v>
      </c>
      <c r="M419" s="51">
        <f t="shared" si="62"/>
        <v>7.5</v>
      </c>
    </row>
    <row r="420" spans="1:13" x14ac:dyDescent="0.25">
      <c r="A420" s="133">
        <v>45494</v>
      </c>
      <c r="B420" s="51" t="s">
        <v>58</v>
      </c>
      <c r="C420" s="135">
        <v>0.35416666666666669</v>
      </c>
      <c r="D420" s="134">
        <v>0.625</v>
      </c>
      <c r="E420" s="53">
        <f t="shared" si="61"/>
        <v>6</v>
      </c>
      <c r="F420" s="51">
        <v>0.5</v>
      </c>
      <c r="H420" s="53">
        <f t="shared" si="63"/>
        <v>6</v>
      </c>
      <c r="M420" s="51">
        <f t="shared" si="62"/>
        <v>6</v>
      </c>
    </row>
    <row r="421" spans="1:13" x14ac:dyDescent="0.25">
      <c r="A421" s="133">
        <v>45495</v>
      </c>
      <c r="B421" s="51" t="s">
        <v>56</v>
      </c>
      <c r="C421" s="135">
        <v>0.33333333333333331</v>
      </c>
      <c r="D421" s="135">
        <v>0.58333333333333337</v>
      </c>
      <c r="E421" s="53">
        <f t="shared" si="61"/>
        <v>5.5000000000000018</v>
      </c>
      <c r="F421" s="51">
        <v>0.5</v>
      </c>
      <c r="H421" s="53"/>
      <c r="J421" s="53">
        <f t="shared" ref="J421:J423" si="67">IF(WEEKDAY(A421, 2)&lt;6, E421-2, E421)</f>
        <v>3.5000000000000018</v>
      </c>
      <c r="M421" s="51">
        <f t="shared" si="62"/>
        <v>3.5000000000000018</v>
      </c>
    </row>
    <row r="422" spans="1:13" x14ac:dyDescent="0.25">
      <c r="A422" s="133">
        <v>45496</v>
      </c>
      <c r="B422" s="51" t="s">
        <v>56</v>
      </c>
      <c r="C422" s="135">
        <v>0.33333333333333331</v>
      </c>
      <c r="D422" s="135">
        <v>0.58333333333333337</v>
      </c>
      <c r="E422" s="53">
        <f t="shared" si="61"/>
        <v>5.5000000000000018</v>
      </c>
      <c r="F422" s="51">
        <v>0.5</v>
      </c>
      <c r="H422" s="53"/>
      <c r="J422" s="53">
        <f t="shared" si="67"/>
        <v>3.5000000000000018</v>
      </c>
      <c r="M422" s="51">
        <f t="shared" si="62"/>
        <v>3.5000000000000018</v>
      </c>
    </row>
    <row r="423" spans="1:13" x14ac:dyDescent="0.25">
      <c r="A423" s="133">
        <v>45497</v>
      </c>
      <c r="B423" s="51" t="s">
        <v>56</v>
      </c>
      <c r="C423" s="135">
        <v>0.33333333333333331</v>
      </c>
      <c r="D423" s="135">
        <v>0.58333333333333337</v>
      </c>
      <c r="E423" s="53">
        <f t="shared" si="61"/>
        <v>5.5000000000000018</v>
      </c>
      <c r="F423" s="51">
        <v>0.5</v>
      </c>
      <c r="H423" s="53"/>
      <c r="J423" s="53">
        <f t="shared" si="67"/>
        <v>3.5000000000000018</v>
      </c>
      <c r="M423" s="51">
        <f t="shared" si="62"/>
        <v>3.5000000000000018</v>
      </c>
    </row>
    <row r="424" spans="1:13" x14ac:dyDescent="0.25">
      <c r="A424" s="133">
        <v>45497</v>
      </c>
      <c r="B424" s="51" t="s">
        <v>49</v>
      </c>
      <c r="C424" s="135">
        <v>0.66666666666666663</v>
      </c>
      <c r="D424" s="135">
        <v>0.9375</v>
      </c>
      <c r="E424" s="53">
        <f t="shared" si="61"/>
        <v>6.0000000000000009</v>
      </c>
      <c r="F424" s="51">
        <v>0.5</v>
      </c>
      <c r="H424" s="53">
        <f t="shared" si="63"/>
        <v>8</v>
      </c>
      <c r="M424" s="51">
        <f t="shared" si="62"/>
        <v>8</v>
      </c>
    </row>
    <row r="425" spans="1:13" x14ac:dyDescent="0.25">
      <c r="A425" s="133">
        <v>45498</v>
      </c>
      <c r="B425" s="51" t="s">
        <v>56</v>
      </c>
      <c r="C425" s="135">
        <v>0.33333333333333331</v>
      </c>
      <c r="D425" s="135">
        <v>0.58333333333333337</v>
      </c>
      <c r="E425" s="53">
        <f t="shared" si="61"/>
        <v>5.5000000000000018</v>
      </c>
      <c r="F425" s="51">
        <v>0.5</v>
      </c>
      <c r="H425" s="53"/>
      <c r="J425" s="53">
        <f t="shared" ref="J425:J427" si="68">IF(WEEKDAY(A425, 2)&lt;6, E425-2, E425)</f>
        <v>3.5000000000000018</v>
      </c>
      <c r="M425" s="51">
        <f t="shared" si="62"/>
        <v>3.5000000000000018</v>
      </c>
    </row>
    <row r="426" spans="1:13" x14ac:dyDescent="0.25">
      <c r="A426" s="133">
        <v>45498</v>
      </c>
      <c r="B426" s="51" t="s">
        <v>56</v>
      </c>
      <c r="C426" s="135">
        <v>0.75</v>
      </c>
      <c r="D426" s="135">
        <v>0.95833333333333337</v>
      </c>
      <c r="E426" s="53">
        <f t="shared" si="61"/>
        <v>5.0000000000000009</v>
      </c>
      <c r="H426" s="53"/>
      <c r="J426" s="53">
        <f t="shared" si="68"/>
        <v>3.0000000000000009</v>
      </c>
      <c r="M426" s="51">
        <f t="shared" si="62"/>
        <v>3.0000000000000009</v>
      </c>
    </row>
    <row r="427" spans="1:13" x14ac:dyDescent="0.25">
      <c r="A427" s="133">
        <v>45499</v>
      </c>
      <c r="B427" s="51" t="s">
        <v>56</v>
      </c>
      <c r="C427" s="135">
        <v>0.33333333333333331</v>
      </c>
      <c r="D427" s="135">
        <v>0.58333333333333337</v>
      </c>
      <c r="E427" s="53">
        <f t="shared" si="61"/>
        <v>5.5000000000000018</v>
      </c>
      <c r="F427" s="51">
        <v>0.5</v>
      </c>
      <c r="H427" s="53"/>
      <c r="J427" s="53">
        <f t="shared" si="68"/>
        <v>3.5000000000000018</v>
      </c>
      <c r="M427" s="51">
        <f t="shared" si="62"/>
        <v>3.5000000000000018</v>
      </c>
    </row>
    <row r="428" spans="1:13" x14ac:dyDescent="0.25">
      <c r="A428" s="133">
        <v>45500</v>
      </c>
      <c r="B428" s="51" t="s">
        <v>49</v>
      </c>
      <c r="C428" s="135">
        <v>0.29166666666666669</v>
      </c>
      <c r="D428" s="135">
        <v>0.64583333333333337</v>
      </c>
      <c r="E428" s="53">
        <f t="shared" si="61"/>
        <v>8</v>
      </c>
      <c r="F428" s="51">
        <v>0.5</v>
      </c>
      <c r="H428" s="53">
        <f t="shared" si="63"/>
        <v>8</v>
      </c>
      <c r="M428" s="51">
        <f t="shared" si="62"/>
        <v>8</v>
      </c>
    </row>
    <row r="429" spans="1:13" x14ac:dyDescent="0.25">
      <c r="A429" s="133">
        <v>45500</v>
      </c>
      <c r="B429" s="51" t="s">
        <v>56</v>
      </c>
      <c r="C429" s="135">
        <v>0.33333333333333331</v>
      </c>
      <c r="D429" s="135">
        <v>0.54166666666666663</v>
      </c>
      <c r="E429" s="53">
        <f t="shared" si="61"/>
        <v>5</v>
      </c>
      <c r="H429" s="53"/>
      <c r="J429" s="53">
        <f>IF(WEEKDAY(A429, 2)&lt;6, E429-2, E429)</f>
        <v>5</v>
      </c>
      <c r="M429" s="51">
        <f t="shared" si="62"/>
        <v>5</v>
      </c>
    </row>
    <row r="430" spans="1:13" x14ac:dyDescent="0.25">
      <c r="A430" s="133">
        <v>45500</v>
      </c>
      <c r="B430" s="51" t="s">
        <v>46</v>
      </c>
      <c r="C430" s="135">
        <v>0.54166666666666663</v>
      </c>
      <c r="D430" s="135">
        <v>0.75</v>
      </c>
      <c r="E430" s="53">
        <f t="shared" si="61"/>
        <v>4.5000000000000009</v>
      </c>
      <c r="F430" s="51">
        <v>0.5</v>
      </c>
      <c r="H430" s="53">
        <f t="shared" si="63"/>
        <v>4.5000000000000009</v>
      </c>
      <c r="M430" s="51">
        <f t="shared" si="62"/>
        <v>4.5000000000000009</v>
      </c>
    </row>
    <row r="431" spans="1:13" x14ac:dyDescent="0.25">
      <c r="A431" s="133">
        <v>45500</v>
      </c>
      <c r="B431" s="51" t="s">
        <v>58</v>
      </c>
      <c r="C431" s="135">
        <v>0.64583333333333337</v>
      </c>
      <c r="D431" s="135">
        <v>0.89583333333333337</v>
      </c>
      <c r="E431" s="53">
        <f t="shared" si="61"/>
        <v>5.5</v>
      </c>
      <c r="F431" s="51">
        <v>0.5</v>
      </c>
      <c r="H431" s="53">
        <f t="shared" si="63"/>
        <v>5.5</v>
      </c>
      <c r="M431" s="51">
        <f t="shared" si="62"/>
        <v>5.5</v>
      </c>
    </row>
    <row r="432" spans="1:13" x14ac:dyDescent="0.25">
      <c r="A432" s="133">
        <v>45501</v>
      </c>
      <c r="B432" s="51" t="s">
        <v>53</v>
      </c>
      <c r="C432" s="135">
        <v>0.41666666666666669</v>
      </c>
      <c r="D432" s="135">
        <v>0.625</v>
      </c>
      <c r="E432" s="53">
        <f t="shared" si="61"/>
        <v>5</v>
      </c>
      <c r="H432" s="53">
        <f t="shared" si="63"/>
        <v>5</v>
      </c>
      <c r="M432" s="51">
        <f t="shared" si="62"/>
        <v>5</v>
      </c>
    </row>
    <row r="433" spans="1:13" x14ac:dyDescent="0.25">
      <c r="A433" s="133">
        <v>45502</v>
      </c>
      <c r="B433" s="51" t="s">
        <v>58</v>
      </c>
      <c r="C433" s="135">
        <v>0.6875</v>
      </c>
      <c r="D433" s="135">
        <v>0.89583333333333337</v>
      </c>
      <c r="E433" s="53">
        <f t="shared" si="61"/>
        <v>5.0000000000000009</v>
      </c>
      <c r="H433" s="53">
        <f t="shared" si="63"/>
        <v>7.0000000000000009</v>
      </c>
      <c r="M433" s="51">
        <f t="shared" si="62"/>
        <v>7.0000000000000009</v>
      </c>
    </row>
    <row r="434" spans="1:13" x14ac:dyDescent="0.25">
      <c r="A434" s="133">
        <v>45502</v>
      </c>
      <c r="B434" s="51" t="s">
        <v>56</v>
      </c>
      <c r="C434" s="135">
        <v>0.33333333333333331</v>
      </c>
      <c r="D434" s="135">
        <v>0.58333333333333337</v>
      </c>
      <c r="E434" s="53">
        <f t="shared" si="61"/>
        <v>5.5000000000000018</v>
      </c>
      <c r="F434" s="51">
        <v>0.5</v>
      </c>
      <c r="H434" s="53"/>
      <c r="J434" s="53">
        <f t="shared" ref="J434:J440" si="69">IF(WEEKDAY(A434, 2)&lt;6, E434-2, E434)</f>
        <v>3.5000000000000018</v>
      </c>
      <c r="M434" s="51">
        <f t="shared" si="62"/>
        <v>3.5000000000000018</v>
      </c>
    </row>
    <row r="435" spans="1:13" x14ac:dyDescent="0.25">
      <c r="A435" s="133">
        <v>45503</v>
      </c>
      <c r="B435" s="51" t="s">
        <v>56</v>
      </c>
      <c r="C435" s="135">
        <v>0.33333333333333331</v>
      </c>
      <c r="D435" s="135">
        <v>0.58333333333333337</v>
      </c>
      <c r="E435" s="53">
        <f t="shared" si="61"/>
        <v>5.5000000000000018</v>
      </c>
      <c r="F435" s="51">
        <v>0.5</v>
      </c>
      <c r="H435" s="53"/>
      <c r="J435" s="53">
        <f t="shared" si="69"/>
        <v>3.5000000000000018</v>
      </c>
      <c r="M435" s="51">
        <f t="shared" si="62"/>
        <v>3.5000000000000018</v>
      </c>
    </row>
    <row r="436" spans="1:13" x14ac:dyDescent="0.25">
      <c r="A436" s="133">
        <v>45504</v>
      </c>
      <c r="B436" s="51" t="s">
        <v>56</v>
      </c>
      <c r="C436" s="135">
        <v>0.33333333333333331</v>
      </c>
      <c r="D436" s="135">
        <v>0.58333333333333337</v>
      </c>
      <c r="E436" s="53">
        <f t="shared" si="61"/>
        <v>5.5000000000000018</v>
      </c>
      <c r="F436" s="51">
        <v>0.5</v>
      </c>
      <c r="H436" s="53"/>
      <c r="J436" s="53">
        <f t="shared" si="69"/>
        <v>3.5000000000000018</v>
      </c>
      <c r="M436" s="51">
        <f t="shared" si="62"/>
        <v>3.5000000000000018</v>
      </c>
    </row>
    <row r="437" spans="1:13" x14ac:dyDescent="0.25">
      <c r="A437" s="133">
        <v>45504</v>
      </c>
      <c r="B437" s="51" t="s">
        <v>56</v>
      </c>
      <c r="C437" s="135">
        <v>0.66666666666666663</v>
      </c>
      <c r="D437" s="135">
        <v>0.91666666666666663</v>
      </c>
      <c r="E437" s="53">
        <f t="shared" si="61"/>
        <v>5.5</v>
      </c>
      <c r="F437" s="51">
        <v>0.5</v>
      </c>
      <c r="H437" s="53"/>
      <c r="J437" s="53">
        <f t="shared" si="69"/>
        <v>3.5</v>
      </c>
      <c r="M437" s="51">
        <f t="shared" si="62"/>
        <v>3.5</v>
      </c>
    </row>
    <row r="438" spans="1:13" x14ac:dyDescent="0.25">
      <c r="A438" s="142">
        <v>45505</v>
      </c>
      <c r="B438" s="51" t="s">
        <v>56</v>
      </c>
      <c r="C438" s="143">
        <v>0.33333333333333331</v>
      </c>
      <c r="D438" s="143">
        <v>0.58333333333333337</v>
      </c>
      <c r="E438" s="144">
        <f t="shared" si="61"/>
        <v>5.5000000000000018</v>
      </c>
      <c r="F438" s="145">
        <v>0.5</v>
      </c>
      <c r="G438" s="55">
        <f>SUM(E:E)</f>
        <v>5521</v>
      </c>
      <c r="H438" s="53"/>
      <c r="J438" s="53">
        <f t="shared" si="69"/>
        <v>3.5000000000000018</v>
      </c>
      <c r="M438" s="51">
        <f t="shared" si="62"/>
        <v>3.5000000000000018</v>
      </c>
    </row>
    <row r="439" spans="1:13" x14ac:dyDescent="0.25">
      <c r="A439" s="133">
        <v>45505</v>
      </c>
      <c r="B439" s="51" t="s">
        <v>56</v>
      </c>
      <c r="C439" s="135">
        <v>0.75</v>
      </c>
      <c r="D439" s="135">
        <v>0.95833333333333337</v>
      </c>
      <c r="E439" s="53">
        <f t="shared" si="61"/>
        <v>5.0000000000000009</v>
      </c>
      <c r="H439" s="53"/>
      <c r="J439" s="53">
        <f t="shared" si="69"/>
        <v>3.0000000000000009</v>
      </c>
      <c r="M439" s="51">
        <f t="shared" si="62"/>
        <v>3.0000000000000009</v>
      </c>
    </row>
    <row r="440" spans="1:13" x14ac:dyDescent="0.25">
      <c r="A440" s="133">
        <v>45506</v>
      </c>
      <c r="B440" s="51" t="s">
        <v>56</v>
      </c>
      <c r="C440" s="135">
        <v>0.33333333333333331</v>
      </c>
      <c r="D440" s="135">
        <v>0.58333333333333337</v>
      </c>
      <c r="E440" s="53">
        <f t="shared" si="61"/>
        <v>5.5000000000000018</v>
      </c>
      <c r="F440" s="51">
        <v>0.5</v>
      </c>
      <c r="H440" s="53"/>
      <c r="J440" s="53">
        <f t="shared" si="69"/>
        <v>3.5000000000000018</v>
      </c>
      <c r="M440" s="51">
        <f t="shared" si="62"/>
        <v>3.5000000000000018</v>
      </c>
    </row>
    <row r="441" spans="1:13" x14ac:dyDescent="0.25">
      <c r="A441" s="133">
        <v>45507</v>
      </c>
      <c r="B441" s="51" t="s">
        <v>49</v>
      </c>
      <c r="C441" s="135">
        <v>0.3125</v>
      </c>
      <c r="D441" s="135">
        <v>0.41666666666666669</v>
      </c>
      <c r="E441" s="53">
        <f t="shared" si="61"/>
        <v>2.5000000000000004</v>
      </c>
      <c r="H441" s="53">
        <f t="shared" si="63"/>
        <v>2.5000000000000004</v>
      </c>
      <c r="M441" s="51">
        <f t="shared" si="62"/>
        <v>2.5000000000000004</v>
      </c>
    </row>
    <row r="442" spans="1:13" x14ac:dyDescent="0.25">
      <c r="A442" s="133">
        <v>45507</v>
      </c>
      <c r="B442" s="51" t="s">
        <v>56</v>
      </c>
      <c r="C442" s="135">
        <v>0.33333333333333331</v>
      </c>
      <c r="D442" s="135">
        <v>0.54166666666666663</v>
      </c>
      <c r="E442" s="53">
        <f t="shared" si="61"/>
        <v>5</v>
      </c>
      <c r="H442" s="53"/>
      <c r="J442" s="53">
        <f>IF(WEEKDAY(A442, 2)&lt;6, E442-2, E442)</f>
        <v>5</v>
      </c>
      <c r="M442" s="51">
        <f t="shared" si="62"/>
        <v>5</v>
      </c>
    </row>
    <row r="443" spans="1:13" x14ac:dyDescent="0.25">
      <c r="A443" s="133">
        <v>45507</v>
      </c>
      <c r="B443" s="51" t="s">
        <v>46</v>
      </c>
      <c r="C443" s="135">
        <v>0.625</v>
      </c>
      <c r="D443" s="135">
        <v>0.83333333333333337</v>
      </c>
      <c r="E443" s="53">
        <f t="shared" si="61"/>
        <v>5.0000000000000009</v>
      </c>
      <c r="H443" s="53">
        <f t="shared" si="63"/>
        <v>5.0000000000000009</v>
      </c>
      <c r="M443" s="51">
        <f t="shared" si="62"/>
        <v>5.0000000000000009</v>
      </c>
    </row>
    <row r="444" spans="1:13" x14ac:dyDescent="0.25">
      <c r="A444" s="133">
        <v>45509</v>
      </c>
      <c r="B444" s="51" t="s">
        <v>49</v>
      </c>
      <c r="C444" s="135">
        <v>0.375</v>
      </c>
      <c r="D444" s="135">
        <v>0.625</v>
      </c>
      <c r="E444" s="53">
        <f t="shared" si="61"/>
        <v>5.5</v>
      </c>
      <c r="F444" s="51">
        <v>0.5</v>
      </c>
      <c r="H444" s="53">
        <f t="shared" si="63"/>
        <v>7.5</v>
      </c>
      <c r="M444" s="51">
        <f t="shared" si="62"/>
        <v>7.5</v>
      </c>
    </row>
    <row r="445" spans="1:13" x14ac:dyDescent="0.25">
      <c r="A445" s="133">
        <v>45509</v>
      </c>
      <c r="B445" s="51" t="s">
        <v>56</v>
      </c>
      <c r="C445" s="135">
        <v>0.33333333333333331</v>
      </c>
      <c r="D445" s="135">
        <v>0.58333333333333337</v>
      </c>
      <c r="E445" s="53">
        <f t="shared" si="61"/>
        <v>5.5000000000000018</v>
      </c>
      <c r="F445" s="51">
        <v>0.5</v>
      </c>
      <c r="H445" s="53"/>
      <c r="J445" s="53">
        <f t="shared" ref="J445:J447" si="70">IF(WEEKDAY(A445, 2)&lt;6, E445-2, E445)</f>
        <v>3.5000000000000018</v>
      </c>
      <c r="M445" s="51">
        <f t="shared" si="62"/>
        <v>3.5000000000000018</v>
      </c>
    </row>
    <row r="446" spans="1:13" x14ac:dyDescent="0.25">
      <c r="A446" s="133">
        <v>45510</v>
      </c>
      <c r="B446" s="51" t="s">
        <v>56</v>
      </c>
      <c r="C446" s="135">
        <v>0.33333333333333331</v>
      </c>
      <c r="D446" s="135">
        <v>0.58333333333333337</v>
      </c>
      <c r="E446" s="53">
        <f t="shared" si="61"/>
        <v>5.5000000000000018</v>
      </c>
      <c r="F446" s="51">
        <v>0.5</v>
      </c>
      <c r="H446" s="53"/>
      <c r="J446" s="53">
        <f t="shared" si="70"/>
        <v>3.5000000000000018</v>
      </c>
      <c r="M446" s="51">
        <f t="shared" si="62"/>
        <v>3.5000000000000018</v>
      </c>
    </row>
    <row r="447" spans="1:13" x14ac:dyDescent="0.25">
      <c r="A447" s="133">
        <v>45511</v>
      </c>
      <c r="B447" s="51" t="s">
        <v>56</v>
      </c>
      <c r="C447" s="135">
        <v>0.33333333333333331</v>
      </c>
      <c r="D447" s="135">
        <v>0.58333333333333337</v>
      </c>
      <c r="E447" s="53">
        <f t="shared" si="61"/>
        <v>5.5000000000000018</v>
      </c>
      <c r="F447" s="51">
        <v>0.5</v>
      </c>
      <c r="H447" s="53"/>
      <c r="J447" s="53">
        <f t="shared" si="70"/>
        <v>3.5000000000000018</v>
      </c>
      <c r="M447" s="51">
        <f t="shared" si="62"/>
        <v>3.5000000000000018</v>
      </c>
    </row>
    <row r="448" spans="1:13" x14ac:dyDescent="0.25">
      <c r="A448" s="133">
        <v>45511</v>
      </c>
      <c r="B448" s="51" t="s">
        <v>49</v>
      </c>
      <c r="C448" s="135">
        <v>0.75</v>
      </c>
      <c r="D448" s="135">
        <v>0.91666666666666663</v>
      </c>
      <c r="E448" s="53">
        <f t="shared" si="61"/>
        <v>3.9999999999999991</v>
      </c>
      <c r="H448" s="53">
        <f t="shared" si="63"/>
        <v>5.9999999999999991</v>
      </c>
      <c r="M448" s="51">
        <f t="shared" si="62"/>
        <v>5.9999999999999991</v>
      </c>
    </row>
    <row r="449" spans="1:13" x14ac:dyDescent="0.25">
      <c r="A449" s="133">
        <v>45511</v>
      </c>
      <c r="B449" s="51" t="s">
        <v>56</v>
      </c>
      <c r="C449" s="135">
        <v>0.66666666666666663</v>
      </c>
      <c r="D449" s="135">
        <v>0.875</v>
      </c>
      <c r="E449" s="53">
        <f t="shared" si="61"/>
        <v>5.0000000000000009</v>
      </c>
      <c r="H449" s="53"/>
      <c r="J449" s="53">
        <f t="shared" ref="J449:J450" si="71">IF(WEEKDAY(A449, 2)&lt;6, E449-2, E449)</f>
        <v>3.0000000000000009</v>
      </c>
      <c r="M449" s="51">
        <f t="shared" si="62"/>
        <v>3.0000000000000009</v>
      </c>
    </row>
    <row r="450" spans="1:13" x14ac:dyDescent="0.25">
      <c r="A450" s="133">
        <v>45512</v>
      </c>
      <c r="B450" s="51" t="s">
        <v>56</v>
      </c>
      <c r="C450" s="135">
        <v>0.33333333333333331</v>
      </c>
      <c r="D450" s="135">
        <v>0.58333333333333337</v>
      </c>
      <c r="E450" s="53">
        <f t="shared" si="61"/>
        <v>5.5000000000000018</v>
      </c>
      <c r="F450" s="51">
        <v>0.5</v>
      </c>
      <c r="H450" s="53"/>
      <c r="J450" s="53">
        <f t="shared" si="71"/>
        <v>3.5000000000000018</v>
      </c>
      <c r="M450" s="51">
        <f t="shared" si="62"/>
        <v>3.5000000000000018</v>
      </c>
    </row>
    <row r="451" spans="1:13" x14ac:dyDescent="0.25">
      <c r="A451" s="133">
        <v>45512</v>
      </c>
      <c r="B451" s="51" t="s">
        <v>53</v>
      </c>
      <c r="C451" s="135">
        <v>0.66666666666666663</v>
      </c>
      <c r="D451" s="135">
        <v>0.91666666666666663</v>
      </c>
      <c r="E451" s="53">
        <f t="shared" ref="E451:E514" si="72">MOD((D451-C451),1) *24 - F451</f>
        <v>5.5</v>
      </c>
      <c r="F451" s="51">
        <v>0.5</v>
      </c>
      <c r="H451" s="53">
        <f t="shared" ref="H451:H509" si="73">IF(WEEKDAY(A451, 2)&lt;6, E451+2, E451)</f>
        <v>7.5</v>
      </c>
      <c r="M451" s="51">
        <f t="shared" ref="M451:M514" si="74">IF(H451&lt;&gt;"",H451,J451)</f>
        <v>7.5</v>
      </c>
    </row>
    <row r="452" spans="1:13" x14ac:dyDescent="0.25">
      <c r="A452" s="133">
        <v>45513</v>
      </c>
      <c r="B452" s="51" t="s">
        <v>56</v>
      </c>
      <c r="C452" s="135">
        <v>0.375</v>
      </c>
      <c r="D452" s="135">
        <v>0.58333333333333337</v>
      </c>
      <c r="E452" s="53">
        <f t="shared" si="72"/>
        <v>5.0000000000000009</v>
      </c>
      <c r="H452" s="53"/>
      <c r="J452" s="53">
        <f>IF(WEEKDAY(A452, 2)&lt;6, E452-2, E452)</f>
        <v>3.0000000000000009</v>
      </c>
      <c r="M452" s="51">
        <f t="shared" si="74"/>
        <v>3.0000000000000009</v>
      </c>
    </row>
    <row r="453" spans="1:13" x14ac:dyDescent="0.25">
      <c r="A453" s="133">
        <v>45513</v>
      </c>
      <c r="B453" s="51" t="s">
        <v>53</v>
      </c>
      <c r="C453" s="135">
        <v>0.66666666666666663</v>
      </c>
      <c r="D453" s="135">
        <v>0.95833333333333337</v>
      </c>
      <c r="E453" s="53">
        <f t="shared" si="72"/>
        <v>6.5000000000000018</v>
      </c>
      <c r="F453" s="51">
        <v>0.5</v>
      </c>
      <c r="H453" s="53">
        <f t="shared" si="73"/>
        <v>8.5000000000000018</v>
      </c>
      <c r="M453" s="51">
        <f t="shared" si="74"/>
        <v>8.5000000000000018</v>
      </c>
    </row>
    <row r="454" spans="1:13" x14ac:dyDescent="0.25">
      <c r="A454" s="133">
        <v>45514</v>
      </c>
      <c r="B454" s="51" t="s">
        <v>56</v>
      </c>
      <c r="C454" s="135">
        <v>0.33333333333333331</v>
      </c>
      <c r="D454" s="135">
        <v>0.54166666666666663</v>
      </c>
      <c r="E454" s="53">
        <f t="shared" si="72"/>
        <v>5</v>
      </c>
      <c r="H454" s="53"/>
      <c r="J454" s="53">
        <f>IF(WEEKDAY(A454, 2)&lt;6, E454-2, E454)</f>
        <v>5</v>
      </c>
      <c r="M454" s="51">
        <f t="shared" si="74"/>
        <v>5</v>
      </c>
    </row>
    <row r="455" spans="1:13" x14ac:dyDescent="0.25">
      <c r="A455" s="133">
        <v>45514</v>
      </c>
      <c r="B455" s="51" t="s">
        <v>58</v>
      </c>
      <c r="C455" s="135">
        <v>0.77083333333333337</v>
      </c>
      <c r="D455" s="135">
        <v>4.1666666666666664E-2</v>
      </c>
      <c r="E455" s="53">
        <f t="shared" si="72"/>
        <v>5.9999999999999982</v>
      </c>
      <c r="F455" s="51">
        <v>0.5</v>
      </c>
      <c r="H455" s="53">
        <f t="shared" si="73"/>
        <v>5.9999999999999982</v>
      </c>
      <c r="M455" s="51">
        <f t="shared" si="74"/>
        <v>5.9999999999999982</v>
      </c>
    </row>
    <row r="456" spans="1:13" x14ac:dyDescent="0.25">
      <c r="A456" s="133">
        <v>45514</v>
      </c>
      <c r="B456" s="51" t="s">
        <v>49</v>
      </c>
      <c r="C456" s="135">
        <v>0.27083333333333331</v>
      </c>
      <c r="D456" s="135">
        <v>0.52083333333333337</v>
      </c>
      <c r="E456" s="53">
        <f t="shared" si="72"/>
        <v>5.5000000000000018</v>
      </c>
      <c r="F456" s="51">
        <v>0.5</v>
      </c>
      <c r="H456" s="53">
        <f t="shared" si="73"/>
        <v>5.5000000000000018</v>
      </c>
      <c r="M456" s="51">
        <f t="shared" si="74"/>
        <v>5.5000000000000018</v>
      </c>
    </row>
    <row r="457" spans="1:13" x14ac:dyDescent="0.25">
      <c r="A457" s="133">
        <v>45514</v>
      </c>
      <c r="B457" s="51" t="s">
        <v>46</v>
      </c>
      <c r="C457" s="135">
        <v>0.47916666666666669</v>
      </c>
      <c r="D457" s="135">
        <v>0.77083333333333337</v>
      </c>
      <c r="E457" s="53">
        <f t="shared" si="72"/>
        <v>6.5</v>
      </c>
      <c r="F457" s="51">
        <v>0.5</v>
      </c>
      <c r="H457" s="53">
        <f t="shared" si="73"/>
        <v>6.5</v>
      </c>
      <c r="M457" s="51">
        <f t="shared" si="74"/>
        <v>6.5</v>
      </c>
    </row>
    <row r="458" spans="1:13" x14ac:dyDescent="0.25">
      <c r="A458" s="133">
        <v>45514</v>
      </c>
      <c r="B458" s="51" t="s">
        <v>58</v>
      </c>
      <c r="C458" s="135">
        <v>0.54166666666666663</v>
      </c>
      <c r="D458" s="135">
        <v>0.77083333333333337</v>
      </c>
      <c r="E458" s="53">
        <f t="shared" si="72"/>
        <v>5.0000000000000018</v>
      </c>
      <c r="F458" s="51">
        <v>0.5</v>
      </c>
      <c r="H458" s="53">
        <f t="shared" si="73"/>
        <v>5.0000000000000018</v>
      </c>
      <c r="M458" s="51">
        <f t="shared" si="74"/>
        <v>5.0000000000000018</v>
      </c>
    </row>
    <row r="459" spans="1:13" x14ac:dyDescent="0.25">
      <c r="A459" s="133">
        <v>45516</v>
      </c>
      <c r="B459" s="51" t="s">
        <v>56</v>
      </c>
      <c r="C459" s="135">
        <v>0.33333333333333331</v>
      </c>
      <c r="D459" s="135">
        <v>0.58333333333333337</v>
      </c>
      <c r="E459" s="53">
        <f t="shared" si="72"/>
        <v>5.5000000000000018</v>
      </c>
      <c r="F459" s="51">
        <v>0.5</v>
      </c>
      <c r="H459" s="53"/>
      <c r="J459" s="53">
        <f t="shared" ref="J459:J461" si="75">IF(WEEKDAY(A459, 2)&lt;6, E459-2, E459)</f>
        <v>3.5000000000000018</v>
      </c>
      <c r="M459" s="51">
        <f t="shared" si="74"/>
        <v>3.5000000000000018</v>
      </c>
    </row>
    <row r="460" spans="1:13" x14ac:dyDescent="0.25">
      <c r="A460" s="133">
        <v>45517</v>
      </c>
      <c r="B460" s="51" t="s">
        <v>56</v>
      </c>
      <c r="C460" s="135">
        <v>0.33333333333333331</v>
      </c>
      <c r="D460" s="135">
        <v>0.58333333333333337</v>
      </c>
      <c r="E460" s="53">
        <f t="shared" si="72"/>
        <v>5.5000000000000018</v>
      </c>
      <c r="F460" s="51">
        <v>0.5</v>
      </c>
      <c r="H460" s="53"/>
      <c r="J460" s="53">
        <f t="shared" si="75"/>
        <v>3.5000000000000018</v>
      </c>
      <c r="M460" s="51">
        <f t="shared" si="74"/>
        <v>3.5000000000000018</v>
      </c>
    </row>
    <row r="461" spans="1:13" x14ac:dyDescent="0.25">
      <c r="A461" s="133">
        <v>45518</v>
      </c>
      <c r="B461" s="51" t="s">
        <v>56</v>
      </c>
      <c r="C461" s="135">
        <v>0.33333333333333331</v>
      </c>
      <c r="D461" s="135">
        <v>0.58333333333333337</v>
      </c>
      <c r="E461" s="53">
        <f t="shared" si="72"/>
        <v>5.5000000000000018</v>
      </c>
      <c r="F461" s="51">
        <v>0.5</v>
      </c>
      <c r="H461" s="53"/>
      <c r="J461" s="53">
        <f t="shared" si="75"/>
        <v>3.5000000000000018</v>
      </c>
      <c r="M461" s="51">
        <f t="shared" si="74"/>
        <v>3.5000000000000018</v>
      </c>
    </row>
    <row r="462" spans="1:13" x14ac:dyDescent="0.25">
      <c r="A462" s="133">
        <v>45518</v>
      </c>
      <c r="B462" s="51" t="s">
        <v>49</v>
      </c>
      <c r="C462" s="135">
        <v>0.66666666666666663</v>
      </c>
      <c r="D462" s="135">
        <v>0.89583333333333337</v>
      </c>
      <c r="E462" s="53">
        <f t="shared" si="72"/>
        <v>5.0000000000000018</v>
      </c>
      <c r="F462" s="51">
        <v>0.5</v>
      </c>
      <c r="H462" s="53">
        <f t="shared" si="73"/>
        <v>7.0000000000000018</v>
      </c>
      <c r="M462" s="51">
        <f t="shared" si="74"/>
        <v>7.0000000000000018</v>
      </c>
    </row>
    <row r="463" spans="1:13" x14ac:dyDescent="0.25">
      <c r="A463" s="133">
        <v>45519</v>
      </c>
      <c r="B463" s="51" t="s">
        <v>56</v>
      </c>
      <c r="C463" s="135">
        <v>0.77083333333333337</v>
      </c>
      <c r="D463" s="135">
        <v>0.95833333333333337</v>
      </c>
      <c r="E463" s="53">
        <f t="shared" si="72"/>
        <v>4.5</v>
      </c>
      <c r="H463" s="53"/>
      <c r="J463" s="53">
        <f t="shared" ref="J463:J464" si="76">IF(WEEKDAY(A463, 2)&lt;6, E463-2, E463)</f>
        <v>2.5</v>
      </c>
      <c r="M463" s="51">
        <f t="shared" si="74"/>
        <v>2.5</v>
      </c>
    </row>
    <row r="464" spans="1:13" x14ac:dyDescent="0.25">
      <c r="A464" s="133">
        <v>45519</v>
      </c>
      <c r="B464" s="51" t="s">
        <v>56</v>
      </c>
      <c r="C464" s="135">
        <v>0.33333333333333331</v>
      </c>
      <c r="D464" s="135">
        <v>0.58333333333333337</v>
      </c>
      <c r="E464" s="53">
        <f t="shared" si="72"/>
        <v>5.5000000000000018</v>
      </c>
      <c r="F464" s="51">
        <v>0.5</v>
      </c>
      <c r="H464" s="53"/>
      <c r="J464" s="53">
        <f t="shared" si="76"/>
        <v>3.5000000000000018</v>
      </c>
      <c r="M464" s="51">
        <f t="shared" si="74"/>
        <v>3.5000000000000018</v>
      </c>
    </row>
    <row r="465" spans="1:13" x14ac:dyDescent="0.25">
      <c r="A465" s="133">
        <v>45520</v>
      </c>
      <c r="B465" s="51" t="s">
        <v>53</v>
      </c>
      <c r="C465" s="135">
        <v>0.6875</v>
      </c>
      <c r="D465" s="135">
        <v>0.95833333333333337</v>
      </c>
      <c r="E465" s="53">
        <f t="shared" si="72"/>
        <v>6.0000000000000009</v>
      </c>
      <c r="F465" s="51">
        <v>0.5</v>
      </c>
      <c r="H465" s="53">
        <f t="shared" si="73"/>
        <v>8</v>
      </c>
      <c r="M465" s="51">
        <f t="shared" si="74"/>
        <v>8</v>
      </c>
    </row>
    <row r="466" spans="1:13" x14ac:dyDescent="0.25">
      <c r="A466" s="133">
        <v>45520</v>
      </c>
      <c r="B466" s="51" t="s">
        <v>44</v>
      </c>
      <c r="C466" s="135">
        <v>0.33333333333333331</v>
      </c>
      <c r="D466" s="135">
        <v>0.66666666666666663</v>
      </c>
      <c r="E466" s="53">
        <f t="shared" si="72"/>
        <v>7.5</v>
      </c>
      <c r="F466" s="51">
        <v>0.5</v>
      </c>
      <c r="H466" s="53">
        <f t="shared" si="73"/>
        <v>9.5</v>
      </c>
      <c r="M466" s="51">
        <f t="shared" si="74"/>
        <v>9.5</v>
      </c>
    </row>
    <row r="467" spans="1:13" x14ac:dyDescent="0.25">
      <c r="A467" s="133">
        <v>45520</v>
      </c>
      <c r="B467" s="51" t="s">
        <v>56</v>
      </c>
      <c r="C467" s="135">
        <v>0.33333333333333331</v>
      </c>
      <c r="D467" s="135">
        <v>0.58333333333333337</v>
      </c>
      <c r="E467" s="53">
        <f t="shared" si="72"/>
        <v>5.5000000000000018</v>
      </c>
      <c r="F467" s="51">
        <v>0.5</v>
      </c>
      <c r="H467" s="53"/>
      <c r="J467" s="53">
        <f>IF(WEEKDAY(A467, 2)&lt;6, E467-2, E467)</f>
        <v>3.5000000000000018</v>
      </c>
      <c r="M467" s="51">
        <f t="shared" si="74"/>
        <v>3.5000000000000018</v>
      </c>
    </row>
    <row r="468" spans="1:13" x14ac:dyDescent="0.25">
      <c r="A468" s="133">
        <v>45521</v>
      </c>
      <c r="B468" s="51" t="s">
        <v>48</v>
      </c>
      <c r="C468" s="135">
        <v>0.41666666666666669</v>
      </c>
      <c r="D468" s="135">
        <v>0.70833333333333337</v>
      </c>
      <c r="E468" s="53">
        <f t="shared" si="72"/>
        <v>6.5</v>
      </c>
      <c r="F468" s="51">
        <v>0.5</v>
      </c>
      <c r="H468" s="53">
        <f t="shared" si="73"/>
        <v>6.5</v>
      </c>
      <c r="M468" s="51">
        <f t="shared" si="74"/>
        <v>6.5</v>
      </c>
    </row>
    <row r="469" spans="1:13" x14ac:dyDescent="0.25">
      <c r="A469" s="133">
        <v>45521</v>
      </c>
      <c r="B469" s="51" t="s">
        <v>49</v>
      </c>
      <c r="C469" s="135">
        <v>0.27083333333333331</v>
      </c>
      <c r="D469" s="135">
        <v>0.52083333333333337</v>
      </c>
      <c r="E469" s="53">
        <f t="shared" si="72"/>
        <v>5.5000000000000018</v>
      </c>
      <c r="F469" s="51">
        <v>0.5</v>
      </c>
      <c r="H469" s="53">
        <f t="shared" si="73"/>
        <v>5.5000000000000018</v>
      </c>
      <c r="M469" s="51">
        <f t="shared" si="74"/>
        <v>5.5000000000000018</v>
      </c>
    </row>
    <row r="470" spans="1:13" x14ac:dyDescent="0.25">
      <c r="A470" s="133">
        <v>45521</v>
      </c>
      <c r="B470" s="51" t="s">
        <v>56</v>
      </c>
      <c r="C470" s="135">
        <v>0.33333333333333331</v>
      </c>
      <c r="D470" s="141">
        <v>0.52083333333333337</v>
      </c>
      <c r="E470" s="53">
        <f t="shared" si="72"/>
        <v>4.5000000000000018</v>
      </c>
      <c r="H470" s="53"/>
      <c r="J470" s="53">
        <f>IF(WEEKDAY(A470, 2)&lt;6, E470-2, E470)</f>
        <v>4.5000000000000018</v>
      </c>
      <c r="M470" s="51">
        <f t="shared" si="74"/>
        <v>4.5000000000000018</v>
      </c>
    </row>
    <row r="471" spans="1:13" x14ac:dyDescent="0.25">
      <c r="A471" s="133">
        <v>45521</v>
      </c>
      <c r="B471" s="51" t="s">
        <v>58</v>
      </c>
      <c r="C471" s="135">
        <v>0.52083333333333337</v>
      </c>
      <c r="D471" s="141">
        <v>0.8125</v>
      </c>
      <c r="E471" s="53">
        <f t="shared" si="72"/>
        <v>6.4999999999999991</v>
      </c>
      <c r="F471" s="51">
        <v>0.5</v>
      </c>
      <c r="H471" s="53">
        <f t="shared" si="73"/>
        <v>6.4999999999999991</v>
      </c>
      <c r="M471" s="51">
        <f t="shared" si="74"/>
        <v>6.4999999999999991</v>
      </c>
    </row>
    <row r="472" spans="1:13" x14ac:dyDescent="0.25">
      <c r="A472" s="133">
        <v>45521</v>
      </c>
      <c r="B472" s="51" t="s">
        <v>46</v>
      </c>
      <c r="C472" s="135">
        <v>0.5</v>
      </c>
      <c r="D472" s="141">
        <v>0.79166666666666663</v>
      </c>
      <c r="E472" s="53">
        <f t="shared" si="72"/>
        <v>6.4999999999999991</v>
      </c>
      <c r="F472" s="51">
        <v>0.5</v>
      </c>
      <c r="H472" s="53">
        <f t="shared" si="73"/>
        <v>6.4999999999999991</v>
      </c>
      <c r="M472" s="51">
        <f t="shared" si="74"/>
        <v>6.4999999999999991</v>
      </c>
    </row>
    <row r="473" spans="1:13" x14ac:dyDescent="0.25">
      <c r="A473" s="133">
        <v>45522</v>
      </c>
      <c r="B473" s="51" t="s">
        <v>58</v>
      </c>
      <c r="C473" s="135">
        <v>0.39583333333333331</v>
      </c>
      <c r="D473" s="135">
        <v>0.6875</v>
      </c>
      <c r="E473" s="53">
        <f t="shared" si="72"/>
        <v>6.5</v>
      </c>
      <c r="F473" s="51">
        <v>0.5</v>
      </c>
      <c r="H473" s="53">
        <f t="shared" si="73"/>
        <v>6.5</v>
      </c>
      <c r="M473" s="51">
        <f t="shared" si="74"/>
        <v>6.5</v>
      </c>
    </row>
    <row r="474" spans="1:13" x14ac:dyDescent="0.25">
      <c r="A474" s="133">
        <v>45522</v>
      </c>
      <c r="B474" s="51" t="s">
        <v>48</v>
      </c>
      <c r="C474" s="135">
        <v>0.41666666666666669</v>
      </c>
      <c r="D474" s="135">
        <v>0.6875</v>
      </c>
      <c r="E474" s="53">
        <f t="shared" si="72"/>
        <v>6</v>
      </c>
      <c r="F474" s="51">
        <v>0.5</v>
      </c>
      <c r="H474" s="53">
        <f t="shared" si="73"/>
        <v>6</v>
      </c>
      <c r="M474" s="51">
        <f t="shared" si="74"/>
        <v>6</v>
      </c>
    </row>
    <row r="475" spans="1:13" x14ac:dyDescent="0.25">
      <c r="A475" s="133">
        <v>45522</v>
      </c>
      <c r="B475" s="51" t="s">
        <v>53</v>
      </c>
      <c r="C475" s="135">
        <v>0.54166666666666663</v>
      </c>
      <c r="D475" s="135">
        <v>0.79166666666666663</v>
      </c>
      <c r="E475" s="53">
        <f t="shared" si="72"/>
        <v>5.5</v>
      </c>
      <c r="F475" s="51">
        <v>0.5</v>
      </c>
      <c r="H475" s="53">
        <f t="shared" si="73"/>
        <v>5.5</v>
      </c>
      <c r="M475" s="51">
        <f t="shared" si="74"/>
        <v>5.5</v>
      </c>
    </row>
    <row r="476" spans="1:13" x14ac:dyDescent="0.25">
      <c r="A476" s="133">
        <v>45522</v>
      </c>
      <c r="B476" s="51" t="s">
        <v>53</v>
      </c>
      <c r="C476" s="135">
        <v>0.33333333333333331</v>
      </c>
      <c r="D476" s="135">
        <v>0.54166666666666663</v>
      </c>
      <c r="E476" s="53">
        <f t="shared" si="72"/>
        <v>5</v>
      </c>
      <c r="H476" s="53">
        <f t="shared" si="73"/>
        <v>5</v>
      </c>
      <c r="M476" s="51">
        <f t="shared" si="74"/>
        <v>5</v>
      </c>
    </row>
    <row r="477" spans="1:13" x14ac:dyDescent="0.25">
      <c r="A477" s="133">
        <v>45523</v>
      </c>
      <c r="B477" s="51" t="s">
        <v>56</v>
      </c>
      <c r="C477" s="135">
        <v>0.33333333333333331</v>
      </c>
      <c r="D477" s="135">
        <v>0.58333333333333337</v>
      </c>
      <c r="E477" s="53">
        <f t="shared" si="72"/>
        <v>5.5000000000000018</v>
      </c>
      <c r="F477" s="51">
        <v>0.5</v>
      </c>
      <c r="H477" s="53"/>
      <c r="J477" s="53">
        <f t="shared" ref="J477:J478" si="77">IF(WEEKDAY(A477, 2)&lt;6, E477-2, E477)</f>
        <v>3.5000000000000018</v>
      </c>
      <c r="M477" s="51">
        <f t="shared" si="74"/>
        <v>3.5000000000000018</v>
      </c>
    </row>
    <row r="478" spans="1:13" x14ac:dyDescent="0.25">
      <c r="A478" s="133">
        <v>45524</v>
      </c>
      <c r="B478" s="51" t="s">
        <v>56</v>
      </c>
      <c r="C478" s="135">
        <v>0.33333333333333331</v>
      </c>
      <c r="D478" s="135">
        <v>0.58333333333333337</v>
      </c>
      <c r="E478" s="53">
        <f t="shared" si="72"/>
        <v>5.5000000000000018</v>
      </c>
      <c r="F478" s="51">
        <v>0.5</v>
      </c>
      <c r="H478" s="53"/>
      <c r="J478" s="53">
        <f t="shared" si="77"/>
        <v>3.5000000000000018</v>
      </c>
      <c r="M478" s="51">
        <f t="shared" si="74"/>
        <v>3.5000000000000018</v>
      </c>
    </row>
    <row r="479" spans="1:13" x14ac:dyDescent="0.25">
      <c r="A479" s="133">
        <v>45524</v>
      </c>
      <c r="B479" s="51" t="s">
        <v>51</v>
      </c>
      <c r="C479" s="135">
        <v>0.58333333333333337</v>
      </c>
      <c r="D479" s="135">
        <v>0.83333333333333337</v>
      </c>
      <c r="E479" s="53">
        <f t="shared" si="72"/>
        <v>5.5</v>
      </c>
      <c r="F479" s="51">
        <v>0.5</v>
      </c>
      <c r="H479" s="53">
        <f t="shared" si="73"/>
        <v>7.5</v>
      </c>
      <c r="M479" s="51">
        <f t="shared" si="74"/>
        <v>7.5</v>
      </c>
    </row>
    <row r="480" spans="1:13" x14ac:dyDescent="0.25">
      <c r="A480" s="133">
        <v>45524</v>
      </c>
      <c r="B480" s="51" t="s">
        <v>51</v>
      </c>
      <c r="C480" s="135">
        <v>0.83333333333333337</v>
      </c>
      <c r="D480" s="135">
        <v>0</v>
      </c>
      <c r="E480" s="53">
        <f t="shared" si="72"/>
        <v>3.9999999999999991</v>
      </c>
      <c r="H480" s="53">
        <f t="shared" si="73"/>
        <v>5.9999999999999991</v>
      </c>
      <c r="M480" s="51">
        <f t="shared" si="74"/>
        <v>5.9999999999999991</v>
      </c>
    </row>
    <row r="481" spans="1:13" x14ac:dyDescent="0.25">
      <c r="A481" s="133">
        <v>45525</v>
      </c>
      <c r="B481" s="51" t="s">
        <v>56</v>
      </c>
      <c r="C481" s="135">
        <v>0.33333333333333331</v>
      </c>
      <c r="D481" s="135">
        <v>0.58333333333333337</v>
      </c>
      <c r="E481" s="53">
        <f t="shared" si="72"/>
        <v>5.5000000000000018</v>
      </c>
      <c r="F481" s="51">
        <v>0.5</v>
      </c>
      <c r="H481" s="53"/>
      <c r="J481" s="53">
        <f>IF(WEEKDAY(A481, 2)&lt;6, E481-2, E481)</f>
        <v>3.5000000000000018</v>
      </c>
      <c r="M481" s="51">
        <f t="shared" si="74"/>
        <v>3.5000000000000018</v>
      </c>
    </row>
    <row r="482" spans="1:13" x14ac:dyDescent="0.25">
      <c r="A482" s="133">
        <v>45525</v>
      </c>
      <c r="B482" s="51" t="s">
        <v>49</v>
      </c>
      <c r="C482" s="135">
        <v>0.66666666666666663</v>
      </c>
      <c r="D482" s="135">
        <v>0.89583333333333337</v>
      </c>
      <c r="E482" s="53">
        <f t="shared" si="72"/>
        <v>5.0000000000000018</v>
      </c>
      <c r="F482" s="51">
        <v>0.5</v>
      </c>
      <c r="H482" s="53">
        <f t="shared" si="73"/>
        <v>7.0000000000000018</v>
      </c>
      <c r="M482" s="51">
        <f t="shared" si="74"/>
        <v>7.0000000000000018</v>
      </c>
    </row>
    <row r="483" spans="1:13" x14ac:dyDescent="0.25">
      <c r="A483" s="133">
        <v>45526</v>
      </c>
      <c r="B483" s="51" t="s">
        <v>53</v>
      </c>
      <c r="C483" s="135">
        <v>0.54166666666666663</v>
      </c>
      <c r="D483" s="135">
        <v>0.77083333333333337</v>
      </c>
      <c r="E483" s="53">
        <f t="shared" si="72"/>
        <v>5.0000000000000018</v>
      </c>
      <c r="F483" s="51">
        <v>0.5</v>
      </c>
      <c r="H483" s="53">
        <f t="shared" si="73"/>
        <v>7.0000000000000018</v>
      </c>
      <c r="M483" s="51">
        <f t="shared" si="74"/>
        <v>7.0000000000000018</v>
      </c>
    </row>
    <row r="484" spans="1:13" x14ac:dyDescent="0.25">
      <c r="A484" s="133">
        <v>45526</v>
      </c>
      <c r="B484" s="51" t="s">
        <v>53</v>
      </c>
      <c r="C484" s="135">
        <v>0.77083333333333337</v>
      </c>
      <c r="D484" s="135">
        <v>0.97916666666666663</v>
      </c>
      <c r="E484" s="53">
        <f t="shared" si="72"/>
        <v>4.9999999999999982</v>
      </c>
      <c r="H484" s="53">
        <f t="shared" si="73"/>
        <v>6.9999999999999982</v>
      </c>
      <c r="M484" s="51">
        <f t="shared" si="74"/>
        <v>6.9999999999999982</v>
      </c>
    </row>
    <row r="485" spans="1:13" x14ac:dyDescent="0.25">
      <c r="A485" s="133">
        <v>45526</v>
      </c>
      <c r="B485" s="51" t="s">
        <v>56</v>
      </c>
      <c r="C485" s="135">
        <v>0.33333333333333331</v>
      </c>
      <c r="D485" s="135">
        <v>0.58333333333333337</v>
      </c>
      <c r="E485" s="53">
        <f t="shared" si="72"/>
        <v>5.5000000000000018</v>
      </c>
      <c r="F485" s="51">
        <v>0.5</v>
      </c>
      <c r="H485" s="53"/>
      <c r="J485" s="53">
        <f t="shared" ref="J485:J487" si="78">IF(WEEKDAY(A485, 2)&lt;6, E485-2, E485)</f>
        <v>3.5000000000000018</v>
      </c>
      <c r="M485" s="51">
        <f t="shared" si="74"/>
        <v>3.5000000000000018</v>
      </c>
    </row>
    <row r="486" spans="1:13" x14ac:dyDescent="0.25">
      <c r="A486" s="133">
        <v>45526</v>
      </c>
      <c r="B486" s="51" t="s">
        <v>56</v>
      </c>
      <c r="C486" s="135">
        <v>0.70833333333333337</v>
      </c>
      <c r="D486" s="135">
        <v>0.95833333333333337</v>
      </c>
      <c r="E486" s="53">
        <f t="shared" si="72"/>
        <v>5.5</v>
      </c>
      <c r="F486" s="51">
        <v>0.5</v>
      </c>
      <c r="H486" s="53"/>
      <c r="J486" s="53">
        <f t="shared" si="78"/>
        <v>3.5</v>
      </c>
      <c r="M486" s="51">
        <f t="shared" si="74"/>
        <v>3.5</v>
      </c>
    </row>
    <row r="487" spans="1:13" x14ac:dyDescent="0.25">
      <c r="A487" s="133">
        <v>45527</v>
      </c>
      <c r="B487" s="51" t="s">
        <v>56</v>
      </c>
      <c r="C487" s="135">
        <v>0.33333333333333331</v>
      </c>
      <c r="D487" s="135">
        <v>0.58333333333333337</v>
      </c>
      <c r="E487" s="53">
        <f t="shared" si="72"/>
        <v>5.5000000000000018</v>
      </c>
      <c r="F487" s="51">
        <v>0.5</v>
      </c>
      <c r="H487" s="53"/>
      <c r="J487" s="53">
        <f t="shared" si="78"/>
        <v>3.5000000000000018</v>
      </c>
      <c r="M487" s="51">
        <f t="shared" si="74"/>
        <v>3.5000000000000018</v>
      </c>
    </row>
    <row r="488" spans="1:13" x14ac:dyDescent="0.25">
      <c r="A488" s="133">
        <v>45528</v>
      </c>
      <c r="B488" s="51" t="s">
        <v>49</v>
      </c>
      <c r="C488" s="135">
        <v>0.27083333333333331</v>
      </c>
      <c r="D488" s="135">
        <v>0.52083333333333337</v>
      </c>
      <c r="E488" s="53">
        <f t="shared" si="72"/>
        <v>5.5000000000000018</v>
      </c>
      <c r="F488" s="51">
        <v>0.5</v>
      </c>
      <c r="H488" s="53">
        <f t="shared" si="73"/>
        <v>5.5000000000000018</v>
      </c>
      <c r="M488" s="51">
        <f t="shared" si="74"/>
        <v>5.5000000000000018</v>
      </c>
    </row>
    <row r="489" spans="1:13" x14ac:dyDescent="0.25">
      <c r="A489" s="133">
        <v>45528</v>
      </c>
      <c r="B489" s="51" t="s">
        <v>53</v>
      </c>
      <c r="C489" s="135">
        <v>0.5625</v>
      </c>
      <c r="D489" s="135">
        <v>0.8125</v>
      </c>
      <c r="E489" s="53">
        <f t="shared" si="72"/>
        <v>5.5</v>
      </c>
      <c r="F489" s="51">
        <v>0.5</v>
      </c>
      <c r="H489" s="53">
        <f t="shared" si="73"/>
        <v>5.5</v>
      </c>
      <c r="M489" s="51">
        <f t="shared" si="74"/>
        <v>5.5</v>
      </c>
    </row>
    <row r="490" spans="1:13" x14ac:dyDescent="0.25">
      <c r="A490" s="133">
        <v>45528</v>
      </c>
      <c r="B490" s="51" t="s">
        <v>56</v>
      </c>
      <c r="C490" s="135">
        <v>0.33333333333333331</v>
      </c>
      <c r="D490" s="135">
        <v>0.625</v>
      </c>
      <c r="E490" s="53">
        <f t="shared" si="72"/>
        <v>6.5</v>
      </c>
      <c r="F490" s="51">
        <v>0.5</v>
      </c>
      <c r="H490" s="53"/>
      <c r="J490" s="53">
        <f t="shared" ref="J490:J491" si="79">IF(WEEKDAY(A490, 2)&lt;6, E490-2, E490)</f>
        <v>6.5</v>
      </c>
      <c r="M490" s="51">
        <f t="shared" si="74"/>
        <v>6.5</v>
      </c>
    </row>
    <row r="491" spans="1:13" x14ac:dyDescent="0.25">
      <c r="A491" s="133">
        <v>45529</v>
      </c>
      <c r="B491" s="51" t="s">
        <v>56</v>
      </c>
      <c r="C491" s="135">
        <v>0.5625</v>
      </c>
      <c r="D491" s="135">
        <v>0.79166666666666663</v>
      </c>
      <c r="E491" s="53">
        <f t="shared" si="72"/>
        <v>4.9999999999999991</v>
      </c>
      <c r="F491" s="51">
        <v>0.5</v>
      </c>
      <c r="H491" s="53"/>
      <c r="J491" s="53">
        <f t="shared" si="79"/>
        <v>4.9999999999999991</v>
      </c>
      <c r="M491" s="51">
        <f t="shared" si="74"/>
        <v>4.9999999999999991</v>
      </c>
    </row>
    <row r="492" spans="1:13" x14ac:dyDescent="0.25">
      <c r="A492" s="133">
        <v>45529</v>
      </c>
      <c r="B492" s="51" t="s">
        <v>58</v>
      </c>
      <c r="C492" s="135">
        <v>0.33333333333333331</v>
      </c>
      <c r="D492" s="135">
        <v>0.5625</v>
      </c>
      <c r="E492" s="53">
        <f t="shared" si="72"/>
        <v>5</v>
      </c>
      <c r="F492" s="51">
        <v>0.5</v>
      </c>
      <c r="H492" s="53">
        <f t="shared" si="73"/>
        <v>5</v>
      </c>
      <c r="M492" s="51">
        <f t="shared" si="74"/>
        <v>5</v>
      </c>
    </row>
    <row r="493" spans="1:13" x14ac:dyDescent="0.25">
      <c r="A493" s="133">
        <v>45529</v>
      </c>
      <c r="B493" s="51" t="s">
        <v>58</v>
      </c>
      <c r="C493" s="135">
        <v>0.79166666666666663</v>
      </c>
      <c r="D493" s="135">
        <v>0</v>
      </c>
      <c r="E493" s="53">
        <f t="shared" si="72"/>
        <v>5.0000000000000009</v>
      </c>
      <c r="H493" s="53">
        <f t="shared" si="73"/>
        <v>5.0000000000000009</v>
      </c>
      <c r="M493" s="51">
        <f t="shared" si="74"/>
        <v>5.0000000000000009</v>
      </c>
    </row>
    <row r="494" spans="1:13" x14ac:dyDescent="0.25">
      <c r="A494" s="133">
        <v>45530</v>
      </c>
      <c r="B494" s="51" t="s">
        <v>56</v>
      </c>
      <c r="C494" s="135">
        <v>0.33333333333333331</v>
      </c>
      <c r="D494" s="135">
        <v>0.58333333333333337</v>
      </c>
      <c r="E494" s="53">
        <f t="shared" si="72"/>
        <v>5.5000000000000018</v>
      </c>
      <c r="F494" s="51">
        <v>0.5</v>
      </c>
      <c r="H494" s="53"/>
      <c r="J494" s="53">
        <f t="shared" ref="J494:J497" si="80">IF(WEEKDAY(A494, 2)&lt;6, E494-2, E494)</f>
        <v>3.5000000000000018</v>
      </c>
      <c r="M494" s="51">
        <f t="shared" si="74"/>
        <v>3.5000000000000018</v>
      </c>
    </row>
    <row r="495" spans="1:13" x14ac:dyDescent="0.25">
      <c r="A495" s="133">
        <v>45530</v>
      </c>
      <c r="B495" s="51" t="s">
        <v>56</v>
      </c>
      <c r="C495" s="135">
        <v>0.66666666666666663</v>
      </c>
      <c r="D495" s="135">
        <v>0.875</v>
      </c>
      <c r="E495" s="53">
        <f t="shared" si="72"/>
        <v>5.0000000000000009</v>
      </c>
      <c r="H495" s="53"/>
      <c r="J495" s="53">
        <f t="shared" si="80"/>
        <v>3.0000000000000009</v>
      </c>
      <c r="M495" s="51">
        <f t="shared" si="74"/>
        <v>3.0000000000000009</v>
      </c>
    </row>
    <row r="496" spans="1:13" x14ac:dyDescent="0.25">
      <c r="A496" s="133">
        <v>45531</v>
      </c>
      <c r="B496" s="51" t="s">
        <v>56</v>
      </c>
      <c r="C496" s="135">
        <v>0.33333333333333331</v>
      </c>
      <c r="D496" s="135">
        <v>0.58333333333333337</v>
      </c>
      <c r="E496" s="53">
        <f t="shared" si="72"/>
        <v>5.5000000000000018</v>
      </c>
      <c r="F496" s="51">
        <v>0.5</v>
      </c>
      <c r="H496" s="53"/>
      <c r="J496" s="53">
        <f t="shared" si="80"/>
        <v>3.5000000000000018</v>
      </c>
      <c r="M496" s="51">
        <f t="shared" si="74"/>
        <v>3.5000000000000018</v>
      </c>
    </row>
    <row r="497" spans="1:13" x14ac:dyDescent="0.25">
      <c r="A497" s="133">
        <v>45532</v>
      </c>
      <c r="B497" s="51" t="s">
        <v>56</v>
      </c>
      <c r="C497" s="135">
        <v>0.33333333333333331</v>
      </c>
      <c r="D497" s="135">
        <v>0.58333333333333337</v>
      </c>
      <c r="E497" s="53">
        <f t="shared" si="72"/>
        <v>5.5000000000000018</v>
      </c>
      <c r="F497" s="51">
        <v>0.5</v>
      </c>
      <c r="H497" s="53"/>
      <c r="J497" s="53">
        <f t="shared" si="80"/>
        <v>3.5000000000000018</v>
      </c>
      <c r="M497" s="51">
        <f t="shared" si="74"/>
        <v>3.5000000000000018</v>
      </c>
    </row>
    <row r="498" spans="1:13" x14ac:dyDescent="0.25">
      <c r="A498" s="133">
        <v>45532</v>
      </c>
      <c r="B498" s="51" t="s">
        <v>49</v>
      </c>
      <c r="C498" s="141">
        <v>0.66666666666666663</v>
      </c>
      <c r="D498" s="135">
        <v>0.89583333333333337</v>
      </c>
      <c r="E498" s="53">
        <f t="shared" si="72"/>
        <v>5.0000000000000018</v>
      </c>
      <c r="F498" s="51">
        <v>0.5</v>
      </c>
      <c r="H498" s="53">
        <f t="shared" si="73"/>
        <v>7.0000000000000018</v>
      </c>
      <c r="M498" s="51">
        <f t="shared" si="74"/>
        <v>7.0000000000000018</v>
      </c>
    </row>
    <row r="499" spans="1:13" x14ac:dyDescent="0.25">
      <c r="A499" s="133">
        <v>45533</v>
      </c>
      <c r="B499" s="51" t="s">
        <v>56</v>
      </c>
      <c r="C499" s="135">
        <v>0.33333333333333331</v>
      </c>
      <c r="D499" s="135">
        <v>0.58333333333333337</v>
      </c>
      <c r="E499" s="53">
        <f t="shared" si="72"/>
        <v>5.5000000000000018</v>
      </c>
      <c r="F499" s="51">
        <v>0.5</v>
      </c>
      <c r="H499" s="53"/>
      <c r="J499" s="53">
        <f t="shared" ref="J499:J502" si="81">IF(WEEKDAY(A499, 2)&lt;6, E499-2, E499)</f>
        <v>3.5000000000000018</v>
      </c>
      <c r="M499" s="51">
        <f t="shared" si="74"/>
        <v>3.5000000000000018</v>
      </c>
    </row>
    <row r="500" spans="1:13" x14ac:dyDescent="0.25">
      <c r="A500" s="133">
        <v>45533</v>
      </c>
      <c r="B500" s="51" t="s">
        <v>56</v>
      </c>
      <c r="C500" s="135">
        <v>0.77083333333333337</v>
      </c>
      <c r="D500" s="135">
        <v>0.95833333333333337</v>
      </c>
      <c r="E500" s="53">
        <f t="shared" si="72"/>
        <v>4.5</v>
      </c>
      <c r="H500" s="53"/>
      <c r="J500" s="53">
        <f t="shared" si="81"/>
        <v>2.5</v>
      </c>
      <c r="M500" s="51">
        <f t="shared" si="74"/>
        <v>2.5</v>
      </c>
    </row>
    <row r="501" spans="1:13" x14ac:dyDescent="0.25">
      <c r="A501" s="133">
        <v>45534</v>
      </c>
      <c r="B501" s="51" t="s">
        <v>56</v>
      </c>
      <c r="C501" s="135">
        <v>0.33333333333333331</v>
      </c>
      <c r="D501" s="135">
        <v>0.58333333333333337</v>
      </c>
      <c r="E501" s="53">
        <f t="shared" si="72"/>
        <v>5.5000000000000018</v>
      </c>
      <c r="F501" s="51">
        <v>0.5</v>
      </c>
      <c r="H501" s="53"/>
      <c r="J501" s="53">
        <f t="shared" si="81"/>
        <v>3.5000000000000018</v>
      </c>
      <c r="M501" s="51">
        <f t="shared" si="74"/>
        <v>3.5000000000000018</v>
      </c>
    </row>
    <row r="502" spans="1:13" x14ac:dyDescent="0.25">
      <c r="A502" s="133">
        <v>45535</v>
      </c>
      <c r="B502" s="51" t="s">
        <v>56</v>
      </c>
      <c r="C502" s="135">
        <v>0.33333333333333331</v>
      </c>
      <c r="D502" s="135">
        <v>0.54166666666666663</v>
      </c>
      <c r="E502" s="53">
        <f t="shared" si="72"/>
        <v>5</v>
      </c>
      <c r="H502" s="53"/>
      <c r="J502" s="53">
        <f t="shared" si="81"/>
        <v>5</v>
      </c>
      <c r="M502" s="51">
        <f t="shared" si="74"/>
        <v>5</v>
      </c>
    </row>
    <row r="503" spans="1:13" x14ac:dyDescent="0.25">
      <c r="A503" s="133">
        <v>45535</v>
      </c>
      <c r="B503" s="51" t="s">
        <v>53</v>
      </c>
      <c r="C503" s="135">
        <v>0.58333333333333337</v>
      </c>
      <c r="D503" s="135">
        <v>0.8125</v>
      </c>
      <c r="E503" s="53">
        <f t="shared" si="72"/>
        <v>4.9999999999999991</v>
      </c>
      <c r="F503" s="51">
        <v>0.5</v>
      </c>
      <c r="H503" s="53">
        <f t="shared" si="73"/>
        <v>4.9999999999999991</v>
      </c>
      <c r="M503" s="51">
        <f t="shared" si="74"/>
        <v>4.9999999999999991</v>
      </c>
    </row>
    <row r="504" spans="1:13" x14ac:dyDescent="0.25">
      <c r="A504" s="133">
        <v>45535</v>
      </c>
      <c r="B504" s="51" t="s">
        <v>58</v>
      </c>
      <c r="C504" s="135">
        <v>0.83333333333333337</v>
      </c>
      <c r="D504" s="135">
        <v>4.1666666666666664E-2</v>
      </c>
      <c r="E504" s="53">
        <f t="shared" si="72"/>
        <v>4.9999999999999982</v>
      </c>
      <c r="H504" s="53">
        <f t="shared" si="73"/>
        <v>4.9999999999999982</v>
      </c>
      <c r="M504" s="51">
        <f t="shared" si="74"/>
        <v>4.9999999999999982</v>
      </c>
    </row>
    <row r="505" spans="1:13" x14ac:dyDescent="0.25">
      <c r="A505" s="133">
        <v>45535</v>
      </c>
      <c r="B505" s="51" t="s">
        <v>58</v>
      </c>
      <c r="C505" s="135">
        <v>0.58333333333333337</v>
      </c>
      <c r="D505" s="135">
        <v>0.83333333333333337</v>
      </c>
      <c r="E505" s="53">
        <f t="shared" si="72"/>
        <v>5.5</v>
      </c>
      <c r="F505" s="51">
        <v>0.5</v>
      </c>
      <c r="H505" s="53">
        <f t="shared" si="73"/>
        <v>5.5</v>
      </c>
      <c r="M505" s="51">
        <f t="shared" si="74"/>
        <v>5.5</v>
      </c>
    </row>
    <row r="506" spans="1:13" x14ac:dyDescent="0.25">
      <c r="A506" s="133">
        <v>45535</v>
      </c>
      <c r="B506" s="51" t="s">
        <v>49</v>
      </c>
      <c r="C506" s="135">
        <v>0.33333333333333331</v>
      </c>
      <c r="D506" s="141">
        <v>0.52083333333333337</v>
      </c>
      <c r="E506" s="53">
        <f t="shared" si="72"/>
        <v>4.5000000000000018</v>
      </c>
      <c r="H506" s="53">
        <f t="shared" si="73"/>
        <v>4.5000000000000018</v>
      </c>
      <c r="M506" s="51">
        <f t="shared" si="74"/>
        <v>4.5000000000000018</v>
      </c>
    </row>
    <row r="507" spans="1:13" x14ac:dyDescent="0.25">
      <c r="A507" s="133">
        <v>45535</v>
      </c>
      <c r="B507" s="51" t="s">
        <v>53</v>
      </c>
      <c r="C507" s="135">
        <v>0.8125</v>
      </c>
      <c r="D507" s="135">
        <v>0</v>
      </c>
      <c r="E507" s="53">
        <f t="shared" si="72"/>
        <v>4.5</v>
      </c>
      <c r="H507" s="53">
        <f t="shared" si="73"/>
        <v>4.5</v>
      </c>
      <c r="M507" s="51">
        <f t="shared" si="74"/>
        <v>4.5</v>
      </c>
    </row>
    <row r="508" spans="1:13" x14ac:dyDescent="0.25">
      <c r="A508" s="133">
        <v>45538</v>
      </c>
      <c r="B508" s="51" t="s">
        <v>56</v>
      </c>
      <c r="C508" s="135">
        <v>0.33333333333333331</v>
      </c>
      <c r="D508" s="135">
        <v>0.58333333333333337</v>
      </c>
      <c r="E508" s="53">
        <f t="shared" si="72"/>
        <v>5.5000000000000018</v>
      </c>
      <c r="F508" s="51">
        <v>0.5</v>
      </c>
      <c r="H508" s="53"/>
      <c r="J508" s="53">
        <f>IF(WEEKDAY(A508, 2)&lt;6, E508-2, E508)</f>
        <v>3.5000000000000018</v>
      </c>
      <c r="M508" s="51">
        <f t="shared" si="74"/>
        <v>3.5000000000000018</v>
      </c>
    </row>
    <row r="509" spans="1:13" x14ac:dyDescent="0.25">
      <c r="A509" s="133">
        <v>45538</v>
      </c>
      <c r="B509" s="51" t="s">
        <v>49</v>
      </c>
      <c r="C509" s="135">
        <v>0.6875</v>
      </c>
      <c r="D509" s="135">
        <v>0.89583333333333337</v>
      </c>
      <c r="E509" s="53">
        <f t="shared" si="72"/>
        <v>4.5000000000000009</v>
      </c>
      <c r="F509" s="51">
        <v>0.5</v>
      </c>
      <c r="H509" s="53">
        <f t="shared" si="73"/>
        <v>6.5000000000000009</v>
      </c>
      <c r="M509" s="51">
        <f t="shared" si="74"/>
        <v>6.5000000000000009</v>
      </c>
    </row>
    <row r="510" spans="1:13" x14ac:dyDescent="0.25">
      <c r="A510" s="133">
        <v>45539</v>
      </c>
      <c r="B510" s="51" t="s">
        <v>56</v>
      </c>
      <c r="C510" s="135">
        <v>0.33333333333333331</v>
      </c>
      <c r="D510" s="135">
        <v>0.58333333333333337</v>
      </c>
      <c r="E510" s="53">
        <f t="shared" si="72"/>
        <v>5.5000000000000018</v>
      </c>
      <c r="F510" s="51">
        <v>0.5</v>
      </c>
      <c r="H510" s="53"/>
      <c r="J510" s="53">
        <f t="shared" ref="J510:J516" si="82">IF(WEEKDAY(A510, 2)&lt;6, E510-2, E510)</f>
        <v>3.5000000000000018</v>
      </c>
      <c r="M510" s="51">
        <f t="shared" si="74"/>
        <v>3.5000000000000018</v>
      </c>
    </row>
    <row r="511" spans="1:13" x14ac:dyDescent="0.25">
      <c r="A511" s="133">
        <v>45539</v>
      </c>
      <c r="B511" s="51" t="s">
        <v>56</v>
      </c>
      <c r="C511" s="135">
        <v>0.66666666666666663</v>
      </c>
      <c r="D511" s="135">
        <v>0.89583333333333337</v>
      </c>
      <c r="E511" s="53">
        <f t="shared" si="72"/>
        <v>5.5000000000000018</v>
      </c>
      <c r="H511" s="53"/>
      <c r="J511" s="53">
        <f t="shared" si="82"/>
        <v>3.5000000000000018</v>
      </c>
      <c r="M511" s="51">
        <f t="shared" si="74"/>
        <v>3.5000000000000018</v>
      </c>
    </row>
    <row r="512" spans="1:13" x14ac:dyDescent="0.25">
      <c r="A512" s="133">
        <v>45540</v>
      </c>
      <c r="B512" s="51" t="s">
        <v>56</v>
      </c>
      <c r="C512" s="135">
        <v>0.75</v>
      </c>
      <c r="D512" s="135">
        <v>0.95833333333333337</v>
      </c>
      <c r="E512" s="53">
        <f t="shared" si="72"/>
        <v>5.0000000000000009</v>
      </c>
      <c r="H512" s="53"/>
      <c r="J512" s="53">
        <f t="shared" si="82"/>
        <v>3.0000000000000009</v>
      </c>
      <c r="M512" s="51">
        <f t="shared" si="74"/>
        <v>3.0000000000000009</v>
      </c>
    </row>
    <row r="513" spans="1:13" x14ac:dyDescent="0.25">
      <c r="A513" s="133">
        <v>45540</v>
      </c>
      <c r="B513" s="51" t="s">
        <v>56</v>
      </c>
      <c r="C513" s="135">
        <v>0.33333333333333331</v>
      </c>
      <c r="D513" s="135">
        <v>0.58333333333333337</v>
      </c>
      <c r="E513" s="53">
        <f t="shared" si="72"/>
        <v>5.5000000000000018</v>
      </c>
      <c r="F513" s="51">
        <v>0.5</v>
      </c>
      <c r="H513" s="53"/>
      <c r="J513" s="53">
        <f t="shared" si="82"/>
        <v>3.5000000000000018</v>
      </c>
      <c r="M513" s="51">
        <f t="shared" si="74"/>
        <v>3.5000000000000018</v>
      </c>
    </row>
    <row r="514" spans="1:13" x14ac:dyDescent="0.25">
      <c r="A514" s="133">
        <v>45541</v>
      </c>
      <c r="B514" s="51" t="s">
        <v>56</v>
      </c>
      <c r="C514" s="135">
        <v>0.33333333333333331</v>
      </c>
      <c r="D514" s="135">
        <v>0.58333333333333337</v>
      </c>
      <c r="E514" s="53">
        <f t="shared" si="72"/>
        <v>5.5000000000000018</v>
      </c>
      <c r="F514" s="51">
        <v>0.5</v>
      </c>
      <c r="H514" s="53"/>
      <c r="J514" s="53">
        <f t="shared" si="82"/>
        <v>3.5000000000000018</v>
      </c>
      <c r="M514" s="51">
        <f t="shared" si="74"/>
        <v>3.5000000000000018</v>
      </c>
    </row>
    <row r="515" spans="1:13" x14ac:dyDescent="0.25">
      <c r="A515" s="133">
        <v>45542</v>
      </c>
      <c r="B515" s="51" t="s">
        <v>56</v>
      </c>
      <c r="C515" s="135">
        <v>0.27083333333333331</v>
      </c>
      <c r="D515" s="135">
        <v>0.41666666666666669</v>
      </c>
      <c r="E515" s="53">
        <f t="shared" ref="E515:E578" si="83">MOD((D515-C515),1) *24 - F515</f>
        <v>3.5000000000000009</v>
      </c>
      <c r="H515" s="53"/>
      <c r="J515" s="53">
        <f t="shared" si="82"/>
        <v>3.5000000000000009</v>
      </c>
      <c r="M515" s="51">
        <f t="shared" ref="M515:M578" si="84">IF(H515&lt;&gt;"",H515,J515)</f>
        <v>3.5000000000000009</v>
      </c>
    </row>
    <row r="516" spans="1:13" x14ac:dyDescent="0.25">
      <c r="A516" s="133">
        <v>45542</v>
      </c>
      <c r="B516" s="51" t="s">
        <v>56</v>
      </c>
      <c r="C516" s="135">
        <v>0.33333333333333331</v>
      </c>
      <c r="D516" s="135">
        <v>0.54166666666666663</v>
      </c>
      <c r="E516" s="53">
        <f t="shared" si="83"/>
        <v>5</v>
      </c>
      <c r="H516" s="53"/>
      <c r="J516" s="53">
        <f t="shared" si="82"/>
        <v>5</v>
      </c>
      <c r="M516" s="51">
        <f t="shared" si="84"/>
        <v>5</v>
      </c>
    </row>
    <row r="517" spans="1:13" x14ac:dyDescent="0.25">
      <c r="A517" s="133">
        <v>45542</v>
      </c>
      <c r="B517" s="51" t="s">
        <v>49</v>
      </c>
      <c r="C517" s="134">
        <v>0.33333333333333331</v>
      </c>
      <c r="D517" s="134">
        <v>0.52083333333333337</v>
      </c>
      <c r="E517" s="53">
        <f t="shared" si="83"/>
        <v>4.5000000000000018</v>
      </c>
      <c r="H517" s="53">
        <f t="shared" ref="H517:H577" si="85">IF(WEEKDAY(A517, 2)&lt;6, E517+2, E517)</f>
        <v>4.5000000000000018</v>
      </c>
      <c r="M517" s="51">
        <f t="shared" si="84"/>
        <v>4.5000000000000018</v>
      </c>
    </row>
    <row r="518" spans="1:13" x14ac:dyDescent="0.25">
      <c r="A518" s="133">
        <v>45542</v>
      </c>
      <c r="B518" s="51" t="s">
        <v>58</v>
      </c>
      <c r="C518" s="134">
        <v>0.54166666666666663</v>
      </c>
      <c r="D518" s="134">
        <v>0.875</v>
      </c>
      <c r="E518" s="53">
        <f t="shared" si="83"/>
        <v>7.5</v>
      </c>
      <c r="F518" s="51">
        <v>0.5</v>
      </c>
      <c r="H518" s="53">
        <f t="shared" si="85"/>
        <v>7.5</v>
      </c>
      <c r="M518" s="51">
        <f t="shared" si="84"/>
        <v>7.5</v>
      </c>
    </row>
    <row r="519" spans="1:13" x14ac:dyDescent="0.25">
      <c r="A519" s="133">
        <v>45542</v>
      </c>
      <c r="B519" s="51" t="s">
        <v>53</v>
      </c>
      <c r="C519" s="134">
        <v>0.47916666666666669</v>
      </c>
      <c r="D519" s="134">
        <v>0.75</v>
      </c>
      <c r="E519" s="53">
        <f t="shared" si="83"/>
        <v>6</v>
      </c>
      <c r="F519" s="51">
        <v>0.5</v>
      </c>
      <c r="H519" s="53">
        <f t="shared" si="85"/>
        <v>6</v>
      </c>
      <c r="M519" s="51">
        <f t="shared" si="84"/>
        <v>6</v>
      </c>
    </row>
    <row r="520" spans="1:13" x14ac:dyDescent="0.25">
      <c r="A520" s="133">
        <v>45542</v>
      </c>
      <c r="B520" s="51" t="s">
        <v>46</v>
      </c>
      <c r="C520" s="134">
        <v>0.5</v>
      </c>
      <c r="D520" s="134">
        <v>0.79166666666666663</v>
      </c>
      <c r="E520" s="53">
        <f t="shared" si="83"/>
        <v>6.4999999999999991</v>
      </c>
      <c r="F520" s="51">
        <v>0.5</v>
      </c>
      <c r="H520" s="53">
        <f t="shared" si="85"/>
        <v>6.4999999999999991</v>
      </c>
      <c r="M520" s="51">
        <f t="shared" si="84"/>
        <v>6.4999999999999991</v>
      </c>
    </row>
    <row r="521" spans="1:13" x14ac:dyDescent="0.25">
      <c r="A521" s="133">
        <v>45542</v>
      </c>
      <c r="B521" s="51" t="s">
        <v>53</v>
      </c>
      <c r="C521" s="134">
        <v>0.75</v>
      </c>
      <c r="D521" s="134">
        <v>2.0833333333333332E-2</v>
      </c>
      <c r="E521" s="53">
        <f t="shared" si="83"/>
        <v>6.0000000000000009</v>
      </c>
      <c r="F521" s="51">
        <v>0.5</v>
      </c>
      <c r="H521" s="53">
        <f t="shared" si="85"/>
        <v>6.0000000000000009</v>
      </c>
      <c r="M521" s="51">
        <f t="shared" si="84"/>
        <v>6.0000000000000009</v>
      </c>
    </row>
    <row r="522" spans="1:13" x14ac:dyDescent="0.25">
      <c r="A522" s="133">
        <v>45543</v>
      </c>
      <c r="B522" s="51" t="s">
        <v>46</v>
      </c>
      <c r="C522" s="135">
        <v>0.58333333333333337</v>
      </c>
      <c r="D522" s="135">
        <v>0.91666666666666663</v>
      </c>
      <c r="E522" s="53">
        <f t="shared" si="83"/>
        <v>7.4999999999999982</v>
      </c>
      <c r="F522" s="51">
        <v>0.5</v>
      </c>
      <c r="H522" s="53">
        <f t="shared" si="85"/>
        <v>7.4999999999999982</v>
      </c>
      <c r="M522" s="51">
        <f t="shared" si="84"/>
        <v>7.4999999999999982</v>
      </c>
    </row>
    <row r="523" spans="1:13" x14ac:dyDescent="0.25">
      <c r="A523" s="133">
        <v>45544</v>
      </c>
      <c r="B523" s="51" t="s">
        <v>56</v>
      </c>
      <c r="C523" s="135">
        <v>0.33333333333333331</v>
      </c>
      <c r="D523" s="135">
        <v>0.58333333333333337</v>
      </c>
      <c r="E523" s="53">
        <f t="shared" si="83"/>
        <v>5.5000000000000018</v>
      </c>
      <c r="F523" s="51">
        <v>0.5</v>
      </c>
      <c r="H523" s="53"/>
      <c r="J523" s="53">
        <f>IF(WEEKDAY(A523, 2)&lt;6, E523-2, E523)</f>
        <v>3.5000000000000018</v>
      </c>
      <c r="M523" s="51">
        <f t="shared" si="84"/>
        <v>3.5000000000000018</v>
      </c>
    </row>
    <row r="524" spans="1:13" x14ac:dyDescent="0.25">
      <c r="A524" s="133">
        <v>45545</v>
      </c>
      <c r="B524" s="51" t="s">
        <v>53</v>
      </c>
      <c r="C524" s="135">
        <v>0.66666666666666663</v>
      </c>
      <c r="D524" s="135">
        <v>0.875</v>
      </c>
      <c r="E524" s="53">
        <f t="shared" si="83"/>
        <v>5.0000000000000009</v>
      </c>
      <c r="H524" s="53">
        <f t="shared" si="85"/>
        <v>7.0000000000000009</v>
      </c>
      <c r="M524" s="51">
        <f t="shared" si="84"/>
        <v>7.0000000000000009</v>
      </c>
    </row>
    <row r="525" spans="1:13" x14ac:dyDescent="0.25">
      <c r="A525" s="133">
        <v>45545</v>
      </c>
      <c r="B525" s="51" t="s">
        <v>56</v>
      </c>
      <c r="C525" s="135">
        <v>0.33333333333333331</v>
      </c>
      <c r="D525" s="135">
        <v>0.58333333333333337</v>
      </c>
      <c r="E525" s="53">
        <f t="shared" si="83"/>
        <v>5.5000000000000018</v>
      </c>
      <c r="F525" s="51">
        <v>0.5</v>
      </c>
      <c r="H525" s="53"/>
      <c r="J525" s="53">
        <f t="shared" ref="J525:J528" si="86">IF(WEEKDAY(A525, 2)&lt;6, E525-2, E525)</f>
        <v>3.5000000000000018</v>
      </c>
      <c r="M525" s="51">
        <f t="shared" si="84"/>
        <v>3.5000000000000018</v>
      </c>
    </row>
    <row r="526" spans="1:13" x14ac:dyDescent="0.25">
      <c r="A526" s="133">
        <v>45546</v>
      </c>
      <c r="B526" s="51" t="s">
        <v>56</v>
      </c>
      <c r="C526" s="135">
        <v>0.33333333333333331</v>
      </c>
      <c r="D526" s="135">
        <v>0.58333333333333337</v>
      </c>
      <c r="E526" s="53">
        <f t="shared" si="83"/>
        <v>5.5000000000000018</v>
      </c>
      <c r="F526" s="51">
        <v>0.5</v>
      </c>
      <c r="H526" s="53"/>
      <c r="J526" s="53">
        <f t="shared" si="86"/>
        <v>3.5000000000000018</v>
      </c>
      <c r="M526" s="51">
        <f t="shared" si="84"/>
        <v>3.5000000000000018</v>
      </c>
    </row>
    <row r="527" spans="1:13" x14ac:dyDescent="0.25">
      <c r="A527" s="133">
        <v>45547</v>
      </c>
      <c r="B527" s="51" t="s">
        <v>56</v>
      </c>
      <c r="C527" s="135">
        <v>0.33333333333333331</v>
      </c>
      <c r="D527" s="135">
        <v>0.58333333333333337</v>
      </c>
      <c r="E527" s="53">
        <f t="shared" si="83"/>
        <v>5.5000000000000018</v>
      </c>
      <c r="F527" s="51">
        <v>0.5</v>
      </c>
      <c r="H527" s="53"/>
      <c r="J527" s="53">
        <f t="shared" si="86"/>
        <v>3.5000000000000018</v>
      </c>
      <c r="M527" s="51">
        <f t="shared" si="84"/>
        <v>3.5000000000000018</v>
      </c>
    </row>
    <row r="528" spans="1:13" x14ac:dyDescent="0.25">
      <c r="A528" s="133">
        <v>45547</v>
      </c>
      <c r="B528" s="51" t="s">
        <v>56</v>
      </c>
      <c r="C528" s="135">
        <v>0.77083333333333337</v>
      </c>
      <c r="D528" s="135">
        <v>0.95833333333333337</v>
      </c>
      <c r="E528" s="53">
        <f t="shared" si="83"/>
        <v>4.5</v>
      </c>
      <c r="H528" s="53"/>
      <c r="J528" s="53">
        <f t="shared" si="86"/>
        <v>2.5</v>
      </c>
      <c r="M528" s="51">
        <f t="shared" si="84"/>
        <v>2.5</v>
      </c>
    </row>
    <row r="529" spans="1:13" x14ac:dyDescent="0.25">
      <c r="A529" s="133">
        <v>45548</v>
      </c>
      <c r="B529" s="51" t="s">
        <v>45</v>
      </c>
      <c r="C529" s="135">
        <v>0.33333333333333331</v>
      </c>
      <c r="D529" s="135">
        <v>0.66666666666666663</v>
      </c>
      <c r="E529" s="53">
        <f t="shared" si="83"/>
        <v>7.5</v>
      </c>
      <c r="F529" s="51">
        <v>0.5</v>
      </c>
      <c r="H529" s="53">
        <f t="shared" si="85"/>
        <v>9.5</v>
      </c>
      <c r="M529" s="51">
        <f t="shared" si="84"/>
        <v>9.5</v>
      </c>
    </row>
    <row r="530" spans="1:13" x14ac:dyDescent="0.25">
      <c r="A530" s="133">
        <v>45548</v>
      </c>
      <c r="B530" s="51" t="s">
        <v>53</v>
      </c>
      <c r="C530" s="135">
        <v>0.625</v>
      </c>
      <c r="D530" s="135">
        <v>0.83333333333333337</v>
      </c>
      <c r="E530" s="53">
        <f t="shared" si="83"/>
        <v>5.0000000000000009</v>
      </c>
      <c r="H530" s="53">
        <f t="shared" si="85"/>
        <v>7.0000000000000009</v>
      </c>
      <c r="M530" s="51">
        <f t="shared" si="84"/>
        <v>7.0000000000000009</v>
      </c>
    </row>
    <row r="531" spans="1:13" x14ac:dyDescent="0.25">
      <c r="A531" s="133">
        <v>45548</v>
      </c>
      <c r="B531" s="51" t="s">
        <v>56</v>
      </c>
      <c r="C531" s="135">
        <v>0.33333333333333331</v>
      </c>
      <c r="D531" s="135">
        <v>0.58333333333333337</v>
      </c>
      <c r="E531" s="53">
        <f t="shared" si="83"/>
        <v>5.5000000000000018</v>
      </c>
      <c r="F531" s="51">
        <v>0.5</v>
      </c>
      <c r="H531" s="53"/>
      <c r="J531" s="53">
        <f>IF(WEEKDAY(A531, 2)&lt;6, E531-2, E531)</f>
        <v>3.5000000000000018</v>
      </c>
      <c r="M531" s="51">
        <f t="shared" si="84"/>
        <v>3.5000000000000018</v>
      </c>
    </row>
    <row r="532" spans="1:13" x14ac:dyDescent="0.25">
      <c r="A532" s="133">
        <v>45549</v>
      </c>
      <c r="B532" s="51" t="s">
        <v>49</v>
      </c>
      <c r="C532" s="135">
        <v>0.33333333333333331</v>
      </c>
      <c r="D532" s="135">
        <v>0.52083333333333337</v>
      </c>
      <c r="E532" s="53">
        <f t="shared" si="83"/>
        <v>4.5000000000000018</v>
      </c>
      <c r="H532" s="53">
        <f t="shared" si="85"/>
        <v>4.5000000000000018</v>
      </c>
      <c r="M532" s="51">
        <f t="shared" si="84"/>
        <v>4.5000000000000018</v>
      </c>
    </row>
    <row r="533" spans="1:13" x14ac:dyDescent="0.25">
      <c r="A533" s="133">
        <v>45549</v>
      </c>
      <c r="B533" s="51" t="s">
        <v>53</v>
      </c>
      <c r="C533" s="135">
        <v>0.66666666666666663</v>
      </c>
      <c r="D533" s="135">
        <v>0.83333333333333337</v>
      </c>
      <c r="E533" s="53">
        <f t="shared" si="83"/>
        <v>4.0000000000000018</v>
      </c>
      <c r="H533" s="53">
        <f t="shared" si="85"/>
        <v>4.0000000000000018</v>
      </c>
      <c r="M533" s="51">
        <f t="shared" si="84"/>
        <v>4.0000000000000018</v>
      </c>
    </row>
    <row r="534" spans="1:13" x14ac:dyDescent="0.25">
      <c r="A534" s="133">
        <v>45549</v>
      </c>
      <c r="B534" s="51" t="s">
        <v>58</v>
      </c>
      <c r="C534" s="135">
        <v>0.70833333333333337</v>
      </c>
      <c r="D534" s="135">
        <v>0.95833333333333337</v>
      </c>
      <c r="E534" s="53">
        <f t="shared" si="83"/>
        <v>5.5</v>
      </c>
      <c r="F534" s="51">
        <v>0.5</v>
      </c>
      <c r="H534" s="53">
        <f t="shared" si="85"/>
        <v>5.5</v>
      </c>
      <c r="M534" s="51">
        <f t="shared" si="84"/>
        <v>5.5</v>
      </c>
    </row>
    <row r="535" spans="1:13" x14ac:dyDescent="0.25">
      <c r="A535" s="133">
        <v>45549</v>
      </c>
      <c r="B535" s="51" t="s">
        <v>53</v>
      </c>
      <c r="C535" s="135">
        <v>0.83333333333333337</v>
      </c>
      <c r="D535" s="135">
        <v>4.1666666666666664E-2</v>
      </c>
      <c r="E535" s="53">
        <f t="shared" si="83"/>
        <v>4.9999999999999982</v>
      </c>
      <c r="H535" s="53">
        <f t="shared" si="85"/>
        <v>4.9999999999999982</v>
      </c>
      <c r="M535" s="51">
        <f t="shared" si="84"/>
        <v>4.9999999999999982</v>
      </c>
    </row>
    <row r="536" spans="1:13" x14ac:dyDescent="0.25">
      <c r="A536" s="133">
        <v>45549</v>
      </c>
      <c r="B536" s="51" t="s">
        <v>58</v>
      </c>
      <c r="C536" s="135">
        <v>0.45833333333333331</v>
      </c>
      <c r="D536" s="135">
        <v>0.70833333333333337</v>
      </c>
      <c r="E536" s="53">
        <f t="shared" si="83"/>
        <v>5.5000000000000018</v>
      </c>
      <c r="F536" s="51">
        <v>0.5</v>
      </c>
      <c r="H536" s="53">
        <f t="shared" si="85"/>
        <v>5.5000000000000018</v>
      </c>
      <c r="M536" s="51">
        <f t="shared" si="84"/>
        <v>5.5000000000000018</v>
      </c>
    </row>
    <row r="537" spans="1:13" x14ac:dyDescent="0.25">
      <c r="A537" s="133">
        <v>45549</v>
      </c>
      <c r="B537" s="51" t="s">
        <v>58</v>
      </c>
      <c r="C537" s="135">
        <v>0.27083333333333331</v>
      </c>
      <c r="D537" s="135">
        <v>0.41666666666666669</v>
      </c>
      <c r="E537" s="53">
        <f t="shared" si="83"/>
        <v>3.5000000000000009</v>
      </c>
      <c r="H537" s="53">
        <f t="shared" si="85"/>
        <v>3.5000000000000009</v>
      </c>
      <c r="M537" s="51">
        <f t="shared" si="84"/>
        <v>3.5000000000000009</v>
      </c>
    </row>
    <row r="538" spans="1:13" x14ac:dyDescent="0.25">
      <c r="A538" s="133">
        <v>45549</v>
      </c>
      <c r="B538" s="51" t="s">
        <v>56</v>
      </c>
      <c r="C538" s="135">
        <v>0.33333333333333331</v>
      </c>
      <c r="D538" s="135">
        <v>0.54166666666666663</v>
      </c>
      <c r="E538" s="53">
        <f t="shared" si="83"/>
        <v>5</v>
      </c>
      <c r="H538" s="53"/>
      <c r="J538" s="53">
        <f>IF(WEEKDAY(A538, 2)&lt;6, E538-2, E538)</f>
        <v>5</v>
      </c>
      <c r="M538" s="51">
        <f t="shared" si="84"/>
        <v>5</v>
      </c>
    </row>
    <row r="539" spans="1:13" x14ac:dyDescent="0.25">
      <c r="A539" s="133">
        <v>45550</v>
      </c>
      <c r="B539" s="51" t="s">
        <v>46</v>
      </c>
      <c r="C539" s="135">
        <v>0.375</v>
      </c>
      <c r="D539" s="135">
        <v>0.70833333333333337</v>
      </c>
      <c r="E539" s="53">
        <f t="shared" si="83"/>
        <v>7.5</v>
      </c>
      <c r="F539" s="51">
        <v>0.5</v>
      </c>
      <c r="H539" s="53">
        <f t="shared" si="85"/>
        <v>7.5</v>
      </c>
      <c r="M539" s="51">
        <f t="shared" si="84"/>
        <v>7.5</v>
      </c>
    </row>
    <row r="540" spans="1:13" x14ac:dyDescent="0.25">
      <c r="A540" s="133">
        <v>45550</v>
      </c>
      <c r="B540" s="51" t="s">
        <v>58</v>
      </c>
      <c r="C540" s="135">
        <v>0.45833333333333331</v>
      </c>
      <c r="D540" s="135">
        <v>0.70833333333333337</v>
      </c>
      <c r="E540" s="53">
        <f t="shared" si="83"/>
        <v>5.5000000000000018</v>
      </c>
      <c r="F540" s="51">
        <v>0.5</v>
      </c>
      <c r="H540" s="53">
        <f t="shared" si="85"/>
        <v>5.5000000000000018</v>
      </c>
      <c r="M540" s="51">
        <f t="shared" si="84"/>
        <v>5.5000000000000018</v>
      </c>
    </row>
    <row r="541" spans="1:13" x14ac:dyDescent="0.25">
      <c r="A541" s="133">
        <v>45551</v>
      </c>
      <c r="B541" s="51" t="s">
        <v>56</v>
      </c>
      <c r="C541" s="135">
        <v>0.33333333333333331</v>
      </c>
      <c r="D541" s="135">
        <v>0.58333333333333337</v>
      </c>
      <c r="E541" s="53">
        <f t="shared" si="83"/>
        <v>5.5000000000000018</v>
      </c>
      <c r="F541" s="51">
        <v>0.5</v>
      </c>
      <c r="H541" s="53"/>
      <c r="J541" s="53">
        <f t="shared" ref="J541:J542" si="87">IF(WEEKDAY(A541, 2)&lt;6, E541-2, E541)</f>
        <v>3.5000000000000018</v>
      </c>
      <c r="M541" s="51">
        <f t="shared" si="84"/>
        <v>3.5000000000000018</v>
      </c>
    </row>
    <row r="542" spans="1:13" x14ac:dyDescent="0.25">
      <c r="A542" s="133">
        <v>45552</v>
      </c>
      <c r="B542" s="51" t="s">
        <v>56</v>
      </c>
      <c r="C542" s="135">
        <v>0.33333333333333331</v>
      </c>
      <c r="D542" s="135">
        <v>0.58333333333333337</v>
      </c>
      <c r="E542" s="53">
        <f t="shared" si="83"/>
        <v>5.5000000000000018</v>
      </c>
      <c r="F542" s="51">
        <v>0.5</v>
      </c>
      <c r="H542" s="53"/>
      <c r="J542" s="53">
        <f t="shared" si="87"/>
        <v>3.5000000000000018</v>
      </c>
      <c r="M542" s="51">
        <f t="shared" si="84"/>
        <v>3.5000000000000018</v>
      </c>
    </row>
    <row r="543" spans="1:13" x14ac:dyDescent="0.25">
      <c r="A543" s="133">
        <v>45553</v>
      </c>
      <c r="B543" s="51" t="s">
        <v>49</v>
      </c>
      <c r="C543" s="135">
        <v>0.6875</v>
      </c>
      <c r="D543" s="135">
        <v>0.89583333333333337</v>
      </c>
      <c r="E543" s="53">
        <f t="shared" si="83"/>
        <v>5.0000000000000009</v>
      </c>
      <c r="H543" s="53">
        <f t="shared" si="85"/>
        <v>7.0000000000000009</v>
      </c>
      <c r="M543" s="51">
        <f t="shared" si="84"/>
        <v>7.0000000000000009</v>
      </c>
    </row>
    <row r="544" spans="1:13" x14ac:dyDescent="0.25">
      <c r="A544" s="133">
        <v>45553</v>
      </c>
      <c r="B544" s="51" t="s">
        <v>56</v>
      </c>
      <c r="C544" s="135">
        <v>0.33333333333333331</v>
      </c>
      <c r="D544" s="135">
        <v>0.58333333333333337</v>
      </c>
      <c r="E544" s="53">
        <f t="shared" si="83"/>
        <v>5.5000000000000018</v>
      </c>
      <c r="F544" s="51">
        <v>0.5</v>
      </c>
      <c r="H544" s="53"/>
      <c r="J544" s="53">
        <f t="shared" ref="J544:J548" si="88">IF(WEEKDAY(A544, 2)&lt;6, E544-2, E544)</f>
        <v>3.5000000000000018</v>
      </c>
      <c r="M544" s="51">
        <f t="shared" si="84"/>
        <v>3.5000000000000018</v>
      </c>
    </row>
    <row r="545" spans="1:13" x14ac:dyDescent="0.25">
      <c r="A545" s="133">
        <v>45553</v>
      </c>
      <c r="B545" s="51" t="s">
        <v>56</v>
      </c>
      <c r="C545" s="135">
        <v>0.70833333333333337</v>
      </c>
      <c r="D545" s="135">
        <v>0.875</v>
      </c>
      <c r="E545" s="53">
        <f t="shared" si="83"/>
        <v>3.9999999999999991</v>
      </c>
      <c r="H545" s="53"/>
      <c r="J545" s="53">
        <f t="shared" si="88"/>
        <v>1.9999999999999991</v>
      </c>
      <c r="M545" s="51">
        <f t="shared" si="84"/>
        <v>1.9999999999999991</v>
      </c>
    </row>
    <row r="546" spans="1:13" x14ac:dyDescent="0.25">
      <c r="A546" s="133">
        <v>45554</v>
      </c>
      <c r="B546" s="51" t="s">
        <v>56</v>
      </c>
      <c r="C546" s="135">
        <v>0.33333333333333331</v>
      </c>
      <c r="D546" s="135">
        <v>0.58333333333333337</v>
      </c>
      <c r="E546" s="53">
        <f t="shared" si="83"/>
        <v>5.5000000000000018</v>
      </c>
      <c r="F546" s="51">
        <v>0.5</v>
      </c>
      <c r="H546" s="53"/>
      <c r="J546" s="53">
        <f t="shared" si="88"/>
        <v>3.5000000000000018</v>
      </c>
      <c r="M546" s="51">
        <f t="shared" si="84"/>
        <v>3.5000000000000018</v>
      </c>
    </row>
    <row r="547" spans="1:13" x14ac:dyDescent="0.25">
      <c r="A547" s="133">
        <v>45554</v>
      </c>
      <c r="B547" s="51" t="s">
        <v>56</v>
      </c>
      <c r="C547" s="135">
        <v>0.77083333333333337</v>
      </c>
      <c r="D547" s="135">
        <v>0.95833333333333337</v>
      </c>
      <c r="E547" s="53">
        <f t="shared" si="83"/>
        <v>4.5</v>
      </c>
      <c r="H547" s="53"/>
      <c r="J547" s="53">
        <f t="shared" si="88"/>
        <v>2.5</v>
      </c>
      <c r="M547" s="51">
        <f t="shared" si="84"/>
        <v>2.5</v>
      </c>
    </row>
    <row r="548" spans="1:13" x14ac:dyDescent="0.25">
      <c r="A548" s="133">
        <v>45555</v>
      </c>
      <c r="B548" s="51" t="s">
        <v>56</v>
      </c>
      <c r="C548" s="135">
        <v>0.33333333333333331</v>
      </c>
      <c r="D548" s="135">
        <v>0.58333333333333337</v>
      </c>
      <c r="E548" s="53">
        <f t="shared" si="83"/>
        <v>5.5000000000000018</v>
      </c>
      <c r="F548" s="51">
        <v>0.5</v>
      </c>
      <c r="H548" s="53"/>
      <c r="J548" s="53">
        <f t="shared" si="88"/>
        <v>3.5000000000000018</v>
      </c>
      <c r="M548" s="51">
        <f t="shared" si="84"/>
        <v>3.5000000000000018</v>
      </c>
    </row>
    <row r="549" spans="1:13" x14ac:dyDescent="0.25">
      <c r="A549" s="133">
        <v>45556</v>
      </c>
      <c r="B549" s="51" t="s">
        <v>58</v>
      </c>
      <c r="C549" s="135">
        <v>0.27083333333333331</v>
      </c>
      <c r="D549" s="135">
        <v>0.41666666666666669</v>
      </c>
      <c r="E549" s="53">
        <f t="shared" si="83"/>
        <v>3.5000000000000009</v>
      </c>
      <c r="H549" s="53">
        <f t="shared" si="85"/>
        <v>3.5000000000000009</v>
      </c>
      <c r="M549" s="51">
        <f t="shared" si="84"/>
        <v>3.5000000000000009</v>
      </c>
    </row>
    <row r="550" spans="1:13" x14ac:dyDescent="0.25">
      <c r="A550" s="133">
        <v>45556</v>
      </c>
      <c r="B550" s="51" t="s">
        <v>56</v>
      </c>
      <c r="C550" s="135">
        <v>0.33333333333333331</v>
      </c>
      <c r="D550" s="141">
        <v>0.64583333333333337</v>
      </c>
      <c r="E550" s="53">
        <f t="shared" si="83"/>
        <v>7.0000000000000018</v>
      </c>
      <c r="F550" s="51">
        <v>0.5</v>
      </c>
      <c r="H550" s="53"/>
      <c r="J550" s="53">
        <f>IF(WEEKDAY(A550, 2)&lt;6, E550-2, E550)</f>
        <v>7.0000000000000018</v>
      </c>
      <c r="M550" s="51">
        <f t="shared" si="84"/>
        <v>7.0000000000000018</v>
      </c>
    </row>
    <row r="551" spans="1:13" x14ac:dyDescent="0.25">
      <c r="A551" s="133">
        <v>45556</v>
      </c>
      <c r="B551" s="51" t="s">
        <v>58</v>
      </c>
      <c r="C551" s="135">
        <v>0.625</v>
      </c>
      <c r="D551" s="135">
        <v>4.1666666666666664E-2</v>
      </c>
      <c r="E551" s="53">
        <f t="shared" si="83"/>
        <v>9</v>
      </c>
      <c r="F551" s="51">
        <v>1</v>
      </c>
      <c r="H551" s="53">
        <f t="shared" si="85"/>
        <v>9</v>
      </c>
      <c r="M551" s="51">
        <f t="shared" si="84"/>
        <v>9</v>
      </c>
    </row>
    <row r="552" spans="1:13" x14ac:dyDescent="0.25">
      <c r="A552" s="133">
        <v>45556</v>
      </c>
      <c r="B552" s="51" t="s">
        <v>53</v>
      </c>
      <c r="C552" s="135">
        <v>0.54166666666666663</v>
      </c>
      <c r="D552" s="135">
        <v>0.79166666666666663</v>
      </c>
      <c r="E552" s="53">
        <f t="shared" si="83"/>
        <v>5.5</v>
      </c>
      <c r="F552" s="51">
        <v>0.5</v>
      </c>
      <c r="H552" s="53">
        <f t="shared" si="85"/>
        <v>5.5</v>
      </c>
      <c r="M552" s="51">
        <f t="shared" si="84"/>
        <v>5.5</v>
      </c>
    </row>
    <row r="553" spans="1:13" x14ac:dyDescent="0.25">
      <c r="A553" s="133">
        <v>45556</v>
      </c>
      <c r="B553" s="51" t="s">
        <v>46</v>
      </c>
      <c r="C553" s="135">
        <v>0.72916666666666663</v>
      </c>
      <c r="D553" s="135">
        <v>0.91666666666666663</v>
      </c>
      <c r="E553" s="53">
        <f t="shared" si="83"/>
        <v>4.5</v>
      </c>
      <c r="H553" s="53">
        <f t="shared" si="85"/>
        <v>4.5</v>
      </c>
      <c r="M553" s="51">
        <f t="shared" si="84"/>
        <v>4.5</v>
      </c>
    </row>
    <row r="554" spans="1:13" x14ac:dyDescent="0.25">
      <c r="A554" s="133">
        <v>45556</v>
      </c>
      <c r="B554" s="51" t="s">
        <v>47</v>
      </c>
      <c r="C554" s="135">
        <v>0.33333333333333331</v>
      </c>
      <c r="D554" s="135">
        <v>0.47916666666666669</v>
      </c>
      <c r="E554" s="53">
        <f t="shared" si="83"/>
        <v>3.5000000000000009</v>
      </c>
      <c r="H554" s="53">
        <f t="shared" si="85"/>
        <v>3.5000000000000009</v>
      </c>
      <c r="M554" s="51">
        <f t="shared" si="84"/>
        <v>3.5000000000000009</v>
      </c>
    </row>
    <row r="555" spans="1:13" x14ac:dyDescent="0.25">
      <c r="A555" s="133">
        <v>45556</v>
      </c>
      <c r="B555" s="51" t="s">
        <v>49</v>
      </c>
      <c r="C555" s="135">
        <v>0.33333333333333331</v>
      </c>
      <c r="D555" s="135">
        <v>0.54166666666666663</v>
      </c>
      <c r="E555" s="53">
        <f t="shared" si="83"/>
        <v>5</v>
      </c>
      <c r="H555" s="53">
        <f t="shared" si="85"/>
        <v>5</v>
      </c>
      <c r="M555" s="51">
        <f t="shared" si="84"/>
        <v>5</v>
      </c>
    </row>
    <row r="556" spans="1:13" x14ac:dyDescent="0.25">
      <c r="A556" s="133">
        <v>45556</v>
      </c>
      <c r="B556" s="51" t="s">
        <v>46</v>
      </c>
      <c r="C556" s="135">
        <v>0.5</v>
      </c>
      <c r="D556" s="135">
        <v>0.70833333333333337</v>
      </c>
      <c r="E556" s="53">
        <f t="shared" si="83"/>
        <v>4.5000000000000009</v>
      </c>
      <c r="F556" s="51">
        <v>0.5</v>
      </c>
      <c r="H556" s="53">
        <f t="shared" si="85"/>
        <v>4.5000000000000009</v>
      </c>
      <c r="M556" s="51">
        <f t="shared" si="84"/>
        <v>4.5000000000000009</v>
      </c>
    </row>
    <row r="557" spans="1:13" x14ac:dyDescent="0.25">
      <c r="A557" s="133">
        <v>45556</v>
      </c>
      <c r="B557" s="51" t="s">
        <v>48</v>
      </c>
      <c r="C557" s="135">
        <v>0.47916666666666669</v>
      </c>
      <c r="D557" s="135">
        <v>0.625</v>
      </c>
      <c r="E557" s="53">
        <f t="shared" si="83"/>
        <v>3.4999999999999996</v>
      </c>
      <c r="H557" s="53">
        <f t="shared" si="85"/>
        <v>3.4999999999999996</v>
      </c>
      <c r="M557" s="51">
        <f t="shared" si="84"/>
        <v>3.4999999999999996</v>
      </c>
    </row>
    <row r="558" spans="1:13" x14ac:dyDescent="0.25">
      <c r="A558" s="133">
        <v>45557</v>
      </c>
      <c r="B558" s="51" t="s">
        <v>46</v>
      </c>
      <c r="C558" s="135">
        <v>0.54166666666666663</v>
      </c>
      <c r="D558" s="135">
        <v>0.75</v>
      </c>
      <c r="E558" s="53">
        <f t="shared" si="83"/>
        <v>5.0000000000000009</v>
      </c>
      <c r="H558" s="53">
        <f t="shared" si="85"/>
        <v>5.0000000000000009</v>
      </c>
      <c r="M558" s="51">
        <f t="shared" si="84"/>
        <v>5.0000000000000009</v>
      </c>
    </row>
    <row r="559" spans="1:13" x14ac:dyDescent="0.25">
      <c r="A559" s="133">
        <v>45557</v>
      </c>
      <c r="B559" s="51" t="s">
        <v>49</v>
      </c>
      <c r="C559" s="135">
        <v>0.5625</v>
      </c>
      <c r="D559" s="135">
        <v>0.72916666666666663</v>
      </c>
      <c r="E559" s="53">
        <f t="shared" si="83"/>
        <v>3.9999999999999991</v>
      </c>
      <c r="H559" s="53">
        <f t="shared" si="85"/>
        <v>3.9999999999999991</v>
      </c>
      <c r="M559" s="51">
        <f t="shared" si="84"/>
        <v>3.9999999999999991</v>
      </c>
    </row>
    <row r="560" spans="1:13" x14ac:dyDescent="0.25">
      <c r="A560" s="133">
        <v>45558</v>
      </c>
      <c r="B560" s="51" t="s">
        <v>56</v>
      </c>
      <c r="C560" s="135">
        <v>0.33333333333333331</v>
      </c>
      <c r="D560" s="135">
        <v>0.58333333333333337</v>
      </c>
      <c r="E560" s="53">
        <f t="shared" si="83"/>
        <v>5.5000000000000018</v>
      </c>
      <c r="F560" s="51">
        <v>0.5</v>
      </c>
      <c r="H560" s="53"/>
      <c r="J560" s="53">
        <f t="shared" ref="J560:J561" si="89">IF(WEEKDAY(A560, 2)&lt;6, E560-2, E560)</f>
        <v>3.5000000000000018</v>
      </c>
      <c r="M560" s="51">
        <f t="shared" si="84"/>
        <v>3.5000000000000018</v>
      </c>
    </row>
    <row r="561" spans="1:13" x14ac:dyDescent="0.25">
      <c r="A561" s="133">
        <v>45559</v>
      </c>
      <c r="B561" s="51" t="s">
        <v>56</v>
      </c>
      <c r="C561" s="135">
        <v>0.33333333333333331</v>
      </c>
      <c r="D561" s="135">
        <v>0.58333333333333337</v>
      </c>
      <c r="E561" s="53">
        <f t="shared" si="83"/>
        <v>5.5000000000000018</v>
      </c>
      <c r="F561" s="51">
        <v>0.5</v>
      </c>
      <c r="H561" s="53"/>
      <c r="J561" s="53">
        <f t="shared" si="89"/>
        <v>3.5000000000000018</v>
      </c>
      <c r="M561" s="51">
        <f t="shared" si="84"/>
        <v>3.5000000000000018</v>
      </c>
    </row>
    <row r="562" spans="1:13" x14ac:dyDescent="0.25">
      <c r="A562" s="133">
        <v>45560</v>
      </c>
      <c r="B562" s="51" t="s">
        <v>49</v>
      </c>
      <c r="C562" s="135">
        <v>0.70833333333333337</v>
      </c>
      <c r="D562" s="135">
        <v>0.89583333333333337</v>
      </c>
      <c r="E562" s="53">
        <f t="shared" si="83"/>
        <v>4.5</v>
      </c>
      <c r="H562" s="53">
        <f t="shared" si="85"/>
        <v>6.5</v>
      </c>
      <c r="M562" s="51">
        <f t="shared" si="84"/>
        <v>6.5</v>
      </c>
    </row>
    <row r="563" spans="1:13" x14ac:dyDescent="0.25">
      <c r="A563" s="133">
        <v>45560</v>
      </c>
      <c r="B563" s="51" t="s">
        <v>56</v>
      </c>
      <c r="C563" s="135">
        <v>0.33333333333333331</v>
      </c>
      <c r="D563" s="135">
        <v>0.58333333333333337</v>
      </c>
      <c r="E563" s="53">
        <f t="shared" si="83"/>
        <v>5.5000000000000018</v>
      </c>
      <c r="F563" s="51">
        <v>0.5</v>
      </c>
      <c r="H563" s="53"/>
      <c r="J563" s="53">
        <f t="shared" ref="J563:J568" si="90">IF(WEEKDAY(A563, 2)&lt;6, E563-2, E563)</f>
        <v>3.5000000000000018</v>
      </c>
      <c r="M563" s="51">
        <f t="shared" si="84"/>
        <v>3.5000000000000018</v>
      </c>
    </row>
    <row r="564" spans="1:13" x14ac:dyDescent="0.25">
      <c r="A564" s="133">
        <v>45561</v>
      </c>
      <c r="B564" s="51" t="s">
        <v>56</v>
      </c>
      <c r="C564" s="135">
        <v>0.72916666666666663</v>
      </c>
      <c r="D564" s="135">
        <v>0.95833333333333337</v>
      </c>
      <c r="E564" s="53">
        <f t="shared" si="83"/>
        <v>5.0000000000000018</v>
      </c>
      <c r="F564" s="51">
        <v>0.5</v>
      </c>
      <c r="H564" s="53"/>
      <c r="J564" s="53">
        <f t="shared" si="90"/>
        <v>3.0000000000000018</v>
      </c>
      <c r="M564" s="51">
        <f t="shared" si="84"/>
        <v>3.0000000000000018</v>
      </c>
    </row>
    <row r="565" spans="1:13" x14ac:dyDescent="0.25">
      <c r="A565" s="133">
        <v>45561</v>
      </c>
      <c r="B565" s="51" t="s">
        <v>56</v>
      </c>
      <c r="C565" s="135">
        <v>0.33333333333333331</v>
      </c>
      <c r="D565" s="135">
        <v>0.58333333333333337</v>
      </c>
      <c r="E565" s="53">
        <f t="shared" si="83"/>
        <v>5.5000000000000018</v>
      </c>
      <c r="F565" s="51">
        <v>0.5</v>
      </c>
      <c r="H565" s="53"/>
      <c r="J565" s="53">
        <f t="shared" si="90"/>
        <v>3.5000000000000018</v>
      </c>
      <c r="M565" s="51">
        <f t="shared" si="84"/>
        <v>3.5000000000000018</v>
      </c>
    </row>
    <row r="566" spans="1:13" x14ac:dyDescent="0.25">
      <c r="A566" s="133">
        <v>45562</v>
      </c>
      <c r="B566" s="51" t="s">
        <v>56</v>
      </c>
      <c r="C566" s="135">
        <v>0.33333333333333331</v>
      </c>
      <c r="D566" s="135">
        <v>0.58333333333333337</v>
      </c>
      <c r="E566" s="53">
        <f t="shared" si="83"/>
        <v>5.5000000000000018</v>
      </c>
      <c r="F566" s="51">
        <v>0.5</v>
      </c>
      <c r="H566" s="53"/>
      <c r="J566" s="53">
        <f t="shared" si="90"/>
        <v>3.5000000000000018</v>
      </c>
      <c r="M566" s="51">
        <f t="shared" si="84"/>
        <v>3.5000000000000018</v>
      </c>
    </row>
    <row r="567" spans="1:13" x14ac:dyDescent="0.25">
      <c r="A567" s="133">
        <v>45562</v>
      </c>
      <c r="B567" s="51" t="s">
        <v>56</v>
      </c>
      <c r="C567" s="135">
        <v>0.625</v>
      </c>
      <c r="D567" s="135">
        <v>0.83333333333333337</v>
      </c>
      <c r="E567" s="53">
        <f t="shared" si="83"/>
        <v>5.0000000000000009</v>
      </c>
      <c r="H567" s="53"/>
      <c r="J567" s="53">
        <f t="shared" si="90"/>
        <v>3.0000000000000009</v>
      </c>
      <c r="M567" s="51">
        <f t="shared" si="84"/>
        <v>3.0000000000000009</v>
      </c>
    </row>
    <row r="568" spans="1:13" x14ac:dyDescent="0.25">
      <c r="A568" s="133">
        <v>45563</v>
      </c>
      <c r="B568" s="51" t="s">
        <v>56</v>
      </c>
      <c r="C568" s="135">
        <v>0.33333333333333331</v>
      </c>
      <c r="D568" s="135">
        <v>0.54166666666666663</v>
      </c>
      <c r="E568" s="53">
        <f t="shared" si="83"/>
        <v>5</v>
      </c>
      <c r="H568" s="53"/>
      <c r="J568" s="53">
        <f t="shared" si="90"/>
        <v>5</v>
      </c>
      <c r="M568" s="51">
        <f t="shared" si="84"/>
        <v>5</v>
      </c>
    </row>
    <row r="569" spans="1:13" x14ac:dyDescent="0.25">
      <c r="A569" s="133">
        <v>45563</v>
      </c>
      <c r="B569" s="51" t="s">
        <v>53</v>
      </c>
      <c r="C569" s="135">
        <v>0.70833333333333337</v>
      </c>
      <c r="D569" s="135">
        <v>0.91666666666666663</v>
      </c>
      <c r="E569" s="53">
        <f t="shared" si="83"/>
        <v>4.9999999999999982</v>
      </c>
      <c r="H569" s="53">
        <f t="shared" si="85"/>
        <v>4.9999999999999982</v>
      </c>
      <c r="M569" s="51">
        <f t="shared" si="84"/>
        <v>4.9999999999999982</v>
      </c>
    </row>
    <row r="570" spans="1:13" x14ac:dyDescent="0.25">
      <c r="A570" s="133">
        <v>45563</v>
      </c>
      <c r="B570" s="51" t="s">
        <v>58</v>
      </c>
      <c r="C570" s="135">
        <v>0.54166666666666663</v>
      </c>
      <c r="D570" s="135">
        <v>0.875</v>
      </c>
      <c r="E570" s="53">
        <f t="shared" si="83"/>
        <v>7.5</v>
      </c>
      <c r="F570" s="51">
        <v>0.5</v>
      </c>
      <c r="H570" s="53">
        <f t="shared" si="85"/>
        <v>7.5</v>
      </c>
      <c r="M570" s="51">
        <f t="shared" si="84"/>
        <v>7.5</v>
      </c>
    </row>
    <row r="571" spans="1:13" x14ac:dyDescent="0.25">
      <c r="A571" s="133">
        <v>45563</v>
      </c>
      <c r="B571" s="51" t="s">
        <v>53</v>
      </c>
      <c r="C571" s="135">
        <v>0.5</v>
      </c>
      <c r="D571" s="135">
        <v>0.70833333333333337</v>
      </c>
      <c r="E571" s="53">
        <f t="shared" si="83"/>
        <v>5.0000000000000009</v>
      </c>
      <c r="H571" s="53">
        <f t="shared" si="85"/>
        <v>5.0000000000000009</v>
      </c>
      <c r="M571" s="51">
        <f t="shared" si="84"/>
        <v>5.0000000000000009</v>
      </c>
    </row>
    <row r="572" spans="1:13" x14ac:dyDescent="0.25">
      <c r="A572" s="133">
        <v>45563</v>
      </c>
      <c r="B572" s="51" t="s">
        <v>53</v>
      </c>
      <c r="C572" s="135">
        <v>0.27083333333333331</v>
      </c>
      <c r="D572" s="135">
        <v>0.5</v>
      </c>
      <c r="E572" s="53">
        <f t="shared" si="83"/>
        <v>5</v>
      </c>
      <c r="F572" s="51">
        <v>0.5</v>
      </c>
      <c r="H572" s="53">
        <f t="shared" si="85"/>
        <v>5</v>
      </c>
      <c r="M572" s="51">
        <f t="shared" si="84"/>
        <v>5</v>
      </c>
    </row>
    <row r="573" spans="1:13" x14ac:dyDescent="0.25">
      <c r="A573" s="133">
        <v>45563</v>
      </c>
      <c r="B573" s="51" t="s">
        <v>58</v>
      </c>
      <c r="C573" s="135">
        <v>0.27083333333333331</v>
      </c>
      <c r="D573" s="135">
        <v>0.41666666666666669</v>
      </c>
      <c r="E573" s="53">
        <f t="shared" si="83"/>
        <v>3.5000000000000009</v>
      </c>
      <c r="H573" s="53">
        <f t="shared" si="85"/>
        <v>3.5000000000000009</v>
      </c>
      <c r="M573" s="51">
        <f t="shared" si="84"/>
        <v>3.5000000000000009</v>
      </c>
    </row>
    <row r="574" spans="1:13" x14ac:dyDescent="0.25">
      <c r="A574" s="133">
        <v>45564</v>
      </c>
      <c r="B574" s="51" t="s">
        <v>49</v>
      </c>
      <c r="C574" s="135">
        <v>0.54166666666666663</v>
      </c>
      <c r="D574" s="135">
        <v>0.77083333333333337</v>
      </c>
      <c r="E574" s="53">
        <f t="shared" si="83"/>
        <v>5.0000000000000018</v>
      </c>
      <c r="F574" s="51">
        <v>0.5</v>
      </c>
      <c r="H574" s="53">
        <f t="shared" si="85"/>
        <v>5.0000000000000018</v>
      </c>
      <c r="M574" s="51">
        <f t="shared" si="84"/>
        <v>5.0000000000000018</v>
      </c>
    </row>
    <row r="575" spans="1:13" x14ac:dyDescent="0.25">
      <c r="A575" s="133">
        <v>45564</v>
      </c>
      <c r="B575" s="51" t="s">
        <v>53</v>
      </c>
      <c r="C575" s="135">
        <v>0.77083333333333337</v>
      </c>
      <c r="D575" s="135">
        <v>4.1666666666666664E-2</v>
      </c>
      <c r="E575" s="53">
        <f t="shared" si="83"/>
        <v>5.9999999999999982</v>
      </c>
      <c r="F575" s="51">
        <v>0.5</v>
      </c>
      <c r="H575" s="53">
        <f t="shared" si="85"/>
        <v>5.9999999999999982</v>
      </c>
      <c r="M575" s="51">
        <f t="shared" si="84"/>
        <v>5.9999999999999982</v>
      </c>
    </row>
    <row r="576" spans="1:13" x14ac:dyDescent="0.25">
      <c r="A576" s="133">
        <v>45564</v>
      </c>
      <c r="B576" s="51" t="s">
        <v>46</v>
      </c>
      <c r="C576" s="135">
        <v>0.625</v>
      </c>
      <c r="D576" s="135">
        <v>0.875</v>
      </c>
      <c r="E576" s="53">
        <f t="shared" si="83"/>
        <v>5.5</v>
      </c>
      <c r="F576" s="51">
        <v>0.5</v>
      </c>
      <c r="H576" s="53">
        <f t="shared" si="85"/>
        <v>5.5</v>
      </c>
      <c r="M576" s="51">
        <f t="shared" si="84"/>
        <v>5.5</v>
      </c>
    </row>
    <row r="577" spans="1:13" x14ac:dyDescent="0.25">
      <c r="A577" s="133">
        <v>45564</v>
      </c>
      <c r="B577" s="51" t="s">
        <v>58</v>
      </c>
      <c r="C577" s="135">
        <v>0.33333333333333331</v>
      </c>
      <c r="D577" s="135">
        <v>0.70833333333333337</v>
      </c>
      <c r="E577" s="53">
        <f t="shared" si="83"/>
        <v>8.0000000000000018</v>
      </c>
      <c r="F577" s="51">
        <v>1</v>
      </c>
      <c r="H577" s="53">
        <f t="shared" si="85"/>
        <v>8.0000000000000018</v>
      </c>
      <c r="M577" s="51">
        <f t="shared" si="84"/>
        <v>8.0000000000000018</v>
      </c>
    </row>
    <row r="578" spans="1:13" x14ac:dyDescent="0.25">
      <c r="A578" s="133">
        <v>45565</v>
      </c>
      <c r="B578" s="51" t="s">
        <v>56</v>
      </c>
      <c r="C578" s="135">
        <v>0.33333333333333331</v>
      </c>
      <c r="D578" s="135">
        <v>0.58333333333333337</v>
      </c>
      <c r="E578" s="53">
        <f t="shared" si="83"/>
        <v>5.5000000000000018</v>
      </c>
      <c r="F578" s="51">
        <v>0.5</v>
      </c>
      <c r="H578" s="53"/>
      <c r="J578" s="53">
        <f t="shared" ref="J578:J580" si="91">IF(WEEKDAY(A578, 2)&lt;6, E578-2, E578)</f>
        <v>3.5000000000000018</v>
      </c>
      <c r="M578" s="51">
        <f t="shared" si="84"/>
        <v>3.5000000000000018</v>
      </c>
    </row>
    <row r="579" spans="1:13" x14ac:dyDescent="0.25">
      <c r="A579" s="133">
        <v>45566</v>
      </c>
      <c r="B579" s="51" t="s">
        <v>56</v>
      </c>
      <c r="C579" s="135">
        <v>0.33333333333333331</v>
      </c>
      <c r="D579" s="135">
        <v>0.58333333333333337</v>
      </c>
      <c r="E579" s="53">
        <f t="shared" ref="E579:E642" si="92">MOD((D579-C579),1) *24 - F579</f>
        <v>5.5000000000000018</v>
      </c>
      <c r="F579" s="51">
        <v>0.5</v>
      </c>
      <c r="G579" s="55">
        <f>SUM(E:E)</f>
        <v>5521</v>
      </c>
      <c r="H579" s="53"/>
      <c r="J579" s="53">
        <f t="shared" si="91"/>
        <v>3.5000000000000018</v>
      </c>
      <c r="M579" s="51">
        <f t="shared" ref="M579:M642" si="93">IF(H579&lt;&gt;"",H579,J579)</f>
        <v>3.5000000000000018</v>
      </c>
    </row>
    <row r="580" spans="1:13" x14ac:dyDescent="0.25">
      <c r="A580" s="133">
        <v>45567</v>
      </c>
      <c r="B580" s="51" t="s">
        <v>56</v>
      </c>
      <c r="C580" s="135">
        <v>0.3125</v>
      </c>
      <c r="D580" s="135">
        <v>0.58333333333333337</v>
      </c>
      <c r="E580" s="53">
        <f t="shared" si="92"/>
        <v>6.0000000000000009</v>
      </c>
      <c r="F580" s="51">
        <v>0.5</v>
      </c>
      <c r="H580" s="53"/>
      <c r="J580" s="53">
        <f t="shared" si="91"/>
        <v>4.0000000000000009</v>
      </c>
      <c r="M580" s="51">
        <f t="shared" si="93"/>
        <v>4.0000000000000009</v>
      </c>
    </row>
    <row r="581" spans="1:13" x14ac:dyDescent="0.25">
      <c r="A581" s="133">
        <v>45567</v>
      </c>
      <c r="B581" s="51" t="s">
        <v>49</v>
      </c>
      <c r="C581" s="135">
        <v>0.70833333333333337</v>
      </c>
      <c r="D581" s="135">
        <v>0.875</v>
      </c>
      <c r="E581" s="53">
        <f t="shared" si="92"/>
        <v>3.9999999999999991</v>
      </c>
      <c r="H581" s="53">
        <f t="shared" ref="H581:H642" si="94">IF(WEEKDAY(A581, 2)&lt;6, E581+2, E581)</f>
        <v>5.9999999999999991</v>
      </c>
      <c r="M581" s="51">
        <f t="shared" si="93"/>
        <v>5.9999999999999991</v>
      </c>
    </row>
    <row r="582" spans="1:13" x14ac:dyDescent="0.25">
      <c r="A582" s="133">
        <v>45567</v>
      </c>
      <c r="B582" s="51" t="s">
        <v>56</v>
      </c>
      <c r="C582" s="135">
        <v>0.66666666666666663</v>
      </c>
      <c r="D582" s="135">
        <v>0.875</v>
      </c>
      <c r="E582" s="53">
        <f t="shared" si="92"/>
        <v>5.0000000000000009</v>
      </c>
      <c r="H582" s="53"/>
      <c r="J582" s="53">
        <f t="shared" ref="J582:J586" si="95">IF(WEEKDAY(A582, 2)&lt;6, E582-2, E582)</f>
        <v>3.0000000000000009</v>
      </c>
      <c r="M582" s="51">
        <f t="shared" si="93"/>
        <v>3.0000000000000009</v>
      </c>
    </row>
    <row r="583" spans="1:13" x14ac:dyDescent="0.25">
      <c r="A583" s="133">
        <v>45568</v>
      </c>
      <c r="B583" s="51" t="s">
        <v>56</v>
      </c>
      <c r="C583" s="135">
        <v>0.33333333333333331</v>
      </c>
      <c r="D583" s="135">
        <v>0.58333333333333337</v>
      </c>
      <c r="E583" s="53">
        <f t="shared" si="92"/>
        <v>5.5000000000000018</v>
      </c>
      <c r="F583" s="51">
        <v>0.5</v>
      </c>
      <c r="H583" s="53"/>
      <c r="J583" s="53">
        <f t="shared" si="95"/>
        <v>3.5000000000000018</v>
      </c>
      <c r="M583" s="51">
        <f t="shared" si="93"/>
        <v>3.5000000000000018</v>
      </c>
    </row>
    <row r="584" spans="1:13" x14ac:dyDescent="0.25">
      <c r="A584" s="133">
        <v>45568</v>
      </c>
      <c r="B584" s="51" t="s">
        <v>56</v>
      </c>
      <c r="C584" s="135">
        <v>0.6875</v>
      </c>
      <c r="D584" s="135">
        <v>0.95833333333333337</v>
      </c>
      <c r="E584" s="53">
        <f t="shared" si="92"/>
        <v>6.0000000000000009</v>
      </c>
      <c r="F584" s="51">
        <v>0.5</v>
      </c>
      <c r="H584" s="53"/>
      <c r="J584" s="53">
        <f t="shared" si="95"/>
        <v>4.0000000000000009</v>
      </c>
      <c r="M584" s="51">
        <f t="shared" si="93"/>
        <v>4.0000000000000009</v>
      </c>
    </row>
    <row r="585" spans="1:13" x14ac:dyDescent="0.25">
      <c r="A585" s="133">
        <v>45569</v>
      </c>
      <c r="B585" s="51" t="s">
        <v>56</v>
      </c>
      <c r="C585" s="135">
        <v>0.625</v>
      </c>
      <c r="D585" s="135">
        <v>0.79166666666666663</v>
      </c>
      <c r="E585" s="53">
        <f t="shared" si="92"/>
        <v>3.9999999999999991</v>
      </c>
      <c r="H585" s="53"/>
      <c r="J585" s="53">
        <f t="shared" si="95"/>
        <v>1.9999999999999991</v>
      </c>
      <c r="M585" s="51">
        <f t="shared" si="93"/>
        <v>1.9999999999999991</v>
      </c>
    </row>
    <row r="586" spans="1:13" x14ac:dyDescent="0.25">
      <c r="A586" s="133">
        <v>45569</v>
      </c>
      <c r="B586" s="51" t="s">
        <v>56</v>
      </c>
      <c r="C586" s="135">
        <v>0.33333333333333331</v>
      </c>
      <c r="D586" s="135">
        <v>0.58333333333333337</v>
      </c>
      <c r="E586" s="53">
        <f t="shared" si="92"/>
        <v>5.5000000000000018</v>
      </c>
      <c r="F586" s="51">
        <v>0.5</v>
      </c>
      <c r="H586" s="53"/>
      <c r="J586" s="53">
        <f t="shared" si="95"/>
        <v>3.5000000000000018</v>
      </c>
      <c r="M586" s="51">
        <f t="shared" si="93"/>
        <v>3.5000000000000018</v>
      </c>
    </row>
    <row r="587" spans="1:13" x14ac:dyDescent="0.25">
      <c r="A587" s="133">
        <v>45570</v>
      </c>
      <c r="B587" s="51" t="s">
        <v>58</v>
      </c>
      <c r="C587" s="135">
        <v>0.72916666666666663</v>
      </c>
      <c r="D587" s="135">
        <v>0.91666666666666663</v>
      </c>
      <c r="E587" s="53">
        <f t="shared" si="92"/>
        <v>4.5</v>
      </c>
      <c r="H587" s="53">
        <f t="shared" si="94"/>
        <v>4.5</v>
      </c>
      <c r="M587" s="51">
        <f t="shared" si="93"/>
        <v>4.5</v>
      </c>
    </row>
    <row r="588" spans="1:13" x14ac:dyDescent="0.25">
      <c r="A588" s="133">
        <v>45570</v>
      </c>
      <c r="B588" s="51" t="s">
        <v>53</v>
      </c>
      <c r="C588" s="135">
        <v>0.625</v>
      </c>
      <c r="D588" s="135">
        <v>0.875</v>
      </c>
      <c r="E588" s="53">
        <f t="shared" si="92"/>
        <v>5.5</v>
      </c>
      <c r="F588" s="51">
        <v>0.5</v>
      </c>
      <c r="H588" s="53">
        <f t="shared" si="94"/>
        <v>5.5</v>
      </c>
      <c r="M588" s="51">
        <f t="shared" si="93"/>
        <v>5.5</v>
      </c>
    </row>
    <row r="589" spans="1:13" x14ac:dyDescent="0.25">
      <c r="A589" s="133">
        <v>45570</v>
      </c>
      <c r="B589" s="51" t="s">
        <v>56</v>
      </c>
      <c r="C589" s="135">
        <v>0.33333333333333331</v>
      </c>
      <c r="D589" s="135">
        <v>0.54166666666666663</v>
      </c>
      <c r="E589" s="53">
        <f t="shared" si="92"/>
        <v>5</v>
      </c>
      <c r="H589" s="53"/>
      <c r="J589" s="53">
        <f>IF(WEEKDAY(A589, 2)&lt;6, E589-2, E589)</f>
        <v>5</v>
      </c>
      <c r="M589" s="51">
        <f t="shared" si="93"/>
        <v>5</v>
      </c>
    </row>
    <row r="590" spans="1:13" x14ac:dyDescent="0.25">
      <c r="A590" s="133">
        <v>45570</v>
      </c>
      <c r="B590" s="51" t="s">
        <v>58</v>
      </c>
      <c r="C590" s="135">
        <v>0.27083333333333331</v>
      </c>
      <c r="D590" s="135">
        <v>0.41666666666666669</v>
      </c>
      <c r="E590" s="53">
        <f t="shared" si="92"/>
        <v>3.5000000000000009</v>
      </c>
      <c r="H590" s="53">
        <f t="shared" si="94"/>
        <v>3.5000000000000009</v>
      </c>
      <c r="M590" s="51">
        <f t="shared" si="93"/>
        <v>3.5000000000000009</v>
      </c>
    </row>
    <row r="591" spans="1:13" x14ac:dyDescent="0.25">
      <c r="A591" s="133">
        <v>45570</v>
      </c>
      <c r="B591" s="51" t="s">
        <v>49</v>
      </c>
      <c r="C591" s="135">
        <v>0.375</v>
      </c>
      <c r="D591" s="141">
        <v>0.5</v>
      </c>
      <c r="E591" s="53">
        <f t="shared" si="92"/>
        <v>3</v>
      </c>
      <c r="H591" s="53">
        <f t="shared" si="94"/>
        <v>3</v>
      </c>
      <c r="M591" s="51">
        <f t="shared" si="93"/>
        <v>3</v>
      </c>
    </row>
    <row r="592" spans="1:13" x14ac:dyDescent="0.25">
      <c r="A592" s="133">
        <v>45570</v>
      </c>
      <c r="B592" s="51" t="s">
        <v>48</v>
      </c>
      <c r="C592" s="135">
        <v>0.33333333333333331</v>
      </c>
      <c r="D592" s="135">
        <v>0.5625</v>
      </c>
      <c r="E592" s="53">
        <f t="shared" si="92"/>
        <v>5</v>
      </c>
      <c r="F592" s="51">
        <v>0.5</v>
      </c>
      <c r="H592" s="53">
        <f t="shared" si="94"/>
        <v>5</v>
      </c>
      <c r="M592" s="51">
        <f t="shared" si="93"/>
        <v>5</v>
      </c>
    </row>
    <row r="593" spans="1:13" x14ac:dyDescent="0.25">
      <c r="A593" s="133">
        <v>45570</v>
      </c>
      <c r="B593" s="51" t="s">
        <v>48</v>
      </c>
      <c r="C593" s="135">
        <v>0.5625</v>
      </c>
      <c r="D593" s="141">
        <v>0.72916666666666663</v>
      </c>
      <c r="E593" s="53">
        <f t="shared" si="92"/>
        <v>3.9999999999999991</v>
      </c>
      <c r="H593" s="53">
        <f t="shared" si="94"/>
        <v>3.9999999999999991</v>
      </c>
      <c r="M593" s="51">
        <f t="shared" si="93"/>
        <v>3.9999999999999991</v>
      </c>
    </row>
    <row r="594" spans="1:13" x14ac:dyDescent="0.25">
      <c r="A594" s="133">
        <v>45570</v>
      </c>
      <c r="B594" s="51" t="s">
        <v>58</v>
      </c>
      <c r="C594" s="135">
        <v>0.54166666666666663</v>
      </c>
      <c r="D594" s="141">
        <v>0.72916666666666663</v>
      </c>
      <c r="E594" s="53">
        <f t="shared" si="92"/>
        <v>4.5</v>
      </c>
      <c r="H594" s="53">
        <f t="shared" si="94"/>
        <v>4.5</v>
      </c>
      <c r="M594" s="51">
        <f t="shared" si="93"/>
        <v>4.5</v>
      </c>
    </row>
    <row r="595" spans="1:13" x14ac:dyDescent="0.25">
      <c r="A595" s="133">
        <v>45571</v>
      </c>
      <c r="B595" s="51" t="s">
        <v>58</v>
      </c>
      <c r="C595" s="135">
        <v>0.45833333333333331</v>
      </c>
      <c r="D595" s="141">
        <v>0.75</v>
      </c>
      <c r="E595" s="53">
        <f t="shared" si="92"/>
        <v>6.5</v>
      </c>
      <c r="F595" s="51">
        <v>0.5</v>
      </c>
      <c r="H595" s="53">
        <f t="shared" si="94"/>
        <v>6.5</v>
      </c>
      <c r="M595" s="51">
        <f t="shared" si="93"/>
        <v>6.5</v>
      </c>
    </row>
    <row r="596" spans="1:13" x14ac:dyDescent="0.25">
      <c r="A596" s="133">
        <v>45571</v>
      </c>
      <c r="B596" s="51" t="s">
        <v>58</v>
      </c>
      <c r="C596" s="135">
        <v>0.75</v>
      </c>
      <c r="D596" s="135">
        <v>4.1666666666666664E-2</v>
      </c>
      <c r="E596" s="53">
        <f t="shared" si="92"/>
        <v>6.4999999999999991</v>
      </c>
      <c r="F596" s="51">
        <v>0.5</v>
      </c>
      <c r="H596" s="53">
        <f t="shared" si="94"/>
        <v>6.4999999999999991</v>
      </c>
      <c r="M596" s="51">
        <f t="shared" si="93"/>
        <v>6.4999999999999991</v>
      </c>
    </row>
    <row r="597" spans="1:13" x14ac:dyDescent="0.25">
      <c r="A597" s="133">
        <v>45571</v>
      </c>
      <c r="B597" s="51" t="s">
        <v>49</v>
      </c>
      <c r="C597" s="135">
        <v>0.5</v>
      </c>
      <c r="D597" s="135">
        <v>0.83333333333333337</v>
      </c>
      <c r="E597" s="53">
        <f t="shared" si="92"/>
        <v>7.5</v>
      </c>
      <c r="F597" s="51">
        <v>0.5</v>
      </c>
      <c r="H597" s="53">
        <f t="shared" si="94"/>
        <v>7.5</v>
      </c>
      <c r="M597" s="51">
        <f t="shared" si="93"/>
        <v>7.5</v>
      </c>
    </row>
    <row r="598" spans="1:13" x14ac:dyDescent="0.25">
      <c r="A598" s="133">
        <v>45572</v>
      </c>
      <c r="B598" s="51" t="s">
        <v>56</v>
      </c>
      <c r="C598" s="135">
        <v>0.33333333333333331</v>
      </c>
      <c r="D598" s="135">
        <v>0.58333333333333337</v>
      </c>
      <c r="E598" s="53">
        <f t="shared" si="92"/>
        <v>5.5000000000000018</v>
      </c>
      <c r="F598" s="51">
        <v>0.5</v>
      </c>
      <c r="H598" s="53"/>
      <c r="J598" s="53">
        <f>IF(WEEKDAY(A598, 2)&lt;6, E598-2, E598)</f>
        <v>3.5000000000000018</v>
      </c>
      <c r="M598" s="51">
        <f t="shared" si="93"/>
        <v>3.5000000000000018</v>
      </c>
    </row>
    <row r="599" spans="1:13" x14ac:dyDescent="0.25">
      <c r="A599" s="133">
        <v>45572</v>
      </c>
      <c r="B599" s="51" t="s">
        <v>49</v>
      </c>
      <c r="C599" s="135">
        <v>0.70833333333333337</v>
      </c>
      <c r="D599" s="135">
        <v>0.91666666666666663</v>
      </c>
      <c r="E599" s="53">
        <f t="shared" si="92"/>
        <v>4.9999999999999982</v>
      </c>
      <c r="H599" s="53">
        <f t="shared" si="94"/>
        <v>6.9999999999999982</v>
      </c>
      <c r="M599" s="51">
        <f t="shared" si="93"/>
        <v>6.9999999999999982</v>
      </c>
    </row>
    <row r="600" spans="1:13" x14ac:dyDescent="0.25">
      <c r="A600" s="133">
        <v>45573</v>
      </c>
      <c r="B600" s="51" t="s">
        <v>56</v>
      </c>
      <c r="C600" s="135">
        <v>0.33333333333333331</v>
      </c>
      <c r="D600" s="135">
        <v>0.58333333333333337</v>
      </c>
      <c r="E600" s="53">
        <f t="shared" si="92"/>
        <v>5.5000000000000018</v>
      </c>
      <c r="F600" s="51">
        <v>0.5</v>
      </c>
      <c r="H600" s="53"/>
      <c r="J600" s="53">
        <f t="shared" ref="J600:J602" si="96">IF(WEEKDAY(A600, 2)&lt;6, E600-2, E600)</f>
        <v>3.5000000000000018</v>
      </c>
      <c r="M600" s="51">
        <f t="shared" si="93"/>
        <v>3.5000000000000018</v>
      </c>
    </row>
    <row r="601" spans="1:13" x14ac:dyDescent="0.25">
      <c r="A601" s="133">
        <v>45573</v>
      </c>
      <c r="B601" s="51" t="s">
        <v>56</v>
      </c>
      <c r="C601" s="135">
        <v>0.625</v>
      </c>
      <c r="D601" s="135">
        <v>0.75</v>
      </c>
      <c r="E601" s="53">
        <f t="shared" si="92"/>
        <v>3</v>
      </c>
      <c r="H601" s="53"/>
      <c r="J601" s="53">
        <f t="shared" si="96"/>
        <v>1</v>
      </c>
      <c r="M601" s="51">
        <f t="shared" si="93"/>
        <v>1</v>
      </c>
    </row>
    <row r="602" spans="1:13" x14ac:dyDescent="0.25">
      <c r="A602" s="133">
        <v>45574</v>
      </c>
      <c r="B602" s="51" t="s">
        <v>56</v>
      </c>
      <c r="C602" s="135">
        <v>0.33333333333333331</v>
      </c>
      <c r="D602" s="135">
        <v>0.58333333333333337</v>
      </c>
      <c r="E602" s="53">
        <f t="shared" si="92"/>
        <v>5.5000000000000018</v>
      </c>
      <c r="F602" s="51">
        <v>0.5</v>
      </c>
      <c r="H602" s="53"/>
      <c r="J602" s="53">
        <f t="shared" si="96"/>
        <v>3.5000000000000018</v>
      </c>
      <c r="M602" s="51">
        <f t="shared" si="93"/>
        <v>3.5000000000000018</v>
      </c>
    </row>
    <row r="603" spans="1:13" x14ac:dyDescent="0.25">
      <c r="A603" s="133">
        <v>45574</v>
      </c>
      <c r="B603" s="51" t="s">
        <v>49</v>
      </c>
      <c r="C603" s="141">
        <v>0.72916666666666663</v>
      </c>
      <c r="D603" s="135">
        <v>0.89583333333333337</v>
      </c>
      <c r="E603" s="53">
        <f t="shared" si="92"/>
        <v>4.0000000000000018</v>
      </c>
      <c r="H603" s="53">
        <f t="shared" si="94"/>
        <v>6.0000000000000018</v>
      </c>
      <c r="M603" s="51">
        <f t="shared" si="93"/>
        <v>6.0000000000000018</v>
      </c>
    </row>
    <row r="604" spans="1:13" x14ac:dyDescent="0.25">
      <c r="A604" s="133">
        <v>45575</v>
      </c>
      <c r="B604" s="51" t="s">
        <v>56</v>
      </c>
      <c r="C604" s="135">
        <v>0.70833333333333337</v>
      </c>
      <c r="D604" s="135">
        <v>0.95833333333333337</v>
      </c>
      <c r="E604" s="53">
        <f t="shared" si="92"/>
        <v>5.5</v>
      </c>
      <c r="F604" s="51">
        <v>0.5</v>
      </c>
      <c r="H604" s="53"/>
      <c r="J604" s="53">
        <f>IF(WEEKDAY(A604, 2)&lt;6, E604-2, E604)</f>
        <v>3.5</v>
      </c>
      <c r="M604" s="51">
        <f t="shared" si="93"/>
        <v>3.5</v>
      </c>
    </row>
    <row r="605" spans="1:13" x14ac:dyDescent="0.25">
      <c r="A605" s="133">
        <v>45575</v>
      </c>
      <c r="B605" s="51" t="s">
        <v>49</v>
      </c>
      <c r="C605" s="135">
        <v>0.70833333333333337</v>
      </c>
      <c r="D605" s="135">
        <v>0.85416666666666663</v>
      </c>
      <c r="E605" s="53">
        <f t="shared" si="92"/>
        <v>3.4999999999999982</v>
      </c>
      <c r="H605" s="53">
        <f t="shared" si="94"/>
        <v>5.4999999999999982</v>
      </c>
      <c r="M605" s="51">
        <f t="shared" si="93"/>
        <v>5.4999999999999982</v>
      </c>
    </row>
    <row r="606" spans="1:13" x14ac:dyDescent="0.25">
      <c r="A606" s="133">
        <v>45575</v>
      </c>
      <c r="B606" s="51" t="s">
        <v>56</v>
      </c>
      <c r="C606" s="135">
        <v>0.33333333333333331</v>
      </c>
      <c r="D606" s="135">
        <v>0.58333333333333337</v>
      </c>
      <c r="E606" s="53">
        <f t="shared" si="92"/>
        <v>5.5000000000000018</v>
      </c>
      <c r="F606" s="51">
        <v>0.5</v>
      </c>
      <c r="H606" s="53"/>
      <c r="J606" s="53">
        <f t="shared" ref="J606:J607" si="97">IF(WEEKDAY(A606, 2)&lt;6, E606-2, E606)</f>
        <v>3.5000000000000018</v>
      </c>
      <c r="M606" s="51">
        <f t="shared" si="93"/>
        <v>3.5000000000000018</v>
      </c>
    </row>
    <row r="607" spans="1:13" x14ac:dyDescent="0.25">
      <c r="A607" s="133">
        <v>45576</v>
      </c>
      <c r="B607" s="51" t="s">
        <v>56</v>
      </c>
      <c r="C607" s="135">
        <v>0.33333333333333331</v>
      </c>
      <c r="D607" s="135">
        <v>0.58333333333333337</v>
      </c>
      <c r="E607" s="53">
        <f t="shared" si="92"/>
        <v>5.5000000000000018</v>
      </c>
      <c r="F607" s="51">
        <v>0.5</v>
      </c>
      <c r="H607" s="53"/>
      <c r="J607" s="53">
        <f t="shared" si="97"/>
        <v>3.5000000000000018</v>
      </c>
      <c r="M607" s="51">
        <f t="shared" si="93"/>
        <v>3.5000000000000018</v>
      </c>
    </row>
    <row r="608" spans="1:13" x14ac:dyDescent="0.25">
      <c r="A608" s="133">
        <v>45576</v>
      </c>
      <c r="B608" s="51" t="s">
        <v>46</v>
      </c>
      <c r="C608" s="135">
        <v>0.45833333333333331</v>
      </c>
      <c r="D608" s="135">
        <v>0.79166666666666663</v>
      </c>
      <c r="E608" s="53">
        <f t="shared" si="92"/>
        <v>7.5</v>
      </c>
      <c r="F608" s="51">
        <v>0.5</v>
      </c>
      <c r="H608" s="53">
        <f t="shared" si="94"/>
        <v>9.5</v>
      </c>
      <c r="M608" s="51">
        <f t="shared" si="93"/>
        <v>9.5</v>
      </c>
    </row>
    <row r="609" spans="1:13" x14ac:dyDescent="0.25">
      <c r="A609" s="133">
        <v>45577</v>
      </c>
      <c r="B609" s="51" t="s">
        <v>53</v>
      </c>
      <c r="C609" s="135">
        <v>0.625</v>
      </c>
      <c r="D609" s="135">
        <v>4.1666666666666664E-2</v>
      </c>
      <c r="E609" s="53">
        <f>MOD((D609-C609),1) *24 - F609</f>
        <v>9</v>
      </c>
      <c r="F609" s="51">
        <v>1</v>
      </c>
      <c r="H609" s="53">
        <f t="shared" si="94"/>
        <v>9</v>
      </c>
      <c r="M609" s="51">
        <f t="shared" si="93"/>
        <v>9</v>
      </c>
    </row>
    <row r="610" spans="1:13" x14ac:dyDescent="0.25">
      <c r="A610" s="133">
        <v>45577</v>
      </c>
      <c r="B610" s="51" t="s">
        <v>49</v>
      </c>
      <c r="C610" s="135">
        <v>0.375</v>
      </c>
      <c r="D610" s="135">
        <v>0.5</v>
      </c>
      <c r="E610" s="53">
        <f t="shared" si="92"/>
        <v>3</v>
      </c>
      <c r="H610" s="53">
        <f t="shared" si="94"/>
        <v>3</v>
      </c>
      <c r="M610" s="51">
        <f t="shared" si="93"/>
        <v>3</v>
      </c>
    </row>
    <row r="611" spans="1:13" x14ac:dyDescent="0.25">
      <c r="A611" s="133">
        <v>45577</v>
      </c>
      <c r="B611" s="51" t="s">
        <v>56</v>
      </c>
      <c r="C611" s="135">
        <v>0.27083333333333331</v>
      </c>
      <c r="D611" s="135">
        <v>0.54166666666666663</v>
      </c>
      <c r="E611" s="53">
        <f t="shared" si="92"/>
        <v>6</v>
      </c>
      <c r="F611" s="51">
        <v>0.5</v>
      </c>
      <c r="H611" s="53"/>
      <c r="J611" s="53">
        <f>IF(WEEKDAY(A611, 2)&lt;6, E611-2, E611)</f>
        <v>6</v>
      </c>
      <c r="M611" s="51">
        <f t="shared" si="93"/>
        <v>6</v>
      </c>
    </row>
    <row r="612" spans="1:13" x14ac:dyDescent="0.25">
      <c r="A612" s="133">
        <v>45578</v>
      </c>
      <c r="B612" s="51" t="s">
        <v>49</v>
      </c>
      <c r="C612" s="135">
        <v>0.60416666666666663</v>
      </c>
      <c r="D612" s="135">
        <v>0.72916666666666663</v>
      </c>
      <c r="E612" s="53">
        <f t="shared" si="92"/>
        <v>3</v>
      </c>
      <c r="H612" s="53">
        <f t="shared" si="94"/>
        <v>3</v>
      </c>
      <c r="M612" s="51">
        <f t="shared" si="93"/>
        <v>3</v>
      </c>
    </row>
    <row r="613" spans="1:13" x14ac:dyDescent="0.25">
      <c r="A613" s="133">
        <v>45579</v>
      </c>
      <c r="B613" s="51" t="s">
        <v>56</v>
      </c>
      <c r="C613" s="135">
        <v>0.33333333333333331</v>
      </c>
      <c r="D613" s="135">
        <v>0.58333333333333337</v>
      </c>
      <c r="E613" s="53">
        <f t="shared" si="92"/>
        <v>5.5000000000000018</v>
      </c>
      <c r="F613" s="51">
        <v>0.5</v>
      </c>
      <c r="H613" s="53"/>
      <c r="J613" s="53">
        <f t="shared" ref="J613:J621" si="98">IF(WEEKDAY(A613, 2)&lt;6, E613-2, E613)</f>
        <v>3.5000000000000018</v>
      </c>
      <c r="M613" s="51">
        <f t="shared" si="93"/>
        <v>3.5000000000000018</v>
      </c>
    </row>
    <row r="614" spans="1:13" x14ac:dyDescent="0.25">
      <c r="A614" s="133">
        <v>45580</v>
      </c>
      <c r="B614" s="51" t="s">
        <v>56</v>
      </c>
      <c r="C614" s="135">
        <v>0.33333333333333331</v>
      </c>
      <c r="D614" s="135">
        <v>0.58333333333333337</v>
      </c>
      <c r="E614" s="53">
        <f t="shared" si="92"/>
        <v>5.5000000000000018</v>
      </c>
      <c r="F614" s="51">
        <v>0.5</v>
      </c>
      <c r="H614" s="53"/>
      <c r="J614" s="53">
        <f t="shared" si="98"/>
        <v>3.5000000000000018</v>
      </c>
      <c r="M614" s="51">
        <f t="shared" si="93"/>
        <v>3.5000000000000018</v>
      </c>
    </row>
    <row r="615" spans="1:13" x14ac:dyDescent="0.25">
      <c r="A615" s="133">
        <v>45581</v>
      </c>
      <c r="B615" s="51" t="s">
        <v>56</v>
      </c>
      <c r="C615" s="135">
        <v>0.33333333333333331</v>
      </c>
      <c r="D615" s="135">
        <v>0.45833333333333331</v>
      </c>
      <c r="E615" s="53">
        <f t="shared" si="92"/>
        <v>3</v>
      </c>
      <c r="H615" s="53"/>
      <c r="J615" s="53">
        <f t="shared" si="98"/>
        <v>1</v>
      </c>
      <c r="M615" s="51">
        <f t="shared" si="93"/>
        <v>1</v>
      </c>
    </row>
    <row r="616" spans="1:13" x14ac:dyDescent="0.25">
      <c r="A616" s="133">
        <v>45581</v>
      </c>
      <c r="B616" s="51" t="s">
        <v>56</v>
      </c>
      <c r="C616" s="135">
        <v>0.45833333333333331</v>
      </c>
      <c r="D616" s="135">
        <v>0.58333333333333337</v>
      </c>
      <c r="E616" s="53">
        <f t="shared" si="92"/>
        <v>3.0000000000000013</v>
      </c>
      <c r="H616" s="53"/>
      <c r="J616" s="53">
        <f t="shared" si="98"/>
        <v>1.0000000000000013</v>
      </c>
      <c r="M616" s="51">
        <f t="shared" si="93"/>
        <v>1.0000000000000013</v>
      </c>
    </row>
    <row r="617" spans="1:13" x14ac:dyDescent="0.25">
      <c r="A617" s="133">
        <v>45581</v>
      </c>
      <c r="B617" s="51" t="s">
        <v>56</v>
      </c>
      <c r="C617" s="135">
        <v>0.6875</v>
      </c>
      <c r="D617" s="135">
        <v>0.89583333333333337</v>
      </c>
      <c r="E617" s="53">
        <f t="shared" si="92"/>
        <v>5.0000000000000009</v>
      </c>
      <c r="H617" s="53"/>
      <c r="J617" s="53">
        <f t="shared" si="98"/>
        <v>3.0000000000000009</v>
      </c>
      <c r="M617" s="51">
        <f t="shared" si="93"/>
        <v>3.0000000000000009</v>
      </c>
    </row>
    <row r="618" spans="1:13" x14ac:dyDescent="0.25">
      <c r="A618" s="133">
        <v>45582</v>
      </c>
      <c r="B618" s="51" t="s">
        <v>56</v>
      </c>
      <c r="C618" s="135">
        <v>0.33333333333333331</v>
      </c>
      <c r="D618" s="135">
        <v>0.58333333333333337</v>
      </c>
      <c r="E618" s="53">
        <f t="shared" si="92"/>
        <v>5.5000000000000018</v>
      </c>
      <c r="F618" s="51">
        <v>0.5</v>
      </c>
      <c r="H618" s="53"/>
      <c r="J618" s="53">
        <f t="shared" si="98"/>
        <v>3.5000000000000018</v>
      </c>
      <c r="M618" s="51">
        <f t="shared" si="93"/>
        <v>3.5000000000000018</v>
      </c>
    </row>
    <row r="619" spans="1:13" x14ac:dyDescent="0.25">
      <c r="A619" s="133">
        <v>45582</v>
      </c>
      <c r="B619" s="51" t="s">
        <v>56</v>
      </c>
      <c r="C619" s="135">
        <v>0.70833333333333337</v>
      </c>
      <c r="D619" s="135">
        <v>0.95833333333333337</v>
      </c>
      <c r="E619" s="53">
        <f t="shared" si="92"/>
        <v>5.5</v>
      </c>
      <c r="F619" s="51">
        <v>0.5</v>
      </c>
      <c r="H619" s="53"/>
      <c r="J619" s="53">
        <f t="shared" si="98"/>
        <v>3.5</v>
      </c>
      <c r="M619" s="51">
        <f t="shared" si="93"/>
        <v>3.5</v>
      </c>
    </row>
    <row r="620" spans="1:13" x14ac:dyDescent="0.25">
      <c r="A620" s="133">
        <v>45583</v>
      </c>
      <c r="B620" s="51" t="s">
        <v>56</v>
      </c>
      <c r="C620" s="135">
        <v>0.33333333333333331</v>
      </c>
      <c r="D620" s="135">
        <v>0.58333333333333337</v>
      </c>
      <c r="E620" s="53">
        <f t="shared" si="92"/>
        <v>5.5000000000000018</v>
      </c>
      <c r="F620" s="51">
        <v>0.5</v>
      </c>
      <c r="H620" s="53"/>
      <c r="J620" s="53">
        <f t="shared" si="98"/>
        <v>3.5000000000000018</v>
      </c>
      <c r="M620" s="51">
        <f t="shared" si="93"/>
        <v>3.5000000000000018</v>
      </c>
    </row>
    <row r="621" spans="1:13" x14ac:dyDescent="0.25">
      <c r="A621" s="133">
        <v>45583</v>
      </c>
      <c r="B621" s="51" t="s">
        <v>56</v>
      </c>
      <c r="C621" s="135">
        <v>0.625</v>
      </c>
      <c r="D621" s="135">
        <v>0.83333333333333337</v>
      </c>
      <c r="E621" s="53">
        <f t="shared" si="92"/>
        <v>5.0000000000000009</v>
      </c>
      <c r="H621" s="53"/>
      <c r="J621" s="53">
        <f t="shared" si="98"/>
        <v>3.0000000000000009</v>
      </c>
      <c r="M621" s="51">
        <f t="shared" si="93"/>
        <v>3.0000000000000009</v>
      </c>
    </row>
    <row r="622" spans="1:13" x14ac:dyDescent="0.25">
      <c r="A622" s="133">
        <v>45584</v>
      </c>
      <c r="B622" s="51" t="s">
        <v>48</v>
      </c>
      <c r="C622" s="135">
        <v>0.5</v>
      </c>
      <c r="D622" s="135">
        <v>0.75</v>
      </c>
      <c r="E622" s="53">
        <f t="shared" si="92"/>
        <v>5.5</v>
      </c>
      <c r="F622" s="51">
        <v>0.5</v>
      </c>
      <c r="H622" s="53">
        <f t="shared" si="94"/>
        <v>5.5</v>
      </c>
      <c r="M622" s="51">
        <f t="shared" si="93"/>
        <v>5.5</v>
      </c>
    </row>
    <row r="623" spans="1:13" x14ac:dyDescent="0.25">
      <c r="A623" s="133">
        <v>45584</v>
      </c>
      <c r="B623" s="51" t="s">
        <v>49</v>
      </c>
      <c r="C623" s="135">
        <v>0.375</v>
      </c>
      <c r="D623" s="135">
        <v>0.5</v>
      </c>
      <c r="E623" s="53">
        <f t="shared" si="92"/>
        <v>3</v>
      </c>
      <c r="H623" s="53">
        <f t="shared" si="94"/>
        <v>3</v>
      </c>
      <c r="M623" s="51">
        <f t="shared" si="93"/>
        <v>3</v>
      </c>
    </row>
    <row r="624" spans="1:13" x14ac:dyDescent="0.25">
      <c r="A624" s="133">
        <v>45584</v>
      </c>
      <c r="B624" s="51" t="s">
        <v>58</v>
      </c>
      <c r="C624" s="135">
        <v>0.54166666666666663</v>
      </c>
      <c r="D624" s="135">
        <v>0.77083333333333337</v>
      </c>
      <c r="E624" s="53">
        <f t="shared" si="92"/>
        <v>5.0000000000000018</v>
      </c>
      <c r="F624" s="51">
        <v>0.5</v>
      </c>
      <c r="H624" s="53">
        <f t="shared" si="94"/>
        <v>5.0000000000000018</v>
      </c>
      <c r="M624" s="51">
        <f t="shared" si="93"/>
        <v>5.0000000000000018</v>
      </c>
    </row>
    <row r="625" spans="1:13" x14ac:dyDescent="0.25">
      <c r="A625" s="133">
        <v>45584</v>
      </c>
      <c r="B625" s="51" t="s">
        <v>58</v>
      </c>
      <c r="C625" s="135">
        <v>0.77083333333333337</v>
      </c>
      <c r="D625" s="135">
        <v>0</v>
      </c>
      <c r="E625" s="53">
        <f t="shared" si="92"/>
        <v>4.9999999999999991</v>
      </c>
      <c r="F625" s="51">
        <v>0.5</v>
      </c>
      <c r="H625" s="53">
        <f t="shared" si="94"/>
        <v>4.9999999999999991</v>
      </c>
      <c r="M625" s="51">
        <f t="shared" si="93"/>
        <v>4.9999999999999991</v>
      </c>
    </row>
    <row r="626" spans="1:13" x14ac:dyDescent="0.25">
      <c r="A626" s="133">
        <v>45584</v>
      </c>
      <c r="B626" s="51" t="s">
        <v>56</v>
      </c>
      <c r="C626" s="135">
        <v>0.27083333333333331</v>
      </c>
      <c r="D626" s="135">
        <v>0.41666666666666669</v>
      </c>
      <c r="E626" s="53">
        <f t="shared" si="92"/>
        <v>3.5000000000000009</v>
      </c>
      <c r="H626" s="53"/>
      <c r="J626" s="53">
        <f t="shared" ref="J626:J627" si="99">IF(WEEKDAY(A626, 2)&lt;6, E626-2, E626)</f>
        <v>3.5000000000000009</v>
      </c>
      <c r="M626" s="51">
        <f t="shared" si="93"/>
        <v>3.5000000000000009</v>
      </c>
    </row>
    <row r="627" spans="1:13" x14ac:dyDescent="0.25">
      <c r="A627" s="133">
        <v>45584</v>
      </c>
      <c r="B627" s="51" t="s">
        <v>56</v>
      </c>
      <c r="C627" s="135">
        <v>0.33333333333333331</v>
      </c>
      <c r="D627" s="135">
        <v>0.54166666666666663</v>
      </c>
      <c r="E627" s="53">
        <f t="shared" si="92"/>
        <v>5</v>
      </c>
      <c r="H627" s="53"/>
      <c r="J627" s="53">
        <f t="shared" si="99"/>
        <v>5</v>
      </c>
      <c r="M627" s="51">
        <f t="shared" si="93"/>
        <v>5</v>
      </c>
    </row>
    <row r="628" spans="1:13" x14ac:dyDescent="0.25">
      <c r="A628" s="133">
        <v>45585</v>
      </c>
      <c r="B628" s="51" t="s">
        <v>58</v>
      </c>
      <c r="C628" s="135">
        <v>0.41666666666666669</v>
      </c>
      <c r="D628" s="135">
        <v>0.79166666666666663</v>
      </c>
      <c r="E628" s="53">
        <f t="shared" si="92"/>
        <v>7.9999999999999982</v>
      </c>
      <c r="F628" s="51">
        <v>1</v>
      </c>
      <c r="H628" s="53">
        <f t="shared" si="94"/>
        <v>7.9999999999999982</v>
      </c>
      <c r="M628" s="51">
        <f t="shared" si="93"/>
        <v>7.9999999999999982</v>
      </c>
    </row>
    <row r="629" spans="1:13" x14ac:dyDescent="0.25">
      <c r="A629" s="133">
        <v>45585</v>
      </c>
      <c r="B629" s="51" t="s">
        <v>49</v>
      </c>
      <c r="C629" s="135">
        <v>0.60416666666666663</v>
      </c>
      <c r="D629" s="141">
        <v>0.72916666666666663</v>
      </c>
      <c r="E629" s="53">
        <f t="shared" si="92"/>
        <v>3</v>
      </c>
      <c r="H629" s="53">
        <f t="shared" si="94"/>
        <v>3</v>
      </c>
      <c r="M629" s="51">
        <f t="shared" si="93"/>
        <v>3</v>
      </c>
    </row>
    <row r="630" spans="1:13" x14ac:dyDescent="0.25">
      <c r="A630" s="133">
        <v>45586</v>
      </c>
      <c r="B630" s="51" t="s">
        <v>56</v>
      </c>
      <c r="C630" s="135">
        <v>0.33333333333333331</v>
      </c>
      <c r="D630" s="135">
        <v>0.58333333333333337</v>
      </c>
      <c r="E630" s="53">
        <f t="shared" si="92"/>
        <v>5.5000000000000018</v>
      </c>
      <c r="F630" s="51">
        <v>0.5</v>
      </c>
      <c r="H630" s="53"/>
      <c r="J630" s="53">
        <f t="shared" ref="J630:J631" si="100">IF(WEEKDAY(A630, 2)&lt;6, E630-2, E630)</f>
        <v>3.5000000000000018</v>
      </c>
      <c r="M630" s="51">
        <f t="shared" si="93"/>
        <v>3.5000000000000018</v>
      </c>
    </row>
    <row r="631" spans="1:13" x14ac:dyDescent="0.25">
      <c r="A631" s="133">
        <v>45587</v>
      </c>
      <c r="B631" s="51" t="s">
        <v>56</v>
      </c>
      <c r="C631" s="135">
        <v>0.33333333333333331</v>
      </c>
      <c r="D631" s="135">
        <v>0.58333333333333337</v>
      </c>
      <c r="E631" s="53">
        <f t="shared" si="92"/>
        <v>5.5000000000000018</v>
      </c>
      <c r="F631" s="51">
        <v>0.5</v>
      </c>
      <c r="H631" s="53"/>
      <c r="J631" s="53">
        <f t="shared" si="100"/>
        <v>3.5000000000000018</v>
      </c>
      <c r="M631" s="51">
        <f t="shared" si="93"/>
        <v>3.5000000000000018</v>
      </c>
    </row>
    <row r="632" spans="1:13" x14ac:dyDescent="0.25">
      <c r="A632" s="133">
        <v>45588</v>
      </c>
      <c r="B632" s="51" t="s">
        <v>49</v>
      </c>
      <c r="C632" s="135">
        <v>0.70833333333333337</v>
      </c>
      <c r="D632" s="135">
        <v>0.89583333333333337</v>
      </c>
      <c r="E632" s="53">
        <f t="shared" si="92"/>
        <v>4.5</v>
      </c>
      <c r="H632" s="53">
        <f t="shared" si="94"/>
        <v>6.5</v>
      </c>
      <c r="M632" s="51">
        <f t="shared" si="93"/>
        <v>6.5</v>
      </c>
    </row>
    <row r="633" spans="1:13" x14ac:dyDescent="0.25">
      <c r="A633" s="133">
        <v>45588</v>
      </c>
      <c r="B633" s="51" t="s">
        <v>56</v>
      </c>
      <c r="C633" s="135">
        <v>0.33333333333333331</v>
      </c>
      <c r="D633" s="135">
        <v>0.58333333333333337</v>
      </c>
      <c r="E633" s="53">
        <f t="shared" si="92"/>
        <v>5.5000000000000018</v>
      </c>
      <c r="F633" s="51">
        <v>0.5</v>
      </c>
      <c r="H633" s="53"/>
      <c r="J633" s="53">
        <f>IF(WEEKDAY(A633, 2)&lt;6, E633-2, E633)</f>
        <v>3.5000000000000018</v>
      </c>
      <c r="M633" s="51">
        <f t="shared" si="93"/>
        <v>3.5000000000000018</v>
      </c>
    </row>
    <row r="634" spans="1:13" x14ac:dyDescent="0.25">
      <c r="A634" s="133">
        <v>45589</v>
      </c>
      <c r="B634" s="51" t="s">
        <v>49</v>
      </c>
      <c r="C634" s="135">
        <v>0.75</v>
      </c>
      <c r="D634" s="135">
        <v>0.97916666666666663</v>
      </c>
      <c r="E634" s="53">
        <f t="shared" si="92"/>
        <v>4.9999999999999991</v>
      </c>
      <c r="F634" s="51">
        <v>0.5</v>
      </c>
      <c r="H634" s="53">
        <f t="shared" si="94"/>
        <v>6.9999999999999991</v>
      </c>
      <c r="M634" s="51">
        <f t="shared" si="93"/>
        <v>6.9999999999999991</v>
      </c>
    </row>
    <row r="635" spans="1:13" x14ac:dyDescent="0.25">
      <c r="A635" s="133">
        <v>45589</v>
      </c>
      <c r="B635" s="51" t="s">
        <v>56</v>
      </c>
      <c r="C635" s="135">
        <v>0.33333333333333331</v>
      </c>
      <c r="D635" s="135">
        <v>0.58333333333333337</v>
      </c>
      <c r="E635" s="53">
        <f t="shared" si="92"/>
        <v>5.5000000000000018</v>
      </c>
      <c r="F635" s="51">
        <v>0.5</v>
      </c>
      <c r="H635" s="53"/>
      <c r="J635" s="53">
        <f t="shared" ref="J635:J636" si="101">IF(WEEKDAY(A635, 2)&lt;6, E635-2, E635)</f>
        <v>3.5000000000000018</v>
      </c>
      <c r="M635" s="51">
        <f t="shared" si="93"/>
        <v>3.5000000000000018</v>
      </c>
    </row>
    <row r="636" spans="1:13" x14ac:dyDescent="0.25">
      <c r="A636" s="133">
        <v>45589</v>
      </c>
      <c r="B636" s="51" t="s">
        <v>56</v>
      </c>
      <c r="C636" s="135">
        <v>0.70833333333333337</v>
      </c>
      <c r="D636" s="135">
        <v>0.95833333333333337</v>
      </c>
      <c r="E636" s="53">
        <f t="shared" si="92"/>
        <v>5.5</v>
      </c>
      <c r="F636" s="51">
        <v>0.5</v>
      </c>
      <c r="H636" s="53"/>
      <c r="J636" s="53">
        <f t="shared" si="101"/>
        <v>3.5</v>
      </c>
      <c r="M636" s="51">
        <f t="shared" si="93"/>
        <v>3.5</v>
      </c>
    </row>
    <row r="637" spans="1:13" x14ac:dyDescent="0.25">
      <c r="A637" s="133">
        <v>45589</v>
      </c>
      <c r="B637" s="51" t="s">
        <v>53</v>
      </c>
      <c r="C637" s="135">
        <v>0.47916666666666669</v>
      </c>
      <c r="D637" s="135">
        <v>0.72916666666666663</v>
      </c>
      <c r="E637" s="53">
        <f t="shared" si="92"/>
        <v>5.4999999999999982</v>
      </c>
      <c r="F637" s="51">
        <v>0.5</v>
      </c>
      <c r="H637" s="53">
        <f t="shared" si="94"/>
        <v>7.4999999999999982</v>
      </c>
      <c r="M637" s="51">
        <f t="shared" si="93"/>
        <v>7.4999999999999982</v>
      </c>
    </row>
    <row r="638" spans="1:13" x14ac:dyDescent="0.25">
      <c r="A638" s="133">
        <v>45590</v>
      </c>
      <c r="B638" s="51" t="s">
        <v>49</v>
      </c>
      <c r="C638" s="141">
        <v>0.47916666666666669</v>
      </c>
      <c r="D638" s="135">
        <v>0.72916666666666663</v>
      </c>
      <c r="E638" s="53">
        <f t="shared" si="92"/>
        <v>5.4999999999999982</v>
      </c>
      <c r="F638" s="51">
        <v>0.5</v>
      </c>
      <c r="H638" s="53">
        <f t="shared" si="94"/>
        <v>7.4999999999999982</v>
      </c>
      <c r="M638" s="51">
        <f t="shared" si="93"/>
        <v>7.4999999999999982</v>
      </c>
    </row>
    <row r="639" spans="1:13" x14ac:dyDescent="0.25">
      <c r="A639" s="133">
        <v>45590</v>
      </c>
      <c r="B639" s="51" t="s">
        <v>56</v>
      </c>
      <c r="C639" s="135">
        <v>0.33333333333333331</v>
      </c>
      <c r="D639" s="135">
        <v>0.58333333333333337</v>
      </c>
      <c r="E639" s="53">
        <f t="shared" si="92"/>
        <v>5.5000000000000018</v>
      </c>
      <c r="F639" s="51">
        <v>0.5</v>
      </c>
      <c r="H639" s="53"/>
      <c r="J639" s="53">
        <f>IF(WEEKDAY(A639, 2)&lt;6, E639-2, E639)</f>
        <v>3.5000000000000018</v>
      </c>
      <c r="M639" s="51">
        <f t="shared" si="93"/>
        <v>3.5000000000000018</v>
      </c>
    </row>
    <row r="640" spans="1:13" x14ac:dyDescent="0.25">
      <c r="A640" s="133">
        <v>45591</v>
      </c>
      <c r="B640" s="51" t="s">
        <v>58</v>
      </c>
      <c r="C640" s="135">
        <v>0.27083333333333331</v>
      </c>
      <c r="D640" s="135">
        <v>0.60416666666666663</v>
      </c>
      <c r="E640" s="53">
        <f t="shared" si="92"/>
        <v>7.5</v>
      </c>
      <c r="F640" s="51">
        <v>0.5</v>
      </c>
      <c r="H640" s="53">
        <f t="shared" si="94"/>
        <v>7.5</v>
      </c>
      <c r="M640" s="51">
        <f t="shared" si="93"/>
        <v>7.5</v>
      </c>
    </row>
    <row r="641" spans="1:13" x14ac:dyDescent="0.25">
      <c r="A641" s="133">
        <v>45591</v>
      </c>
      <c r="B641" s="51" t="s">
        <v>53</v>
      </c>
      <c r="C641" s="135">
        <v>0.33333333333333331</v>
      </c>
      <c r="D641" s="135">
        <v>0.58333333333333337</v>
      </c>
      <c r="E641" s="53">
        <f t="shared" si="92"/>
        <v>5.5000000000000018</v>
      </c>
      <c r="F641" s="51">
        <v>0.5</v>
      </c>
      <c r="H641" s="53">
        <f t="shared" si="94"/>
        <v>5.5000000000000018</v>
      </c>
      <c r="M641" s="51">
        <f t="shared" si="93"/>
        <v>5.5000000000000018</v>
      </c>
    </row>
    <row r="642" spans="1:13" x14ac:dyDescent="0.25">
      <c r="A642" s="133">
        <v>45591</v>
      </c>
      <c r="B642" s="51" t="s">
        <v>53</v>
      </c>
      <c r="C642" s="135">
        <v>0.58333333333333337</v>
      </c>
      <c r="D642" s="135">
        <v>0.77083333333333337</v>
      </c>
      <c r="E642" s="53">
        <f t="shared" si="92"/>
        <v>4.5</v>
      </c>
      <c r="H642" s="53">
        <f t="shared" si="94"/>
        <v>4.5</v>
      </c>
      <c r="M642" s="51">
        <f t="shared" si="93"/>
        <v>4.5</v>
      </c>
    </row>
    <row r="643" spans="1:13" x14ac:dyDescent="0.25">
      <c r="A643" s="133">
        <v>45591</v>
      </c>
      <c r="B643" s="51" t="s">
        <v>58</v>
      </c>
      <c r="C643" s="135">
        <v>0.58333333333333337</v>
      </c>
      <c r="D643" s="135">
        <v>4.1666666666666664E-2</v>
      </c>
      <c r="E643" s="53">
        <f t="shared" ref="E643:E706" si="102">MOD((D643-C643),1) *24 - F643</f>
        <v>9.9999999999999982</v>
      </c>
      <c r="F643" s="51">
        <v>1</v>
      </c>
      <c r="H643" s="53">
        <f t="shared" ref="H643:H706" si="103">IF(WEEKDAY(A643, 2)&lt;6, E643+2, E643)</f>
        <v>9.9999999999999982</v>
      </c>
      <c r="M643" s="51">
        <f t="shared" ref="M643:M706" si="104">IF(H643&lt;&gt;"",H643,J643)</f>
        <v>9.9999999999999982</v>
      </c>
    </row>
    <row r="644" spans="1:13" x14ac:dyDescent="0.25">
      <c r="A644" s="133">
        <v>45591</v>
      </c>
      <c r="B644" s="51" t="s">
        <v>46</v>
      </c>
      <c r="C644" s="135">
        <v>0.60416666666666663</v>
      </c>
      <c r="D644" s="135">
        <v>0.85416666666666663</v>
      </c>
      <c r="E644" s="53">
        <f t="shared" si="102"/>
        <v>5.5</v>
      </c>
      <c r="F644" s="51">
        <v>0.5</v>
      </c>
      <c r="H644" s="53">
        <f t="shared" si="103"/>
        <v>5.5</v>
      </c>
      <c r="M644" s="51">
        <f t="shared" si="104"/>
        <v>5.5</v>
      </c>
    </row>
    <row r="645" spans="1:13" x14ac:dyDescent="0.25">
      <c r="A645" s="133">
        <v>45591</v>
      </c>
      <c r="B645" s="51" t="s">
        <v>55</v>
      </c>
      <c r="C645" s="135">
        <v>0.72916666666666663</v>
      </c>
      <c r="D645" s="135">
        <v>0.89583333333333337</v>
      </c>
      <c r="E645" s="53">
        <f t="shared" si="102"/>
        <v>4.0000000000000018</v>
      </c>
      <c r="H645" s="53">
        <f t="shared" si="103"/>
        <v>4.0000000000000018</v>
      </c>
      <c r="M645" s="51">
        <f t="shared" si="104"/>
        <v>4.0000000000000018</v>
      </c>
    </row>
    <row r="646" spans="1:13" x14ac:dyDescent="0.25">
      <c r="A646" s="133">
        <v>45592</v>
      </c>
      <c r="B646" s="51" t="s">
        <v>53</v>
      </c>
      <c r="C646" s="135">
        <v>0.5</v>
      </c>
      <c r="D646" s="135">
        <v>0.75</v>
      </c>
      <c r="E646" s="53">
        <f t="shared" si="102"/>
        <v>5.5</v>
      </c>
      <c r="F646" s="51">
        <v>0.5</v>
      </c>
      <c r="H646" s="53">
        <f t="shared" si="103"/>
        <v>5.5</v>
      </c>
      <c r="M646" s="51">
        <f t="shared" si="104"/>
        <v>5.5</v>
      </c>
    </row>
    <row r="647" spans="1:13" x14ac:dyDescent="0.25">
      <c r="A647" s="133">
        <v>45592</v>
      </c>
      <c r="B647" s="51" t="s">
        <v>58</v>
      </c>
      <c r="C647" s="135">
        <v>0.5625</v>
      </c>
      <c r="D647" s="135">
        <v>0.77083333333333337</v>
      </c>
      <c r="E647" s="53">
        <f t="shared" si="102"/>
        <v>5.0000000000000009</v>
      </c>
      <c r="H647" s="53">
        <f t="shared" si="103"/>
        <v>5.0000000000000009</v>
      </c>
      <c r="M647" s="51">
        <f t="shared" si="104"/>
        <v>5.0000000000000009</v>
      </c>
    </row>
    <row r="648" spans="1:13" x14ac:dyDescent="0.25">
      <c r="A648" s="133">
        <v>45593</v>
      </c>
      <c r="B648" s="51" t="s">
        <v>56</v>
      </c>
      <c r="C648" s="135">
        <v>0.33333333333333331</v>
      </c>
      <c r="D648" s="135">
        <v>0.58333333333333337</v>
      </c>
      <c r="E648" s="53">
        <f t="shared" si="102"/>
        <v>5.5000000000000018</v>
      </c>
      <c r="F648" s="51">
        <v>0.5</v>
      </c>
      <c r="H648" s="53"/>
      <c r="J648" s="53">
        <f t="shared" ref="J648:J649" si="105">IF(WEEKDAY(A648, 2)&lt;6, E648-2, E648)</f>
        <v>3.5000000000000018</v>
      </c>
      <c r="M648" s="51">
        <f t="shared" si="104"/>
        <v>3.5000000000000018</v>
      </c>
    </row>
    <row r="649" spans="1:13" x14ac:dyDescent="0.25">
      <c r="A649" s="133">
        <v>45594</v>
      </c>
      <c r="B649" s="51" t="s">
        <v>56</v>
      </c>
      <c r="C649" s="135">
        <v>0.33333333333333331</v>
      </c>
      <c r="D649" s="135">
        <v>0.58333333333333337</v>
      </c>
      <c r="E649" s="53">
        <f t="shared" si="102"/>
        <v>5.5000000000000018</v>
      </c>
      <c r="F649" s="51">
        <v>0.5</v>
      </c>
      <c r="H649" s="53"/>
      <c r="J649" s="53">
        <f t="shared" si="105"/>
        <v>3.5000000000000018</v>
      </c>
      <c r="M649" s="51">
        <f t="shared" si="104"/>
        <v>3.5000000000000018</v>
      </c>
    </row>
    <row r="650" spans="1:13" x14ac:dyDescent="0.25">
      <c r="A650" s="133">
        <v>45595</v>
      </c>
      <c r="B650" s="51" t="s">
        <v>49</v>
      </c>
      <c r="C650" s="135">
        <v>0.70833333333333337</v>
      </c>
      <c r="D650" s="135">
        <v>0.89583333333333337</v>
      </c>
      <c r="E650" s="53">
        <f t="shared" si="102"/>
        <v>4.5</v>
      </c>
      <c r="H650" s="53">
        <f t="shared" si="103"/>
        <v>6.5</v>
      </c>
      <c r="M650" s="51">
        <f t="shared" si="104"/>
        <v>6.5</v>
      </c>
    </row>
    <row r="651" spans="1:13" x14ac:dyDescent="0.25">
      <c r="A651" s="133">
        <v>45595</v>
      </c>
      <c r="B651" s="51" t="s">
        <v>56</v>
      </c>
      <c r="C651" s="135">
        <v>0.33333333333333331</v>
      </c>
      <c r="D651" s="135">
        <v>0.58333333333333337</v>
      </c>
      <c r="E651" s="53">
        <f t="shared" si="102"/>
        <v>5.5000000000000018</v>
      </c>
      <c r="F651" s="51">
        <v>0.5</v>
      </c>
      <c r="H651" s="53"/>
      <c r="J651" s="53">
        <f t="shared" ref="J651:J654" si="106">IF(WEEKDAY(A651, 2)&lt;6, E651-2, E651)</f>
        <v>3.5000000000000018</v>
      </c>
      <c r="M651" s="51">
        <f t="shared" si="104"/>
        <v>3.5000000000000018</v>
      </c>
    </row>
    <row r="652" spans="1:13" x14ac:dyDescent="0.25">
      <c r="A652" s="133">
        <v>45596</v>
      </c>
      <c r="B652" s="51" t="s">
        <v>56</v>
      </c>
      <c r="C652" s="135">
        <v>0.77083333333333337</v>
      </c>
      <c r="D652" s="135">
        <v>0.91666666666666663</v>
      </c>
      <c r="E652" s="53">
        <f t="shared" si="102"/>
        <v>3.4999999999999982</v>
      </c>
      <c r="H652" s="53"/>
      <c r="J652" s="53">
        <f t="shared" si="106"/>
        <v>1.4999999999999982</v>
      </c>
      <c r="M652" s="51">
        <f t="shared" si="104"/>
        <v>1.4999999999999982</v>
      </c>
    </row>
    <row r="653" spans="1:13" x14ac:dyDescent="0.25">
      <c r="A653" s="133">
        <v>45596</v>
      </c>
      <c r="B653" s="51" t="s">
        <v>56</v>
      </c>
      <c r="C653" s="135">
        <v>0.33333333333333331</v>
      </c>
      <c r="D653" s="135">
        <v>0.58333333333333337</v>
      </c>
      <c r="E653" s="53">
        <f t="shared" si="102"/>
        <v>5.5000000000000018</v>
      </c>
      <c r="F653" s="51">
        <v>0.5</v>
      </c>
      <c r="H653" s="53"/>
      <c r="J653" s="53">
        <f t="shared" si="106"/>
        <v>3.5000000000000018</v>
      </c>
      <c r="M653" s="51">
        <f t="shared" si="104"/>
        <v>3.5000000000000018</v>
      </c>
    </row>
    <row r="654" spans="1:13" x14ac:dyDescent="0.25">
      <c r="A654" s="133">
        <v>45597</v>
      </c>
      <c r="B654" s="51" t="s">
        <v>56</v>
      </c>
      <c r="C654" s="135">
        <v>0.33333333333333331</v>
      </c>
      <c r="D654" s="135">
        <v>0.58333333333333337</v>
      </c>
      <c r="E654" s="53">
        <f t="shared" si="102"/>
        <v>5.5000000000000018</v>
      </c>
      <c r="F654" s="51">
        <v>0.5</v>
      </c>
      <c r="G654" s="55">
        <f>SUM(E:E)</f>
        <v>5521</v>
      </c>
      <c r="H654" s="53"/>
      <c r="J654" s="53">
        <f t="shared" si="106"/>
        <v>3.5000000000000018</v>
      </c>
      <c r="M654" s="51">
        <f t="shared" si="104"/>
        <v>3.5000000000000018</v>
      </c>
    </row>
    <row r="655" spans="1:13" x14ac:dyDescent="0.25">
      <c r="A655" s="133">
        <v>45597</v>
      </c>
      <c r="B655" s="51" t="s">
        <v>53</v>
      </c>
      <c r="C655" s="135">
        <v>0.75</v>
      </c>
      <c r="D655" s="135">
        <v>0.95833333333333337</v>
      </c>
      <c r="E655" s="53">
        <f t="shared" si="102"/>
        <v>5.0000000000000009</v>
      </c>
      <c r="H655" s="53">
        <f t="shared" si="103"/>
        <v>7.0000000000000009</v>
      </c>
      <c r="M655" s="51">
        <f t="shared" si="104"/>
        <v>7.0000000000000009</v>
      </c>
    </row>
    <row r="656" spans="1:13" x14ac:dyDescent="0.25">
      <c r="A656" s="133">
        <v>45597</v>
      </c>
      <c r="B656" s="51" t="s">
        <v>53</v>
      </c>
      <c r="C656" s="135">
        <v>0.45833333333333331</v>
      </c>
      <c r="D656" s="135">
        <v>0.66666666666666663</v>
      </c>
      <c r="E656" s="53">
        <f t="shared" si="102"/>
        <v>5</v>
      </c>
      <c r="H656" s="53">
        <f t="shared" si="103"/>
        <v>7</v>
      </c>
      <c r="M656" s="51">
        <f t="shared" si="104"/>
        <v>7</v>
      </c>
    </row>
    <row r="657" spans="1:13" x14ac:dyDescent="0.25">
      <c r="A657" s="133">
        <v>45598</v>
      </c>
      <c r="B657" s="51" t="s">
        <v>48</v>
      </c>
      <c r="C657" s="135">
        <v>0.41666666666666669</v>
      </c>
      <c r="D657" s="135">
        <v>0.54166666666666663</v>
      </c>
      <c r="E657" s="53">
        <f t="shared" si="102"/>
        <v>2.9999999999999987</v>
      </c>
      <c r="H657" s="53">
        <f t="shared" si="103"/>
        <v>2.9999999999999987</v>
      </c>
      <c r="M657" s="51">
        <f t="shared" si="104"/>
        <v>2.9999999999999987</v>
      </c>
    </row>
    <row r="658" spans="1:13" x14ac:dyDescent="0.25">
      <c r="A658" s="133">
        <v>45598</v>
      </c>
      <c r="B658" s="51" t="s">
        <v>49</v>
      </c>
      <c r="C658" s="135">
        <v>0.375</v>
      </c>
      <c r="D658" s="135">
        <v>0.45833333333333331</v>
      </c>
      <c r="E658" s="53">
        <f t="shared" si="102"/>
        <v>1.9999999999999996</v>
      </c>
      <c r="H658" s="53">
        <f t="shared" si="103"/>
        <v>1.9999999999999996</v>
      </c>
      <c r="M658" s="51">
        <f t="shared" si="104"/>
        <v>1.9999999999999996</v>
      </c>
    </row>
    <row r="659" spans="1:13" x14ac:dyDescent="0.25">
      <c r="A659" s="133">
        <v>45598</v>
      </c>
      <c r="B659" s="51" t="s">
        <v>58</v>
      </c>
      <c r="C659" s="135">
        <v>0.27083333333333331</v>
      </c>
      <c r="D659" s="135">
        <v>0.54166666666666663</v>
      </c>
      <c r="E659" s="53">
        <f t="shared" si="102"/>
        <v>6</v>
      </c>
      <c r="F659" s="51">
        <v>0.5</v>
      </c>
      <c r="H659" s="53">
        <f t="shared" si="103"/>
        <v>6</v>
      </c>
      <c r="M659" s="51">
        <f t="shared" si="104"/>
        <v>6</v>
      </c>
    </row>
    <row r="660" spans="1:13" x14ac:dyDescent="0.25">
      <c r="A660" s="133">
        <v>45598</v>
      </c>
      <c r="B660" s="51" t="s">
        <v>53</v>
      </c>
      <c r="C660" s="135">
        <v>0.54166666666666663</v>
      </c>
      <c r="D660" s="135">
        <v>6.25E-2</v>
      </c>
      <c r="E660" s="53">
        <f t="shared" si="102"/>
        <v>11.5</v>
      </c>
      <c r="F660" s="51">
        <v>1</v>
      </c>
      <c r="H660" s="53">
        <f t="shared" si="103"/>
        <v>11.5</v>
      </c>
      <c r="M660" s="51">
        <f t="shared" si="104"/>
        <v>11.5</v>
      </c>
    </row>
    <row r="661" spans="1:13" x14ac:dyDescent="0.25">
      <c r="A661" s="133">
        <v>45598</v>
      </c>
      <c r="B661" s="51" t="s">
        <v>58</v>
      </c>
      <c r="C661" s="135">
        <v>0.54166666666666663</v>
      </c>
      <c r="D661" s="135">
        <v>0.91666666666666663</v>
      </c>
      <c r="E661" s="53">
        <f t="shared" si="102"/>
        <v>8</v>
      </c>
      <c r="F661" s="51">
        <v>1</v>
      </c>
      <c r="H661" s="53">
        <f t="shared" si="103"/>
        <v>8</v>
      </c>
      <c r="M661" s="51">
        <f t="shared" si="104"/>
        <v>8</v>
      </c>
    </row>
    <row r="662" spans="1:13" x14ac:dyDescent="0.25">
      <c r="A662" s="133">
        <v>45598</v>
      </c>
      <c r="B662" s="51" t="s">
        <v>48</v>
      </c>
      <c r="C662" s="135">
        <v>0.54166666666666663</v>
      </c>
      <c r="D662" s="135">
        <v>0.70833333333333337</v>
      </c>
      <c r="E662" s="53">
        <f t="shared" si="102"/>
        <v>4.0000000000000018</v>
      </c>
      <c r="H662" s="53">
        <f t="shared" si="103"/>
        <v>4.0000000000000018</v>
      </c>
      <c r="M662" s="51">
        <f t="shared" si="104"/>
        <v>4.0000000000000018</v>
      </c>
    </row>
    <row r="663" spans="1:13" x14ac:dyDescent="0.25">
      <c r="A663" s="133">
        <v>45598</v>
      </c>
      <c r="B663" s="51" t="s">
        <v>46</v>
      </c>
      <c r="C663" s="135">
        <v>0.45833333333333331</v>
      </c>
      <c r="D663" s="135">
        <v>0.79166666666666663</v>
      </c>
      <c r="E663" s="53">
        <f t="shared" si="102"/>
        <v>7.5</v>
      </c>
      <c r="F663" s="51">
        <v>0.5</v>
      </c>
      <c r="H663" s="53">
        <f t="shared" si="103"/>
        <v>7.5</v>
      </c>
      <c r="M663" s="51">
        <f t="shared" si="104"/>
        <v>7.5</v>
      </c>
    </row>
    <row r="664" spans="1:13" x14ac:dyDescent="0.25">
      <c r="A664" s="133">
        <v>45599</v>
      </c>
      <c r="B664" s="51" t="s">
        <v>49</v>
      </c>
      <c r="C664" s="135">
        <v>0.625</v>
      </c>
      <c r="D664" s="135">
        <v>0.70833333333333337</v>
      </c>
      <c r="E664" s="53">
        <f t="shared" si="102"/>
        <v>2.0000000000000009</v>
      </c>
      <c r="H664" s="53">
        <f t="shared" si="103"/>
        <v>2.0000000000000009</v>
      </c>
      <c r="M664" s="51">
        <f t="shared" si="104"/>
        <v>2.0000000000000009</v>
      </c>
    </row>
    <row r="665" spans="1:13" x14ac:dyDescent="0.25">
      <c r="A665" s="133">
        <v>45600</v>
      </c>
      <c r="B665" s="51" t="s">
        <v>56</v>
      </c>
      <c r="C665" s="135">
        <v>0.75</v>
      </c>
      <c r="D665" s="135">
        <v>0.95833333333333337</v>
      </c>
      <c r="E665" s="53">
        <f t="shared" si="102"/>
        <v>5.0000000000000009</v>
      </c>
      <c r="H665" s="53"/>
      <c r="J665" s="53">
        <f t="shared" ref="J665:J667" si="107">IF(WEEKDAY(A665, 2)&lt;6, E665-2, E665)</f>
        <v>3.0000000000000009</v>
      </c>
      <c r="M665" s="51">
        <f t="shared" si="104"/>
        <v>3.0000000000000009</v>
      </c>
    </row>
    <row r="666" spans="1:13" x14ac:dyDescent="0.25">
      <c r="A666" s="133">
        <v>45600</v>
      </c>
      <c r="B666" s="51" t="s">
        <v>56</v>
      </c>
      <c r="C666" s="135">
        <v>0.33333333333333331</v>
      </c>
      <c r="D666" s="135">
        <v>0.58333333333333337</v>
      </c>
      <c r="E666" s="53">
        <f t="shared" si="102"/>
        <v>5.5000000000000018</v>
      </c>
      <c r="F666" s="51">
        <v>0.5</v>
      </c>
      <c r="H666" s="53"/>
      <c r="J666" s="53">
        <f t="shared" si="107"/>
        <v>3.5000000000000018</v>
      </c>
      <c r="M666" s="51">
        <f t="shared" si="104"/>
        <v>3.5000000000000018</v>
      </c>
    </row>
    <row r="667" spans="1:13" x14ac:dyDescent="0.25">
      <c r="A667" s="133">
        <v>45601</v>
      </c>
      <c r="B667" s="51" t="s">
        <v>56</v>
      </c>
      <c r="C667" s="135">
        <v>0.33333333333333331</v>
      </c>
      <c r="D667" s="135">
        <v>0.58333333333333337</v>
      </c>
      <c r="E667" s="53">
        <f t="shared" si="102"/>
        <v>5.5000000000000018</v>
      </c>
      <c r="F667" s="51">
        <v>0.5</v>
      </c>
      <c r="H667" s="53"/>
      <c r="J667" s="53">
        <f t="shared" si="107"/>
        <v>3.5000000000000018</v>
      </c>
      <c r="M667" s="51">
        <f t="shared" si="104"/>
        <v>3.5000000000000018</v>
      </c>
    </row>
    <row r="668" spans="1:13" x14ac:dyDescent="0.25">
      <c r="A668" s="133">
        <v>45601</v>
      </c>
      <c r="B668" s="51" t="s">
        <v>53</v>
      </c>
      <c r="C668" s="141">
        <v>0.70833333333333337</v>
      </c>
      <c r="D668" s="135">
        <v>0.9375</v>
      </c>
      <c r="E668" s="53">
        <f t="shared" si="102"/>
        <v>4.9999999999999991</v>
      </c>
      <c r="F668" s="51">
        <v>0.5</v>
      </c>
      <c r="H668" s="53">
        <f t="shared" si="103"/>
        <v>6.9999999999999991</v>
      </c>
      <c r="M668" s="51">
        <f t="shared" si="104"/>
        <v>6.9999999999999991</v>
      </c>
    </row>
    <row r="669" spans="1:13" x14ac:dyDescent="0.25">
      <c r="A669" s="133">
        <v>45602</v>
      </c>
      <c r="B669" s="51" t="s">
        <v>49</v>
      </c>
      <c r="C669" s="141">
        <v>0.625</v>
      </c>
      <c r="D669" s="135">
        <v>0.89583333333333337</v>
      </c>
      <c r="E669" s="53">
        <f t="shared" si="102"/>
        <v>6.0000000000000009</v>
      </c>
      <c r="F669" s="51">
        <v>0.5</v>
      </c>
      <c r="H669" s="53">
        <f t="shared" si="103"/>
        <v>8</v>
      </c>
      <c r="M669" s="51">
        <f t="shared" si="104"/>
        <v>8</v>
      </c>
    </row>
    <row r="670" spans="1:13" x14ac:dyDescent="0.25">
      <c r="A670" s="133">
        <v>45602</v>
      </c>
      <c r="B670" s="51" t="s">
        <v>56</v>
      </c>
      <c r="C670" s="135">
        <v>0.33333333333333331</v>
      </c>
      <c r="D670" s="135">
        <v>0.58333333333333337</v>
      </c>
      <c r="E670" s="53">
        <f t="shared" si="102"/>
        <v>5.5000000000000018</v>
      </c>
      <c r="F670" s="51">
        <v>0.5</v>
      </c>
      <c r="H670" s="53"/>
      <c r="J670" s="53">
        <f t="shared" ref="J670:J671" si="108">IF(WEEKDAY(A670, 2)&lt;6, E670-2, E670)</f>
        <v>3.5000000000000018</v>
      </c>
      <c r="M670" s="51">
        <f t="shared" si="104"/>
        <v>3.5000000000000018</v>
      </c>
    </row>
    <row r="671" spans="1:13" x14ac:dyDescent="0.25">
      <c r="A671" s="133">
        <v>45603</v>
      </c>
      <c r="B671" s="51" t="s">
        <v>56</v>
      </c>
      <c r="C671" s="135">
        <v>0.77083333333333337</v>
      </c>
      <c r="D671" s="135">
        <v>0.9375</v>
      </c>
      <c r="E671" s="53">
        <f t="shared" si="102"/>
        <v>3.9999999999999991</v>
      </c>
      <c r="H671" s="53"/>
      <c r="J671" s="53">
        <f t="shared" si="108"/>
        <v>1.9999999999999991</v>
      </c>
      <c r="M671" s="51">
        <f t="shared" si="104"/>
        <v>1.9999999999999991</v>
      </c>
    </row>
    <row r="672" spans="1:13" x14ac:dyDescent="0.25">
      <c r="A672" s="133">
        <v>45603</v>
      </c>
      <c r="B672" s="51" t="s">
        <v>53</v>
      </c>
      <c r="C672" s="135">
        <v>0.33333333333333331</v>
      </c>
      <c r="D672" s="135">
        <v>0.70833333333333337</v>
      </c>
      <c r="E672" s="53">
        <f t="shared" si="102"/>
        <v>8.0000000000000018</v>
      </c>
      <c r="F672" s="51">
        <v>1</v>
      </c>
      <c r="H672" s="53">
        <f t="shared" si="103"/>
        <v>10.000000000000002</v>
      </c>
      <c r="M672" s="51">
        <f t="shared" si="104"/>
        <v>10.000000000000002</v>
      </c>
    </row>
    <row r="673" spans="1:13" x14ac:dyDescent="0.25">
      <c r="A673" s="133">
        <v>45603</v>
      </c>
      <c r="B673" s="51" t="s">
        <v>56</v>
      </c>
      <c r="C673" s="135">
        <v>0.33333333333333331</v>
      </c>
      <c r="D673" s="135">
        <v>0.58333333333333337</v>
      </c>
      <c r="E673" s="53">
        <f t="shared" si="102"/>
        <v>5.5000000000000018</v>
      </c>
      <c r="F673" s="51">
        <v>0.5</v>
      </c>
      <c r="H673" s="53"/>
      <c r="J673" s="53">
        <f t="shared" ref="J673:J676" si="109">IF(WEEKDAY(A673, 2)&lt;6, E673-2, E673)</f>
        <v>3.5000000000000018</v>
      </c>
      <c r="M673" s="51">
        <f t="shared" si="104"/>
        <v>3.5000000000000018</v>
      </c>
    </row>
    <row r="674" spans="1:13" x14ac:dyDescent="0.25">
      <c r="A674" s="133">
        <v>45604</v>
      </c>
      <c r="B674" s="51" t="s">
        <v>56</v>
      </c>
      <c r="C674" s="135">
        <v>0.33333333333333331</v>
      </c>
      <c r="D674" s="135">
        <v>0.58333333333333337</v>
      </c>
      <c r="E674" s="53">
        <f t="shared" si="102"/>
        <v>5.5000000000000018</v>
      </c>
      <c r="F674" s="51">
        <v>0.5</v>
      </c>
      <c r="H674" s="53"/>
      <c r="J674" s="53">
        <f t="shared" si="109"/>
        <v>3.5000000000000018</v>
      </c>
      <c r="M674" s="51">
        <f t="shared" si="104"/>
        <v>3.5000000000000018</v>
      </c>
    </row>
    <row r="675" spans="1:13" x14ac:dyDescent="0.25">
      <c r="A675" s="133">
        <v>45604</v>
      </c>
      <c r="B675" s="51" t="s">
        <v>56</v>
      </c>
      <c r="C675" s="135">
        <v>0.6875</v>
      </c>
      <c r="D675" s="135">
        <v>0.89583333333333337</v>
      </c>
      <c r="E675" s="53">
        <f t="shared" si="102"/>
        <v>5.0000000000000009</v>
      </c>
      <c r="H675" s="53"/>
      <c r="J675" s="53">
        <f t="shared" si="109"/>
        <v>3.0000000000000009</v>
      </c>
      <c r="M675" s="51">
        <f t="shared" si="104"/>
        <v>3.0000000000000009</v>
      </c>
    </row>
    <row r="676" spans="1:13" x14ac:dyDescent="0.25">
      <c r="A676" s="133">
        <v>45605</v>
      </c>
      <c r="B676" s="51" t="s">
        <v>56</v>
      </c>
      <c r="C676" s="135">
        <v>0.33333333333333331</v>
      </c>
      <c r="D676" s="135">
        <v>0.54166666666666663</v>
      </c>
      <c r="E676" s="53">
        <f t="shared" si="102"/>
        <v>5</v>
      </c>
      <c r="H676" s="53"/>
      <c r="J676" s="53">
        <f t="shared" si="109"/>
        <v>5</v>
      </c>
      <c r="M676" s="51">
        <f t="shared" si="104"/>
        <v>5</v>
      </c>
    </row>
    <row r="677" spans="1:13" x14ac:dyDescent="0.25">
      <c r="A677" s="133">
        <v>45605</v>
      </c>
      <c r="B677" s="51" t="s">
        <v>58</v>
      </c>
      <c r="C677" s="135">
        <v>0.27083333333333331</v>
      </c>
      <c r="D677" s="135">
        <v>0.41666666666666669</v>
      </c>
      <c r="E677" s="53">
        <f t="shared" si="102"/>
        <v>3.5000000000000009</v>
      </c>
      <c r="H677" s="53">
        <f t="shared" si="103"/>
        <v>3.5000000000000009</v>
      </c>
      <c r="M677" s="51">
        <f t="shared" si="104"/>
        <v>3.5000000000000009</v>
      </c>
    </row>
    <row r="678" spans="1:13" x14ac:dyDescent="0.25">
      <c r="A678" s="133">
        <v>45605</v>
      </c>
      <c r="B678" s="51" t="s">
        <v>53</v>
      </c>
      <c r="C678" s="135">
        <v>0.29166666666666669</v>
      </c>
      <c r="D678" s="135">
        <v>0.5625</v>
      </c>
      <c r="E678" s="53">
        <f t="shared" si="102"/>
        <v>6</v>
      </c>
      <c r="F678" s="51">
        <v>0.5</v>
      </c>
      <c r="H678" s="53">
        <f t="shared" si="103"/>
        <v>6</v>
      </c>
      <c r="M678" s="51">
        <f t="shared" si="104"/>
        <v>6</v>
      </c>
    </row>
    <row r="679" spans="1:13" x14ac:dyDescent="0.25">
      <c r="A679" s="133">
        <v>45605</v>
      </c>
      <c r="B679" s="51" t="s">
        <v>48</v>
      </c>
      <c r="C679" s="135">
        <v>0.70833333333333337</v>
      </c>
      <c r="D679" s="135">
        <v>6.25E-2</v>
      </c>
      <c r="E679" s="53">
        <f t="shared" si="102"/>
        <v>7.5</v>
      </c>
      <c r="F679" s="51">
        <v>1</v>
      </c>
      <c r="H679" s="53">
        <f t="shared" si="103"/>
        <v>7.5</v>
      </c>
      <c r="M679" s="51">
        <f t="shared" si="104"/>
        <v>7.5</v>
      </c>
    </row>
    <row r="680" spans="1:13" x14ac:dyDescent="0.25">
      <c r="A680" s="133">
        <v>45605</v>
      </c>
      <c r="B680" s="51" t="s">
        <v>58</v>
      </c>
      <c r="C680" s="135">
        <v>0.58333333333333337</v>
      </c>
      <c r="D680" s="135">
        <v>0.75</v>
      </c>
      <c r="E680" s="53">
        <f t="shared" si="102"/>
        <v>3.9999999999999991</v>
      </c>
      <c r="H680" s="53">
        <f t="shared" si="103"/>
        <v>3.9999999999999991</v>
      </c>
      <c r="M680" s="51">
        <f t="shared" si="104"/>
        <v>3.9999999999999991</v>
      </c>
    </row>
    <row r="681" spans="1:13" x14ac:dyDescent="0.25">
      <c r="A681" s="133">
        <v>45605</v>
      </c>
      <c r="B681" s="51" t="s">
        <v>53</v>
      </c>
      <c r="C681" s="135">
        <v>0.54166666666666663</v>
      </c>
      <c r="D681" s="135">
        <v>0.79166666666666663</v>
      </c>
      <c r="E681" s="53">
        <f t="shared" si="102"/>
        <v>5.5</v>
      </c>
      <c r="F681" s="51">
        <v>0.5</v>
      </c>
      <c r="H681" s="53">
        <f t="shared" si="103"/>
        <v>5.5</v>
      </c>
      <c r="M681" s="51">
        <f t="shared" si="104"/>
        <v>5.5</v>
      </c>
    </row>
    <row r="682" spans="1:13" x14ac:dyDescent="0.25">
      <c r="A682" s="133">
        <v>45605</v>
      </c>
      <c r="B682" s="51" t="s">
        <v>49</v>
      </c>
      <c r="C682" s="135">
        <v>0.375</v>
      </c>
      <c r="D682" s="135">
        <v>0.5</v>
      </c>
      <c r="E682" s="53">
        <f t="shared" si="102"/>
        <v>3</v>
      </c>
      <c r="H682" s="53">
        <f t="shared" si="103"/>
        <v>3</v>
      </c>
      <c r="M682" s="51">
        <f t="shared" si="104"/>
        <v>3</v>
      </c>
    </row>
    <row r="683" spans="1:13" x14ac:dyDescent="0.25">
      <c r="A683" s="133">
        <v>45605</v>
      </c>
      <c r="B683" s="51" t="s">
        <v>46</v>
      </c>
      <c r="C683" s="135">
        <v>0.375</v>
      </c>
      <c r="D683" s="135">
        <v>0.64583333333333337</v>
      </c>
      <c r="E683" s="53">
        <f t="shared" si="102"/>
        <v>6.0000000000000009</v>
      </c>
      <c r="F683" s="51">
        <v>0.5</v>
      </c>
      <c r="H683" s="53">
        <f t="shared" si="103"/>
        <v>6.0000000000000009</v>
      </c>
      <c r="M683" s="51">
        <f t="shared" si="104"/>
        <v>6.0000000000000009</v>
      </c>
    </row>
    <row r="684" spans="1:13" x14ac:dyDescent="0.25">
      <c r="A684" s="133">
        <v>45605</v>
      </c>
      <c r="B684" s="51" t="s">
        <v>58</v>
      </c>
      <c r="C684" s="135">
        <v>0.77083333333333337</v>
      </c>
      <c r="D684" s="135">
        <v>0.95833333333333337</v>
      </c>
      <c r="E684" s="53">
        <f t="shared" si="102"/>
        <v>4.5</v>
      </c>
      <c r="H684" s="53">
        <f t="shared" si="103"/>
        <v>4.5</v>
      </c>
      <c r="M684" s="51">
        <f t="shared" si="104"/>
        <v>4.5</v>
      </c>
    </row>
    <row r="685" spans="1:13" x14ac:dyDescent="0.25">
      <c r="A685" s="133">
        <v>45606</v>
      </c>
      <c r="B685" s="51" t="s">
        <v>53</v>
      </c>
      <c r="C685" s="135">
        <v>0.41666666666666669</v>
      </c>
      <c r="D685" s="135">
        <v>0.75</v>
      </c>
      <c r="E685" s="53">
        <f t="shared" si="102"/>
        <v>7</v>
      </c>
      <c r="F685" s="51">
        <v>1</v>
      </c>
      <c r="H685" s="53">
        <f t="shared" si="103"/>
        <v>7</v>
      </c>
      <c r="M685" s="51">
        <f t="shared" si="104"/>
        <v>7</v>
      </c>
    </row>
    <row r="686" spans="1:13" x14ac:dyDescent="0.25">
      <c r="A686" s="133">
        <v>45606</v>
      </c>
      <c r="B686" s="51" t="s">
        <v>48</v>
      </c>
      <c r="C686" s="135">
        <v>0.5625</v>
      </c>
      <c r="D686" s="135">
        <v>0.77083333333333337</v>
      </c>
      <c r="E686" s="53">
        <f t="shared" si="102"/>
        <v>5.0000000000000009</v>
      </c>
      <c r="H686" s="53">
        <f t="shared" si="103"/>
        <v>5.0000000000000009</v>
      </c>
      <c r="M686" s="51">
        <f t="shared" si="104"/>
        <v>5.0000000000000009</v>
      </c>
    </row>
    <row r="687" spans="1:13" x14ac:dyDescent="0.25">
      <c r="A687" s="133">
        <v>45606</v>
      </c>
      <c r="B687" s="51" t="s">
        <v>58</v>
      </c>
      <c r="C687" s="135">
        <v>0.5</v>
      </c>
      <c r="D687" s="135">
        <v>0.75</v>
      </c>
      <c r="E687" s="53">
        <f t="shared" si="102"/>
        <v>5.5</v>
      </c>
      <c r="F687" s="51">
        <v>0.5</v>
      </c>
      <c r="H687" s="53">
        <f t="shared" si="103"/>
        <v>5.5</v>
      </c>
      <c r="M687" s="51">
        <f t="shared" si="104"/>
        <v>5.5</v>
      </c>
    </row>
    <row r="688" spans="1:13" x14ac:dyDescent="0.25">
      <c r="A688" s="133">
        <v>45608</v>
      </c>
      <c r="B688" s="51" t="s">
        <v>56</v>
      </c>
      <c r="C688" s="135">
        <v>0.33333333333333331</v>
      </c>
      <c r="D688" s="135">
        <v>0.58333333333333337</v>
      </c>
      <c r="E688" s="53">
        <f t="shared" si="102"/>
        <v>5.5000000000000018</v>
      </c>
      <c r="F688" s="51">
        <v>0.5</v>
      </c>
      <c r="H688" s="53"/>
      <c r="J688" s="53">
        <f>IF(WEEKDAY(A688, 2)&lt;6, E688-2, E688)</f>
        <v>3.5000000000000018</v>
      </c>
      <c r="M688" s="51">
        <f t="shared" si="104"/>
        <v>3.5000000000000018</v>
      </c>
    </row>
    <row r="689" spans="1:13" x14ac:dyDescent="0.25">
      <c r="A689" s="133">
        <v>45608</v>
      </c>
      <c r="B689" s="51" t="s">
        <v>53</v>
      </c>
      <c r="C689" s="135">
        <v>0.72916666666666663</v>
      </c>
      <c r="D689" s="135">
        <v>0.85416666666666663</v>
      </c>
      <c r="E689" s="53">
        <f t="shared" si="102"/>
        <v>3</v>
      </c>
      <c r="H689" s="53">
        <f t="shared" si="103"/>
        <v>5</v>
      </c>
      <c r="M689" s="51">
        <f t="shared" si="104"/>
        <v>5</v>
      </c>
    </row>
    <row r="690" spans="1:13" x14ac:dyDescent="0.25">
      <c r="A690" s="133">
        <v>45609</v>
      </c>
      <c r="B690" s="51" t="s">
        <v>49</v>
      </c>
      <c r="C690" s="135">
        <v>0.625</v>
      </c>
      <c r="D690" s="135">
        <v>0.89583333333333337</v>
      </c>
      <c r="E690" s="53">
        <f t="shared" si="102"/>
        <v>6.0000000000000009</v>
      </c>
      <c r="F690" s="51">
        <v>0.5</v>
      </c>
      <c r="H690" s="53">
        <f t="shared" si="103"/>
        <v>8</v>
      </c>
      <c r="M690" s="51">
        <f t="shared" si="104"/>
        <v>8</v>
      </c>
    </row>
    <row r="691" spans="1:13" x14ac:dyDescent="0.25">
      <c r="A691" s="133">
        <v>45609</v>
      </c>
      <c r="B691" s="51" t="s">
        <v>56</v>
      </c>
      <c r="C691" s="135">
        <v>0.33333333333333331</v>
      </c>
      <c r="D691" s="135">
        <v>0.58333333333333337</v>
      </c>
      <c r="E691" s="53">
        <f t="shared" si="102"/>
        <v>5.5000000000000018</v>
      </c>
      <c r="F691" s="51">
        <v>0.5</v>
      </c>
      <c r="H691" s="53"/>
      <c r="J691" s="53">
        <f>IF(WEEKDAY(A691, 2)&lt;6, E691-2, E691)</f>
        <v>3.5000000000000018</v>
      </c>
      <c r="M691" s="51">
        <f t="shared" si="104"/>
        <v>3.5000000000000018</v>
      </c>
    </row>
    <row r="692" spans="1:13" x14ac:dyDescent="0.25">
      <c r="A692" s="133">
        <v>45610</v>
      </c>
      <c r="B692" s="51" t="s">
        <v>51</v>
      </c>
      <c r="C692" s="135">
        <v>0.6875</v>
      </c>
      <c r="D692" s="135">
        <v>0.91666666666666663</v>
      </c>
      <c r="E692" s="53">
        <f t="shared" si="102"/>
        <v>4.9999999999999991</v>
      </c>
      <c r="F692" s="51">
        <v>0.5</v>
      </c>
      <c r="H692" s="53">
        <f t="shared" si="103"/>
        <v>6.9999999999999991</v>
      </c>
      <c r="M692" s="51">
        <f t="shared" si="104"/>
        <v>6.9999999999999991</v>
      </c>
    </row>
    <row r="693" spans="1:13" x14ac:dyDescent="0.25">
      <c r="A693" s="133">
        <v>45610</v>
      </c>
      <c r="B693" s="51" t="s">
        <v>56</v>
      </c>
      <c r="C693" s="135">
        <v>0.70833333333333337</v>
      </c>
      <c r="D693" s="135">
        <v>0.9375</v>
      </c>
      <c r="E693" s="53">
        <f t="shared" si="102"/>
        <v>4.9999999999999991</v>
      </c>
      <c r="F693" s="51">
        <v>0.5</v>
      </c>
      <c r="H693" s="53"/>
      <c r="J693" s="53">
        <f>IF(WEEKDAY(A693, 2)&lt;6, E693-2, E693)</f>
        <v>2.9999999999999991</v>
      </c>
      <c r="M693" s="51">
        <f t="shared" si="104"/>
        <v>2.9999999999999991</v>
      </c>
    </row>
    <row r="694" spans="1:13" x14ac:dyDescent="0.25">
      <c r="A694" s="133">
        <v>45611</v>
      </c>
      <c r="B694" s="51" t="s">
        <v>53</v>
      </c>
      <c r="C694" s="135">
        <v>0.72916666666666663</v>
      </c>
      <c r="D694" s="135">
        <v>0.89583333333333337</v>
      </c>
      <c r="E694" s="53">
        <f t="shared" si="102"/>
        <v>4.0000000000000018</v>
      </c>
      <c r="H694" s="53">
        <f t="shared" si="103"/>
        <v>6.0000000000000018</v>
      </c>
      <c r="M694" s="51">
        <f t="shared" si="104"/>
        <v>6.0000000000000018</v>
      </c>
    </row>
    <row r="695" spans="1:13" x14ac:dyDescent="0.25">
      <c r="A695" s="133">
        <v>45611</v>
      </c>
      <c r="B695" s="51" t="s">
        <v>56</v>
      </c>
      <c r="C695" s="135">
        <v>0.33333333333333331</v>
      </c>
      <c r="D695" s="135">
        <v>0.58333333333333337</v>
      </c>
      <c r="E695" s="53">
        <f t="shared" si="102"/>
        <v>5.5000000000000018</v>
      </c>
      <c r="F695" s="51">
        <v>0.5</v>
      </c>
      <c r="H695" s="53"/>
      <c r="J695" s="53">
        <f t="shared" ref="J695:J696" si="110">IF(WEEKDAY(A695, 2)&lt;6, E695-2, E695)</f>
        <v>3.5000000000000018</v>
      </c>
      <c r="M695" s="51">
        <f t="shared" si="104"/>
        <v>3.5000000000000018</v>
      </c>
    </row>
    <row r="696" spans="1:13" x14ac:dyDescent="0.25">
      <c r="A696" s="133">
        <v>45612</v>
      </c>
      <c r="B696" s="51" t="s">
        <v>56</v>
      </c>
      <c r="C696" s="135">
        <v>0.33333333333333331</v>
      </c>
      <c r="D696" s="135">
        <v>0.54166666666666663</v>
      </c>
      <c r="E696" s="53">
        <f t="shared" si="102"/>
        <v>5</v>
      </c>
      <c r="H696" s="53"/>
      <c r="J696" s="53">
        <f t="shared" si="110"/>
        <v>5</v>
      </c>
      <c r="M696" s="51">
        <f t="shared" si="104"/>
        <v>5</v>
      </c>
    </row>
    <row r="697" spans="1:13" x14ac:dyDescent="0.25">
      <c r="A697" s="133">
        <v>45612</v>
      </c>
      <c r="B697" s="51" t="s">
        <v>58</v>
      </c>
      <c r="C697" s="135">
        <v>0.27083333333333331</v>
      </c>
      <c r="D697" s="135">
        <v>0.41666666666666669</v>
      </c>
      <c r="E697" s="53">
        <f t="shared" si="102"/>
        <v>3.5000000000000009</v>
      </c>
      <c r="H697" s="53">
        <f t="shared" si="103"/>
        <v>3.5000000000000009</v>
      </c>
      <c r="M697" s="51">
        <f t="shared" si="104"/>
        <v>3.5000000000000009</v>
      </c>
    </row>
    <row r="698" spans="1:13" x14ac:dyDescent="0.25">
      <c r="A698" s="133">
        <v>45612</v>
      </c>
      <c r="B698" s="51" t="s">
        <v>47</v>
      </c>
      <c r="C698" s="135">
        <v>0.54166666666666663</v>
      </c>
      <c r="D698" s="135">
        <v>0.77083333333333337</v>
      </c>
      <c r="E698" s="53">
        <f t="shared" si="102"/>
        <v>5.0000000000000018</v>
      </c>
      <c r="F698" s="51">
        <v>0.5</v>
      </c>
      <c r="H698" s="53">
        <f t="shared" si="103"/>
        <v>5.0000000000000018</v>
      </c>
      <c r="M698" s="51">
        <f t="shared" si="104"/>
        <v>5.0000000000000018</v>
      </c>
    </row>
    <row r="699" spans="1:13" x14ac:dyDescent="0.25">
      <c r="A699" s="133">
        <v>45612</v>
      </c>
      <c r="B699" s="51" t="s">
        <v>49</v>
      </c>
      <c r="C699" s="135">
        <v>0.375</v>
      </c>
      <c r="D699" s="135">
        <v>0.64583333333333337</v>
      </c>
      <c r="E699" s="53">
        <f t="shared" si="102"/>
        <v>6.0000000000000009</v>
      </c>
      <c r="F699" s="51">
        <v>0.5</v>
      </c>
      <c r="H699" s="53">
        <f t="shared" si="103"/>
        <v>6.0000000000000009</v>
      </c>
      <c r="M699" s="51">
        <f t="shared" si="104"/>
        <v>6.0000000000000009</v>
      </c>
    </row>
    <row r="700" spans="1:13" x14ac:dyDescent="0.25">
      <c r="A700" s="133">
        <v>45612</v>
      </c>
      <c r="B700" s="51" t="s">
        <v>58</v>
      </c>
      <c r="C700" s="135">
        <v>0.54166666666666663</v>
      </c>
      <c r="D700" s="135">
        <v>0.83333333333333337</v>
      </c>
      <c r="E700" s="53">
        <f t="shared" si="102"/>
        <v>6.5000000000000018</v>
      </c>
      <c r="F700" s="51">
        <v>0.5</v>
      </c>
      <c r="H700" s="53">
        <f t="shared" si="103"/>
        <v>6.5000000000000018</v>
      </c>
      <c r="M700" s="51">
        <f t="shared" si="104"/>
        <v>6.5000000000000018</v>
      </c>
    </row>
    <row r="701" spans="1:13" x14ac:dyDescent="0.25">
      <c r="A701" s="133">
        <v>45613</v>
      </c>
      <c r="B701" s="51" t="s">
        <v>46</v>
      </c>
      <c r="C701" s="135">
        <v>0.41666666666666669</v>
      </c>
      <c r="D701" s="135">
        <v>0.6875</v>
      </c>
      <c r="E701" s="53">
        <f t="shared" si="102"/>
        <v>6</v>
      </c>
      <c r="F701" s="51">
        <v>0.5</v>
      </c>
      <c r="H701" s="53">
        <f t="shared" si="103"/>
        <v>6</v>
      </c>
      <c r="M701" s="51">
        <f t="shared" si="104"/>
        <v>6</v>
      </c>
    </row>
    <row r="702" spans="1:13" x14ac:dyDescent="0.25">
      <c r="A702" s="133">
        <v>45613</v>
      </c>
      <c r="B702" s="51" t="s">
        <v>58</v>
      </c>
      <c r="C702" s="135">
        <v>0.625</v>
      </c>
      <c r="D702" s="135">
        <v>0.97916666666666663</v>
      </c>
      <c r="E702" s="53">
        <f t="shared" si="102"/>
        <v>7.5</v>
      </c>
      <c r="F702" s="51">
        <v>1</v>
      </c>
      <c r="H702" s="53">
        <f t="shared" si="103"/>
        <v>7.5</v>
      </c>
      <c r="M702" s="51">
        <f t="shared" si="104"/>
        <v>7.5</v>
      </c>
    </row>
    <row r="703" spans="1:13" x14ac:dyDescent="0.25">
      <c r="A703" s="133">
        <v>45613</v>
      </c>
      <c r="B703" s="51" t="s">
        <v>53</v>
      </c>
      <c r="C703" s="135">
        <v>0.70833333333333337</v>
      </c>
      <c r="D703" s="135">
        <v>0.95833333333333337</v>
      </c>
      <c r="E703" s="53">
        <f t="shared" si="102"/>
        <v>5.5</v>
      </c>
      <c r="F703" s="51">
        <v>0.5</v>
      </c>
      <c r="H703" s="53">
        <f t="shared" si="103"/>
        <v>5.5</v>
      </c>
      <c r="M703" s="51">
        <f t="shared" si="104"/>
        <v>5.5</v>
      </c>
    </row>
    <row r="704" spans="1:13" x14ac:dyDescent="0.25">
      <c r="A704" s="133">
        <v>45613</v>
      </c>
      <c r="B704" s="51" t="s">
        <v>53</v>
      </c>
      <c r="C704" s="135">
        <v>0.54166666666666663</v>
      </c>
      <c r="D704" s="135">
        <v>0.70833333333333337</v>
      </c>
      <c r="E704" s="53">
        <f t="shared" si="102"/>
        <v>4.0000000000000018</v>
      </c>
      <c r="H704" s="53">
        <f t="shared" si="103"/>
        <v>4.0000000000000018</v>
      </c>
      <c r="M704" s="51">
        <f t="shared" si="104"/>
        <v>4.0000000000000018</v>
      </c>
    </row>
    <row r="705" spans="1:13" x14ac:dyDescent="0.25">
      <c r="A705" s="133">
        <v>45614</v>
      </c>
      <c r="B705" s="51" t="s">
        <v>56</v>
      </c>
      <c r="C705" s="135">
        <v>0.33333333333333331</v>
      </c>
      <c r="D705" s="135">
        <v>0.58333333333333337</v>
      </c>
      <c r="E705" s="53">
        <f t="shared" si="102"/>
        <v>5.5000000000000018</v>
      </c>
      <c r="F705" s="51">
        <v>0.5</v>
      </c>
      <c r="H705" s="53"/>
      <c r="J705" s="53">
        <f>IF(WEEKDAY(A705, 2)&lt;6, E705-2, E705)</f>
        <v>3.5000000000000018</v>
      </c>
      <c r="M705" s="51">
        <f t="shared" si="104"/>
        <v>3.5000000000000018</v>
      </c>
    </row>
    <row r="706" spans="1:13" x14ac:dyDescent="0.25">
      <c r="A706" s="133">
        <v>45614</v>
      </c>
      <c r="B706" s="51" t="s">
        <v>49</v>
      </c>
      <c r="C706" s="135">
        <v>0.70833333333333337</v>
      </c>
      <c r="D706" s="135">
        <v>0.91666666666666663</v>
      </c>
      <c r="E706" s="53">
        <f t="shared" si="102"/>
        <v>4.9999999999999982</v>
      </c>
      <c r="H706" s="53">
        <f t="shared" si="103"/>
        <v>6.9999999999999982</v>
      </c>
      <c r="M706" s="51">
        <f t="shared" si="104"/>
        <v>6.9999999999999982</v>
      </c>
    </row>
    <row r="707" spans="1:13" x14ac:dyDescent="0.25">
      <c r="A707" s="133">
        <v>45615</v>
      </c>
      <c r="B707" s="51" t="s">
        <v>53</v>
      </c>
      <c r="C707" s="135">
        <v>0.72916666666666663</v>
      </c>
      <c r="D707" s="135">
        <v>0.85416666666666663</v>
      </c>
      <c r="E707" s="53">
        <f t="shared" ref="E707:E770" si="111">MOD((D707-C707),1) *24 - F707</f>
        <v>3</v>
      </c>
      <c r="H707" s="53">
        <f t="shared" ref="H707:H769" si="112">IF(WEEKDAY(A707, 2)&lt;6, E707+2, E707)</f>
        <v>5</v>
      </c>
      <c r="M707" s="51">
        <f t="shared" ref="M707:M770" si="113">IF(H707&lt;&gt;"",H707,J707)</f>
        <v>5</v>
      </c>
    </row>
    <row r="708" spans="1:13" x14ac:dyDescent="0.25">
      <c r="A708" s="133">
        <v>45615</v>
      </c>
      <c r="B708" s="51" t="s">
        <v>56</v>
      </c>
      <c r="C708" s="135">
        <v>0.33333333333333331</v>
      </c>
      <c r="D708" s="135">
        <v>0.58333333333333337</v>
      </c>
      <c r="E708" s="53">
        <f t="shared" si="111"/>
        <v>5.5000000000000018</v>
      </c>
      <c r="F708" s="51">
        <v>0.5</v>
      </c>
      <c r="H708" s="53"/>
      <c r="J708" s="53">
        <f t="shared" ref="J708:J709" si="114">IF(WEEKDAY(A708, 2)&lt;6, E708-2, E708)</f>
        <v>3.5000000000000018</v>
      </c>
      <c r="M708" s="51">
        <f t="shared" si="113"/>
        <v>3.5000000000000018</v>
      </c>
    </row>
    <row r="709" spans="1:13" x14ac:dyDescent="0.25">
      <c r="A709" s="133">
        <v>45616</v>
      </c>
      <c r="B709" s="51" t="s">
        <v>56</v>
      </c>
      <c r="C709" s="135">
        <v>0.33333333333333331</v>
      </c>
      <c r="D709" s="135">
        <v>0.58333333333333337</v>
      </c>
      <c r="E709" s="53">
        <f t="shared" si="111"/>
        <v>5.5000000000000018</v>
      </c>
      <c r="F709" s="51">
        <v>0.5</v>
      </c>
      <c r="H709" s="53"/>
      <c r="J709" s="53">
        <f t="shared" si="114"/>
        <v>3.5000000000000018</v>
      </c>
      <c r="M709" s="51">
        <f t="shared" si="113"/>
        <v>3.5000000000000018</v>
      </c>
    </row>
    <row r="710" spans="1:13" x14ac:dyDescent="0.25">
      <c r="A710" s="133">
        <v>45616</v>
      </c>
      <c r="B710" s="51" t="s">
        <v>49</v>
      </c>
      <c r="C710" s="135">
        <v>0.625</v>
      </c>
      <c r="D710" s="135">
        <v>0.89583333333333337</v>
      </c>
      <c r="E710" s="53">
        <f t="shared" si="111"/>
        <v>6.0000000000000009</v>
      </c>
      <c r="F710" s="51">
        <v>0.5</v>
      </c>
      <c r="H710" s="53">
        <f t="shared" si="112"/>
        <v>8</v>
      </c>
      <c r="M710" s="51">
        <f t="shared" si="113"/>
        <v>8</v>
      </c>
    </row>
    <row r="711" spans="1:13" x14ac:dyDescent="0.25">
      <c r="A711" s="133">
        <v>45617</v>
      </c>
      <c r="B711" s="51" t="s">
        <v>56</v>
      </c>
      <c r="C711" s="135">
        <v>0.33333333333333331</v>
      </c>
      <c r="D711" s="135">
        <v>0.58333333333333337</v>
      </c>
      <c r="E711" s="53">
        <f t="shared" si="111"/>
        <v>5.5000000000000018</v>
      </c>
      <c r="F711" s="51">
        <v>0.5</v>
      </c>
      <c r="H711" s="53"/>
      <c r="J711" s="53">
        <f t="shared" ref="J711:J715" si="115">IF(WEEKDAY(A711, 2)&lt;6, E711-2, E711)</f>
        <v>3.5000000000000018</v>
      </c>
      <c r="M711" s="51">
        <f t="shared" si="113"/>
        <v>3.5000000000000018</v>
      </c>
    </row>
    <row r="712" spans="1:13" x14ac:dyDescent="0.25">
      <c r="A712" s="133">
        <v>45617</v>
      </c>
      <c r="B712" s="51" t="s">
        <v>56</v>
      </c>
      <c r="C712" s="135">
        <v>0.77083333333333337</v>
      </c>
      <c r="D712" s="135">
        <v>0.91666666666666663</v>
      </c>
      <c r="E712" s="53">
        <f t="shared" si="111"/>
        <v>3.4999999999999982</v>
      </c>
      <c r="H712" s="53"/>
      <c r="J712" s="53">
        <f t="shared" si="115"/>
        <v>1.4999999999999982</v>
      </c>
      <c r="M712" s="51">
        <f t="shared" si="113"/>
        <v>1.4999999999999982</v>
      </c>
    </row>
    <row r="713" spans="1:13" x14ac:dyDescent="0.25">
      <c r="A713" s="133">
        <v>45618</v>
      </c>
      <c r="B713" s="51" t="s">
        <v>56</v>
      </c>
      <c r="C713" s="135">
        <v>0.33333333333333331</v>
      </c>
      <c r="D713" s="135">
        <v>0.58333333333333337</v>
      </c>
      <c r="E713" s="53">
        <f t="shared" si="111"/>
        <v>5.5000000000000018</v>
      </c>
      <c r="F713" s="51">
        <v>0.5</v>
      </c>
      <c r="H713" s="53"/>
      <c r="J713" s="53">
        <f t="shared" si="115"/>
        <v>3.5000000000000018</v>
      </c>
      <c r="M713" s="51">
        <f t="shared" si="113"/>
        <v>3.5000000000000018</v>
      </c>
    </row>
    <row r="714" spans="1:13" x14ac:dyDescent="0.25">
      <c r="A714" s="133">
        <v>45618</v>
      </c>
      <c r="B714" s="51" t="s">
        <v>56</v>
      </c>
      <c r="C714" s="135">
        <v>0.6875</v>
      </c>
      <c r="D714" s="135">
        <v>0.77083333333333337</v>
      </c>
      <c r="E714" s="53">
        <f t="shared" si="111"/>
        <v>2.0000000000000009</v>
      </c>
      <c r="H714" s="53"/>
      <c r="J714" s="53">
        <f t="shared" si="115"/>
        <v>8.8817841970012523E-16</v>
      </c>
      <c r="M714" s="51">
        <f t="shared" si="113"/>
        <v>8.8817841970012523E-16</v>
      </c>
    </row>
    <row r="715" spans="1:13" x14ac:dyDescent="0.25">
      <c r="A715" s="133">
        <v>45619</v>
      </c>
      <c r="B715" s="51" t="s">
        <v>56</v>
      </c>
      <c r="C715" s="135">
        <v>0.33333333333333331</v>
      </c>
      <c r="D715" s="135">
        <v>0.54166666666666663</v>
      </c>
      <c r="E715" s="53">
        <f t="shared" si="111"/>
        <v>5</v>
      </c>
      <c r="H715" s="53"/>
      <c r="J715" s="53">
        <f t="shared" si="115"/>
        <v>5</v>
      </c>
      <c r="M715" s="51">
        <f t="shared" si="113"/>
        <v>5</v>
      </c>
    </row>
    <row r="716" spans="1:13" x14ac:dyDescent="0.25">
      <c r="A716" s="133">
        <v>45619</v>
      </c>
      <c r="B716" s="51" t="s">
        <v>58</v>
      </c>
      <c r="C716" s="135">
        <v>0.27083333333333331</v>
      </c>
      <c r="D716" s="135">
        <v>0.41666666666666669</v>
      </c>
      <c r="E716" s="53">
        <f t="shared" si="111"/>
        <v>3.5000000000000009</v>
      </c>
      <c r="H716" s="53">
        <f t="shared" si="112"/>
        <v>3.5000000000000009</v>
      </c>
      <c r="M716" s="51">
        <f t="shared" si="113"/>
        <v>3.5000000000000009</v>
      </c>
    </row>
    <row r="717" spans="1:13" x14ac:dyDescent="0.25">
      <c r="A717" s="133">
        <v>45619</v>
      </c>
      <c r="B717" s="51" t="s">
        <v>53</v>
      </c>
      <c r="C717" s="135">
        <v>0.79166666666666663</v>
      </c>
      <c r="D717" s="135">
        <v>4.1666666666666664E-2</v>
      </c>
      <c r="E717" s="53">
        <f t="shared" si="111"/>
        <v>5.5</v>
      </c>
      <c r="F717" s="51">
        <v>0.5</v>
      </c>
      <c r="H717" s="53">
        <f t="shared" si="112"/>
        <v>5.5</v>
      </c>
      <c r="M717" s="51">
        <f t="shared" si="113"/>
        <v>5.5</v>
      </c>
    </row>
    <row r="718" spans="1:13" x14ac:dyDescent="0.25">
      <c r="A718" s="133">
        <v>45619</v>
      </c>
      <c r="B718" s="51" t="s">
        <v>48</v>
      </c>
      <c r="C718" s="135">
        <v>0.72916666666666663</v>
      </c>
      <c r="D718" s="135">
        <v>0.91666666666666663</v>
      </c>
      <c r="E718" s="53">
        <f t="shared" si="111"/>
        <v>4.5</v>
      </c>
      <c r="H718" s="53">
        <f t="shared" si="112"/>
        <v>4.5</v>
      </c>
      <c r="M718" s="51">
        <f t="shared" si="113"/>
        <v>4.5</v>
      </c>
    </row>
    <row r="719" spans="1:13" x14ac:dyDescent="0.25">
      <c r="A719" s="133">
        <v>45619</v>
      </c>
      <c r="B719" s="51" t="s">
        <v>49</v>
      </c>
      <c r="C719" s="135">
        <v>0.33333333333333331</v>
      </c>
      <c r="D719" s="135">
        <v>0.5</v>
      </c>
      <c r="E719" s="53">
        <f t="shared" si="111"/>
        <v>4</v>
      </c>
      <c r="H719" s="53">
        <f t="shared" si="112"/>
        <v>4</v>
      </c>
      <c r="M719" s="51">
        <f t="shared" si="113"/>
        <v>4</v>
      </c>
    </row>
    <row r="720" spans="1:13" x14ac:dyDescent="0.25">
      <c r="A720" s="133">
        <v>45619</v>
      </c>
      <c r="B720" s="51" t="s">
        <v>47</v>
      </c>
      <c r="C720" s="135">
        <v>0.33333333333333331</v>
      </c>
      <c r="D720" s="135">
        <v>0.54166666666666663</v>
      </c>
      <c r="E720" s="53">
        <f t="shared" si="111"/>
        <v>5</v>
      </c>
      <c r="H720" s="53">
        <f t="shared" si="112"/>
        <v>5</v>
      </c>
      <c r="M720" s="51">
        <f t="shared" si="113"/>
        <v>5</v>
      </c>
    </row>
    <row r="721" spans="1:13" x14ac:dyDescent="0.25">
      <c r="A721" s="133">
        <v>45619</v>
      </c>
      <c r="B721" s="51" t="s">
        <v>53</v>
      </c>
      <c r="C721" s="135">
        <v>0.5625</v>
      </c>
      <c r="D721" s="135">
        <v>0.79166666666666663</v>
      </c>
      <c r="E721" s="53">
        <f t="shared" si="111"/>
        <v>4.9999999999999991</v>
      </c>
      <c r="F721" s="51">
        <v>0.5</v>
      </c>
      <c r="H721" s="53">
        <f t="shared" si="112"/>
        <v>4.9999999999999991</v>
      </c>
      <c r="M721" s="51">
        <f t="shared" si="113"/>
        <v>4.9999999999999991</v>
      </c>
    </row>
    <row r="722" spans="1:13" x14ac:dyDescent="0.25">
      <c r="A722" s="133">
        <v>45619</v>
      </c>
      <c r="B722" s="51" t="s">
        <v>47</v>
      </c>
      <c r="C722" s="135">
        <v>0.54166666666666663</v>
      </c>
      <c r="D722" s="135">
        <v>0.72916666666666663</v>
      </c>
      <c r="E722" s="53">
        <f t="shared" si="111"/>
        <v>4.5</v>
      </c>
      <c r="H722" s="53">
        <f t="shared" si="112"/>
        <v>4.5</v>
      </c>
      <c r="M722" s="51">
        <f t="shared" si="113"/>
        <v>4.5</v>
      </c>
    </row>
    <row r="723" spans="1:13" x14ac:dyDescent="0.25">
      <c r="A723" s="133">
        <v>45620</v>
      </c>
      <c r="B723" s="51" t="s">
        <v>46</v>
      </c>
      <c r="C723" s="135">
        <v>0.41666666666666669</v>
      </c>
      <c r="D723" s="135">
        <v>0.70833333333333337</v>
      </c>
      <c r="E723" s="53">
        <f t="shared" si="111"/>
        <v>6.5</v>
      </c>
      <c r="F723" s="51">
        <v>0.5</v>
      </c>
      <c r="H723" s="53">
        <f t="shared" si="112"/>
        <v>6.5</v>
      </c>
      <c r="M723" s="51">
        <f t="shared" si="113"/>
        <v>6.5</v>
      </c>
    </row>
    <row r="724" spans="1:13" x14ac:dyDescent="0.25">
      <c r="A724" s="133">
        <v>45620</v>
      </c>
      <c r="B724" s="51" t="s">
        <v>53</v>
      </c>
      <c r="C724" s="135">
        <v>0.6875</v>
      </c>
      <c r="D724" s="135">
        <v>0.97916666666666663</v>
      </c>
      <c r="E724" s="53">
        <f t="shared" si="111"/>
        <v>6.4999999999999991</v>
      </c>
      <c r="F724" s="51">
        <v>0.5</v>
      </c>
      <c r="H724" s="53">
        <f t="shared" si="112"/>
        <v>6.4999999999999991</v>
      </c>
      <c r="M724" s="51">
        <f t="shared" si="113"/>
        <v>6.4999999999999991</v>
      </c>
    </row>
    <row r="725" spans="1:13" x14ac:dyDescent="0.25">
      <c r="A725" s="133">
        <v>45620</v>
      </c>
      <c r="B725" s="51" t="s">
        <v>58</v>
      </c>
      <c r="C725" s="135">
        <v>0.41666666666666669</v>
      </c>
      <c r="D725" s="135">
        <v>0.72916666666666663</v>
      </c>
      <c r="E725" s="53">
        <f t="shared" si="111"/>
        <v>7.4999999999999982</v>
      </c>
      <c r="H725" s="53">
        <f t="shared" si="112"/>
        <v>7.4999999999999982</v>
      </c>
      <c r="M725" s="51">
        <f t="shared" si="113"/>
        <v>7.4999999999999982</v>
      </c>
    </row>
    <row r="726" spans="1:13" x14ac:dyDescent="0.25">
      <c r="A726" s="133">
        <v>45621</v>
      </c>
      <c r="B726" s="51" t="s">
        <v>56</v>
      </c>
      <c r="C726" s="135">
        <v>0.33333333333333331</v>
      </c>
      <c r="D726" s="135">
        <v>0.58333333333333337</v>
      </c>
      <c r="E726" s="53">
        <f t="shared" si="111"/>
        <v>6.0000000000000018</v>
      </c>
      <c r="H726" s="53"/>
      <c r="J726" s="53">
        <f t="shared" ref="J726:J728" si="116">IF(WEEKDAY(A726, 2)&lt;6, E726-2, E726)</f>
        <v>4.0000000000000018</v>
      </c>
      <c r="M726" s="51">
        <f t="shared" si="113"/>
        <v>4.0000000000000018</v>
      </c>
    </row>
    <row r="727" spans="1:13" x14ac:dyDescent="0.25">
      <c r="A727" s="133">
        <v>45622</v>
      </c>
      <c r="B727" s="51" t="s">
        <v>56</v>
      </c>
      <c r="C727" s="135">
        <v>0.33333333333333331</v>
      </c>
      <c r="D727" s="135">
        <v>0.58333333333333337</v>
      </c>
      <c r="E727" s="53">
        <f t="shared" si="111"/>
        <v>6.0000000000000018</v>
      </c>
      <c r="H727" s="53"/>
      <c r="J727" s="53">
        <f t="shared" si="116"/>
        <v>4.0000000000000018</v>
      </c>
      <c r="M727" s="51">
        <f t="shared" si="113"/>
        <v>4.0000000000000018</v>
      </c>
    </row>
    <row r="728" spans="1:13" x14ac:dyDescent="0.25">
      <c r="A728" s="133">
        <v>45623</v>
      </c>
      <c r="B728" s="51" t="s">
        <v>56</v>
      </c>
      <c r="C728" s="135">
        <v>0.33333333333333331</v>
      </c>
      <c r="D728" s="135">
        <v>0.58333333333333337</v>
      </c>
      <c r="E728" s="53">
        <f t="shared" si="111"/>
        <v>6.0000000000000018</v>
      </c>
      <c r="H728" s="53"/>
      <c r="J728" s="53">
        <f t="shared" si="116"/>
        <v>4.0000000000000018</v>
      </c>
      <c r="M728" s="51">
        <f t="shared" si="113"/>
        <v>4.0000000000000018</v>
      </c>
    </row>
    <row r="729" spans="1:13" x14ac:dyDescent="0.25">
      <c r="A729" s="133">
        <v>45623</v>
      </c>
      <c r="B729" s="51" t="s">
        <v>49</v>
      </c>
      <c r="C729" s="141">
        <v>0.60416666666666663</v>
      </c>
      <c r="D729" s="141">
        <v>0.89583333333333337</v>
      </c>
      <c r="E729" s="53">
        <f t="shared" si="111"/>
        <v>7.0000000000000018</v>
      </c>
      <c r="H729" s="53">
        <f t="shared" si="112"/>
        <v>9.0000000000000018</v>
      </c>
      <c r="M729" s="51">
        <f t="shared" si="113"/>
        <v>9.0000000000000018</v>
      </c>
    </row>
    <row r="730" spans="1:13" x14ac:dyDescent="0.25">
      <c r="A730" s="133">
        <v>45626</v>
      </c>
      <c r="B730" s="51" t="s">
        <v>56</v>
      </c>
      <c r="C730" s="135">
        <v>0.33333333333333331</v>
      </c>
      <c r="D730" s="135">
        <v>0.54166666666666663</v>
      </c>
      <c r="E730" s="53">
        <f t="shared" si="111"/>
        <v>5</v>
      </c>
      <c r="H730" s="53"/>
      <c r="J730" s="53">
        <f>IF(WEEKDAY(A730, 2)&lt;6, E730-2, E730)</f>
        <v>5</v>
      </c>
      <c r="M730" s="51">
        <f t="shared" si="113"/>
        <v>5</v>
      </c>
    </row>
    <row r="731" spans="1:13" x14ac:dyDescent="0.25">
      <c r="A731" s="133">
        <v>45626</v>
      </c>
      <c r="B731" s="51" t="s">
        <v>58</v>
      </c>
      <c r="C731" s="135">
        <v>0.58333333333333337</v>
      </c>
      <c r="D731" s="135">
        <v>0.91666666666666663</v>
      </c>
      <c r="E731" s="53">
        <f t="shared" si="111"/>
        <v>7.9999999999999982</v>
      </c>
      <c r="H731" s="53">
        <f t="shared" si="112"/>
        <v>7.9999999999999982</v>
      </c>
      <c r="M731" s="51">
        <f t="shared" si="113"/>
        <v>7.9999999999999982</v>
      </c>
    </row>
    <row r="732" spans="1:13" x14ac:dyDescent="0.25">
      <c r="A732" s="133">
        <v>45626</v>
      </c>
      <c r="B732" s="51" t="s">
        <v>53</v>
      </c>
      <c r="C732" s="135">
        <v>0.54166666666666663</v>
      </c>
      <c r="D732" s="135">
        <v>0.875</v>
      </c>
      <c r="E732" s="53">
        <f t="shared" si="111"/>
        <v>8</v>
      </c>
      <c r="H732" s="53">
        <f t="shared" si="112"/>
        <v>8</v>
      </c>
      <c r="M732" s="51">
        <f t="shared" si="113"/>
        <v>8</v>
      </c>
    </row>
    <row r="733" spans="1:13" x14ac:dyDescent="0.25">
      <c r="A733" s="133">
        <v>45628</v>
      </c>
      <c r="B733" s="51" t="s">
        <v>56</v>
      </c>
      <c r="C733" s="135">
        <v>0.33333333333333331</v>
      </c>
      <c r="D733" s="135">
        <v>0.58333333333333337</v>
      </c>
      <c r="E733" s="53">
        <f t="shared" si="111"/>
        <v>5.5000000000000018</v>
      </c>
      <c r="F733" s="51">
        <v>0.5</v>
      </c>
      <c r="H733" s="53"/>
      <c r="J733" s="53">
        <f>IF(WEEKDAY(A733, 2)&lt;6, E733-2, E733)</f>
        <v>3.5000000000000018</v>
      </c>
      <c r="M733" s="51">
        <f t="shared" si="113"/>
        <v>3.5000000000000018</v>
      </c>
    </row>
    <row r="734" spans="1:13" x14ac:dyDescent="0.25">
      <c r="A734" s="133">
        <v>45628</v>
      </c>
      <c r="B734" s="51" t="s">
        <v>49</v>
      </c>
      <c r="C734" s="135">
        <v>0.70833333333333337</v>
      </c>
      <c r="D734" s="135">
        <v>0.79166666666666663</v>
      </c>
      <c r="E734" s="53">
        <f t="shared" si="111"/>
        <v>1.9999999999999982</v>
      </c>
      <c r="H734" s="53">
        <f t="shared" si="112"/>
        <v>3.9999999999999982</v>
      </c>
      <c r="M734" s="51">
        <f t="shared" si="113"/>
        <v>3.9999999999999982</v>
      </c>
    </row>
    <row r="735" spans="1:13" x14ac:dyDescent="0.25">
      <c r="A735" s="133">
        <v>45629</v>
      </c>
      <c r="B735" s="51" t="s">
        <v>53</v>
      </c>
      <c r="C735" s="135">
        <v>0.72916666666666663</v>
      </c>
      <c r="D735" s="135">
        <v>0.85416666666666663</v>
      </c>
      <c r="E735" s="53">
        <f t="shared" si="111"/>
        <v>3</v>
      </c>
      <c r="H735" s="53">
        <f t="shared" si="112"/>
        <v>5</v>
      </c>
      <c r="M735" s="51">
        <f t="shared" si="113"/>
        <v>5</v>
      </c>
    </row>
    <row r="736" spans="1:13" x14ac:dyDescent="0.25">
      <c r="A736" s="133">
        <v>45629</v>
      </c>
      <c r="B736" s="51" t="s">
        <v>56</v>
      </c>
      <c r="C736" s="135">
        <v>0.33333333333333331</v>
      </c>
      <c r="D736" s="135">
        <v>0.58333333333333337</v>
      </c>
      <c r="E736" s="53">
        <f t="shared" si="111"/>
        <v>5.5000000000000018</v>
      </c>
      <c r="F736" s="51">
        <v>0.5</v>
      </c>
      <c r="H736" s="53"/>
      <c r="J736" s="53">
        <f t="shared" ref="J736:J739" si="117">IF(WEEKDAY(A736, 2)&lt;6, E736-2, E736)</f>
        <v>3.5000000000000018</v>
      </c>
      <c r="M736" s="51">
        <f t="shared" si="113"/>
        <v>3.5000000000000018</v>
      </c>
    </row>
    <row r="737" spans="1:13" x14ac:dyDescent="0.25">
      <c r="A737" s="133">
        <v>45630</v>
      </c>
      <c r="B737" s="51" t="s">
        <v>56</v>
      </c>
      <c r="C737" s="135">
        <v>0.70833333333333337</v>
      </c>
      <c r="D737" s="135">
        <v>0.91666666666666663</v>
      </c>
      <c r="E737" s="53">
        <f t="shared" si="111"/>
        <v>4.9999999999999982</v>
      </c>
      <c r="H737" s="53"/>
      <c r="J737" s="53">
        <f t="shared" si="117"/>
        <v>2.9999999999999982</v>
      </c>
      <c r="M737" s="51">
        <f t="shared" si="113"/>
        <v>2.9999999999999982</v>
      </c>
    </row>
    <row r="738" spans="1:13" x14ac:dyDescent="0.25">
      <c r="A738" s="133">
        <v>45630</v>
      </c>
      <c r="B738" s="51" t="s">
        <v>56</v>
      </c>
      <c r="C738" s="135">
        <v>0.33333333333333331</v>
      </c>
      <c r="D738" s="135">
        <v>0.58333333333333337</v>
      </c>
      <c r="E738" s="53">
        <f t="shared" si="111"/>
        <v>5.5000000000000018</v>
      </c>
      <c r="F738" s="51">
        <v>0.5</v>
      </c>
      <c r="H738" s="53"/>
      <c r="J738" s="53">
        <f t="shared" si="117"/>
        <v>3.5000000000000018</v>
      </c>
      <c r="M738" s="51">
        <f t="shared" si="113"/>
        <v>3.5000000000000018</v>
      </c>
    </row>
    <row r="739" spans="1:13" x14ac:dyDescent="0.25">
      <c r="A739" s="133">
        <v>45631</v>
      </c>
      <c r="B739" s="51" t="s">
        <v>56</v>
      </c>
      <c r="C739" s="135">
        <v>0.33333333333333331</v>
      </c>
      <c r="D739" s="135">
        <v>0.58333333333333337</v>
      </c>
      <c r="E739" s="53">
        <f t="shared" si="111"/>
        <v>5.5000000000000018</v>
      </c>
      <c r="F739" s="51">
        <v>0.5</v>
      </c>
      <c r="H739" s="53"/>
      <c r="J739" s="53">
        <f t="shared" si="117"/>
        <v>3.5000000000000018</v>
      </c>
      <c r="M739" s="51">
        <f t="shared" si="113"/>
        <v>3.5000000000000018</v>
      </c>
    </row>
    <row r="740" spans="1:13" x14ac:dyDescent="0.25">
      <c r="A740" s="133">
        <v>45631</v>
      </c>
      <c r="B740" s="51" t="s">
        <v>47</v>
      </c>
      <c r="C740" s="135">
        <v>0.77083333333333337</v>
      </c>
      <c r="D740" s="135">
        <v>0.9375</v>
      </c>
      <c r="E740" s="53">
        <f t="shared" si="111"/>
        <v>3.9999999999999991</v>
      </c>
      <c r="H740" s="53">
        <f t="shared" si="112"/>
        <v>5.9999999999999991</v>
      </c>
      <c r="M740" s="51">
        <f t="shared" si="113"/>
        <v>5.9999999999999991</v>
      </c>
    </row>
    <row r="741" spans="1:13" x14ac:dyDescent="0.25">
      <c r="A741" s="133">
        <v>45632</v>
      </c>
      <c r="B741" s="51" t="s">
        <v>53</v>
      </c>
      <c r="C741" s="135">
        <v>0.5</v>
      </c>
      <c r="D741" s="135">
        <v>0.66666666666666663</v>
      </c>
      <c r="E741" s="53">
        <f t="shared" si="111"/>
        <v>3.9999999999999991</v>
      </c>
      <c r="H741" s="53">
        <f t="shared" si="112"/>
        <v>5.9999999999999991</v>
      </c>
      <c r="M741" s="51">
        <f t="shared" si="113"/>
        <v>5.9999999999999991</v>
      </c>
    </row>
    <row r="742" spans="1:13" x14ac:dyDescent="0.25">
      <c r="A742" s="133">
        <v>45632</v>
      </c>
      <c r="B742" s="51" t="s">
        <v>56</v>
      </c>
      <c r="C742" s="135">
        <v>0.33333333333333331</v>
      </c>
      <c r="D742" s="135">
        <v>0.58333333333333337</v>
      </c>
      <c r="E742" s="53">
        <f t="shared" si="111"/>
        <v>5.5000000000000018</v>
      </c>
      <c r="F742" s="51">
        <v>0.5</v>
      </c>
      <c r="H742" s="53"/>
      <c r="J742" s="53">
        <f>IF(WEEKDAY(A742, 2)&lt;6, E742-2, E742)</f>
        <v>3.5000000000000018</v>
      </c>
      <c r="M742" s="51">
        <f t="shared" si="113"/>
        <v>3.5000000000000018</v>
      </c>
    </row>
    <row r="743" spans="1:13" x14ac:dyDescent="0.25">
      <c r="A743" s="133">
        <v>45632</v>
      </c>
      <c r="B743" s="51" t="s">
        <v>53</v>
      </c>
      <c r="C743" s="135">
        <v>0.70833333333333337</v>
      </c>
      <c r="D743" s="135">
        <v>0.9375</v>
      </c>
      <c r="E743" s="53">
        <f t="shared" si="111"/>
        <v>5.4999999999999991</v>
      </c>
      <c r="H743" s="53">
        <f t="shared" si="112"/>
        <v>7.4999999999999991</v>
      </c>
      <c r="M743" s="51">
        <f t="shared" si="113"/>
        <v>7.4999999999999991</v>
      </c>
    </row>
    <row r="744" spans="1:13" x14ac:dyDescent="0.25">
      <c r="A744" s="133">
        <v>45633</v>
      </c>
      <c r="B744" s="51" t="s">
        <v>56</v>
      </c>
      <c r="C744" s="135">
        <v>0.33333333333333331</v>
      </c>
      <c r="D744" s="135">
        <v>0.54166666666666663</v>
      </c>
      <c r="E744" s="53">
        <f t="shared" si="111"/>
        <v>5</v>
      </c>
      <c r="H744" s="53"/>
      <c r="J744" s="53">
        <f>IF(WEEKDAY(A744, 2)&lt;6, E744-2, E744)</f>
        <v>5</v>
      </c>
      <c r="M744" s="51">
        <f t="shared" si="113"/>
        <v>5</v>
      </c>
    </row>
    <row r="745" spans="1:13" x14ac:dyDescent="0.25">
      <c r="A745" s="133">
        <v>45633</v>
      </c>
      <c r="B745" s="51" t="s">
        <v>48</v>
      </c>
      <c r="C745" s="135">
        <v>0.77083333333333337</v>
      </c>
      <c r="D745" s="135">
        <v>0.95833333333333337</v>
      </c>
      <c r="E745" s="53">
        <f t="shared" si="111"/>
        <v>4.5</v>
      </c>
      <c r="H745" s="53">
        <f t="shared" si="112"/>
        <v>4.5</v>
      </c>
      <c r="M745" s="51">
        <f t="shared" si="113"/>
        <v>4.5</v>
      </c>
    </row>
    <row r="746" spans="1:13" x14ac:dyDescent="0.25">
      <c r="A746" s="133">
        <v>45633</v>
      </c>
      <c r="B746" s="51" t="s">
        <v>48</v>
      </c>
      <c r="C746" s="135">
        <v>0.625</v>
      </c>
      <c r="D746" s="135">
        <v>0.77083333333333337</v>
      </c>
      <c r="E746" s="53">
        <f t="shared" si="111"/>
        <v>3.5000000000000009</v>
      </c>
      <c r="H746" s="53">
        <f t="shared" si="112"/>
        <v>3.5000000000000009</v>
      </c>
      <c r="M746" s="51">
        <f t="shared" si="113"/>
        <v>3.5000000000000009</v>
      </c>
    </row>
    <row r="747" spans="1:13" x14ac:dyDescent="0.25">
      <c r="A747" s="133">
        <v>45633</v>
      </c>
      <c r="B747" s="51" t="s">
        <v>56</v>
      </c>
      <c r="C747" s="135">
        <v>0.54166666666666663</v>
      </c>
      <c r="D747" s="135">
        <v>0.75</v>
      </c>
      <c r="E747" s="53">
        <f t="shared" si="111"/>
        <v>5.0000000000000009</v>
      </c>
      <c r="H747" s="53"/>
      <c r="J747" s="53">
        <f>IF(WEEKDAY(A747, 2)&lt;6, E747-2, E747)</f>
        <v>5.0000000000000009</v>
      </c>
      <c r="M747" s="51">
        <f t="shared" si="113"/>
        <v>5.0000000000000009</v>
      </c>
    </row>
    <row r="748" spans="1:13" x14ac:dyDescent="0.25">
      <c r="A748" s="133">
        <v>45633</v>
      </c>
      <c r="B748" s="51" t="s">
        <v>49</v>
      </c>
      <c r="C748" s="135">
        <v>0.375</v>
      </c>
      <c r="D748" s="135">
        <v>0.5</v>
      </c>
      <c r="E748" s="53">
        <f t="shared" si="111"/>
        <v>3</v>
      </c>
      <c r="H748" s="53">
        <f t="shared" si="112"/>
        <v>3</v>
      </c>
      <c r="M748" s="51">
        <f t="shared" si="113"/>
        <v>3</v>
      </c>
    </row>
    <row r="749" spans="1:13" x14ac:dyDescent="0.25">
      <c r="A749" s="133">
        <v>45633</v>
      </c>
      <c r="B749" s="51" t="s">
        <v>47</v>
      </c>
      <c r="C749" s="135">
        <v>0.375</v>
      </c>
      <c r="D749" s="135">
        <v>0.58333333333333337</v>
      </c>
      <c r="E749" s="53">
        <f t="shared" si="111"/>
        <v>5.0000000000000009</v>
      </c>
      <c r="H749" s="53">
        <f t="shared" si="112"/>
        <v>5.0000000000000009</v>
      </c>
      <c r="M749" s="51">
        <f t="shared" si="113"/>
        <v>5.0000000000000009</v>
      </c>
    </row>
    <row r="750" spans="1:13" x14ac:dyDescent="0.25">
      <c r="A750" s="133">
        <v>45634</v>
      </c>
      <c r="B750" s="51" t="s">
        <v>53</v>
      </c>
      <c r="C750" s="135">
        <v>0.33333333333333331</v>
      </c>
      <c r="D750" s="135">
        <v>0.54166666666666663</v>
      </c>
      <c r="E750" s="53">
        <f t="shared" si="111"/>
        <v>5</v>
      </c>
      <c r="H750" s="53">
        <f t="shared" si="112"/>
        <v>5</v>
      </c>
      <c r="M750" s="51">
        <f t="shared" si="113"/>
        <v>5</v>
      </c>
    </row>
    <row r="751" spans="1:13" x14ac:dyDescent="0.25">
      <c r="A751" s="133">
        <v>45634</v>
      </c>
      <c r="B751" s="51" t="s">
        <v>58</v>
      </c>
      <c r="C751" s="135">
        <v>0.54166666666666663</v>
      </c>
      <c r="D751" s="135">
        <v>0.77083333333333337</v>
      </c>
      <c r="E751" s="53">
        <f t="shared" si="111"/>
        <v>5.0000000000000018</v>
      </c>
      <c r="F751" s="51">
        <v>0.5</v>
      </c>
      <c r="H751" s="53">
        <f t="shared" si="112"/>
        <v>5.0000000000000018</v>
      </c>
      <c r="M751" s="51">
        <f t="shared" si="113"/>
        <v>5.0000000000000018</v>
      </c>
    </row>
    <row r="752" spans="1:13" x14ac:dyDescent="0.25">
      <c r="A752" s="133">
        <v>45634</v>
      </c>
      <c r="B752" s="51" t="s">
        <v>53</v>
      </c>
      <c r="C752" s="135">
        <v>0.54166666666666663</v>
      </c>
      <c r="D752" s="135">
        <v>0.91666666666666663</v>
      </c>
      <c r="E752" s="53">
        <f t="shared" si="111"/>
        <v>8</v>
      </c>
      <c r="F752" s="51">
        <v>1</v>
      </c>
      <c r="H752" s="53">
        <f t="shared" si="112"/>
        <v>8</v>
      </c>
      <c r="M752" s="51">
        <f t="shared" si="113"/>
        <v>8</v>
      </c>
    </row>
    <row r="753" spans="1:13" x14ac:dyDescent="0.25">
      <c r="A753" s="133">
        <v>45635</v>
      </c>
      <c r="B753" s="51" t="s">
        <v>56</v>
      </c>
      <c r="C753" s="135">
        <v>0.33333333333333331</v>
      </c>
      <c r="D753" s="135">
        <v>0.58333333333333337</v>
      </c>
      <c r="E753" s="53">
        <f t="shared" si="111"/>
        <v>5.5000000000000018</v>
      </c>
      <c r="F753" s="51">
        <v>0.5</v>
      </c>
      <c r="H753" s="53"/>
      <c r="J753" s="53">
        <f>IF(WEEKDAY(A753, 2)&lt;6, E753-2, E753)</f>
        <v>3.5000000000000018</v>
      </c>
      <c r="M753" s="51">
        <f t="shared" si="113"/>
        <v>3.5000000000000018</v>
      </c>
    </row>
    <row r="754" spans="1:13" x14ac:dyDescent="0.25">
      <c r="A754" s="133">
        <v>45635</v>
      </c>
      <c r="B754" s="51" t="s">
        <v>49</v>
      </c>
      <c r="C754" s="135">
        <v>0.70833333333333337</v>
      </c>
      <c r="D754" s="135">
        <v>0.79166666666666663</v>
      </c>
      <c r="E754" s="53">
        <f t="shared" si="111"/>
        <v>1.9999999999999982</v>
      </c>
      <c r="H754" s="53">
        <f t="shared" si="112"/>
        <v>3.9999999999999982</v>
      </c>
      <c r="M754" s="51">
        <f t="shared" si="113"/>
        <v>3.9999999999999982</v>
      </c>
    </row>
    <row r="755" spans="1:13" x14ac:dyDescent="0.25">
      <c r="A755" s="133">
        <v>45636</v>
      </c>
      <c r="B755" s="51" t="s">
        <v>56</v>
      </c>
      <c r="C755" s="135">
        <v>0.33333333333333331</v>
      </c>
      <c r="D755" s="135">
        <v>0.60416666666666663</v>
      </c>
      <c r="E755" s="53">
        <f t="shared" si="111"/>
        <v>6</v>
      </c>
      <c r="F755" s="51">
        <v>0.5</v>
      </c>
      <c r="H755" s="53"/>
      <c r="J755" s="53">
        <f>IF(WEEKDAY(A755, 2)&lt;6, E755-2, E755)</f>
        <v>4</v>
      </c>
      <c r="M755" s="51">
        <f t="shared" si="113"/>
        <v>4</v>
      </c>
    </row>
    <row r="756" spans="1:13" x14ac:dyDescent="0.25">
      <c r="A756" s="133">
        <v>45636</v>
      </c>
      <c r="B756" s="51" t="s">
        <v>53</v>
      </c>
      <c r="C756" s="135">
        <v>0.72916666666666663</v>
      </c>
      <c r="D756" s="135">
        <v>0.85416666666666663</v>
      </c>
      <c r="E756" s="53">
        <f t="shared" si="111"/>
        <v>3</v>
      </c>
      <c r="H756" s="53">
        <f t="shared" si="112"/>
        <v>5</v>
      </c>
      <c r="M756" s="51">
        <f t="shared" si="113"/>
        <v>5</v>
      </c>
    </row>
    <row r="757" spans="1:13" x14ac:dyDescent="0.25">
      <c r="A757" s="133">
        <v>45637</v>
      </c>
      <c r="B757" s="51" t="s">
        <v>49</v>
      </c>
      <c r="C757" s="135">
        <v>0.70833333333333337</v>
      </c>
      <c r="D757" s="135">
        <v>0.89583333333333337</v>
      </c>
      <c r="E757" s="53">
        <f t="shared" si="111"/>
        <v>4.5</v>
      </c>
      <c r="H757" s="53">
        <f t="shared" si="112"/>
        <v>6.5</v>
      </c>
      <c r="M757" s="51">
        <f t="shared" si="113"/>
        <v>6.5</v>
      </c>
    </row>
    <row r="758" spans="1:13" x14ac:dyDescent="0.25">
      <c r="A758" s="133">
        <v>45637</v>
      </c>
      <c r="B758" s="51" t="s">
        <v>56</v>
      </c>
      <c r="C758" s="135">
        <v>0.33333333333333331</v>
      </c>
      <c r="D758" s="135">
        <v>0.58333333333333337</v>
      </c>
      <c r="E758" s="53">
        <f t="shared" si="111"/>
        <v>5.5000000000000018</v>
      </c>
      <c r="F758" s="51">
        <v>0.5</v>
      </c>
      <c r="H758" s="53"/>
      <c r="J758" s="53">
        <f t="shared" ref="J758:J759" si="118">IF(WEEKDAY(A758, 2)&lt;6, E758-2, E758)</f>
        <v>3.5000000000000018</v>
      </c>
      <c r="M758" s="51">
        <f t="shared" si="113"/>
        <v>3.5000000000000018</v>
      </c>
    </row>
    <row r="759" spans="1:13" x14ac:dyDescent="0.25">
      <c r="A759" s="133">
        <v>45638</v>
      </c>
      <c r="B759" s="51" t="s">
        <v>56</v>
      </c>
      <c r="C759" s="135">
        <v>0.75</v>
      </c>
      <c r="D759" s="135">
        <v>0.95833333333333337</v>
      </c>
      <c r="E759" s="53">
        <f t="shared" si="111"/>
        <v>5.0000000000000009</v>
      </c>
      <c r="H759" s="53"/>
      <c r="J759" s="53">
        <f t="shared" si="118"/>
        <v>3.0000000000000009</v>
      </c>
      <c r="M759" s="51">
        <f t="shared" si="113"/>
        <v>3.0000000000000009</v>
      </c>
    </row>
    <row r="760" spans="1:13" x14ac:dyDescent="0.25">
      <c r="A760" s="133">
        <v>45638</v>
      </c>
      <c r="B760" s="51" t="s">
        <v>49</v>
      </c>
      <c r="C760" s="135">
        <v>0.5</v>
      </c>
      <c r="D760" s="135">
        <v>0.66666666666666663</v>
      </c>
      <c r="E760" s="53">
        <f t="shared" si="111"/>
        <v>3.9999999999999991</v>
      </c>
      <c r="H760" s="53">
        <f t="shared" si="112"/>
        <v>5.9999999999999991</v>
      </c>
      <c r="M760" s="51">
        <f t="shared" si="113"/>
        <v>5.9999999999999991</v>
      </c>
    </row>
    <row r="761" spans="1:13" x14ac:dyDescent="0.25">
      <c r="A761" s="133">
        <v>45638</v>
      </c>
      <c r="B761" s="51" t="s">
        <v>56</v>
      </c>
      <c r="C761" s="135">
        <v>0.33333333333333331</v>
      </c>
      <c r="D761" s="135">
        <v>0.58333333333333337</v>
      </c>
      <c r="E761" s="53">
        <f t="shared" si="111"/>
        <v>5.5000000000000018</v>
      </c>
      <c r="F761" s="51">
        <v>0.5</v>
      </c>
      <c r="H761" s="53"/>
      <c r="J761" s="53">
        <f t="shared" ref="J761:J762" si="119">IF(WEEKDAY(A761, 2)&lt;6, E761-2, E761)</f>
        <v>3.5000000000000018</v>
      </c>
      <c r="M761" s="51">
        <f t="shared" si="113"/>
        <v>3.5000000000000018</v>
      </c>
    </row>
    <row r="762" spans="1:13" x14ac:dyDescent="0.25">
      <c r="A762" s="133">
        <v>45639</v>
      </c>
      <c r="B762" s="51" t="s">
        <v>56</v>
      </c>
      <c r="C762" s="135">
        <v>0.64583333333333337</v>
      </c>
      <c r="D762" s="135">
        <v>0.89583333333333337</v>
      </c>
      <c r="E762" s="53">
        <f t="shared" si="111"/>
        <v>5.5</v>
      </c>
      <c r="F762" s="51">
        <v>0.5</v>
      </c>
      <c r="H762" s="53"/>
      <c r="J762" s="53">
        <f t="shared" si="119"/>
        <v>3.5</v>
      </c>
      <c r="M762" s="51">
        <f t="shared" si="113"/>
        <v>3.5</v>
      </c>
    </row>
    <row r="763" spans="1:13" x14ac:dyDescent="0.25">
      <c r="A763" s="133">
        <v>45639</v>
      </c>
      <c r="B763" s="51" t="s">
        <v>53</v>
      </c>
      <c r="C763" s="135">
        <v>0.64583333333333337</v>
      </c>
      <c r="D763" s="135">
        <v>0.91666666666666663</v>
      </c>
      <c r="E763" s="53">
        <f t="shared" si="111"/>
        <v>5.9999999999999982</v>
      </c>
      <c r="F763" s="51">
        <v>0.5</v>
      </c>
      <c r="H763" s="53">
        <f t="shared" si="112"/>
        <v>7.9999999999999982</v>
      </c>
      <c r="M763" s="51">
        <f t="shared" si="113"/>
        <v>7.9999999999999982</v>
      </c>
    </row>
    <row r="764" spans="1:13" x14ac:dyDescent="0.25">
      <c r="A764" s="133">
        <v>45639</v>
      </c>
      <c r="B764" s="51" t="s">
        <v>56</v>
      </c>
      <c r="C764" s="135">
        <v>0.33333333333333331</v>
      </c>
      <c r="D764" s="135">
        <v>0.58333333333333337</v>
      </c>
      <c r="E764" s="53">
        <f t="shared" si="111"/>
        <v>5.5000000000000018</v>
      </c>
      <c r="F764" s="51">
        <v>0.5</v>
      </c>
      <c r="H764" s="53"/>
      <c r="J764" s="53">
        <f>IF(WEEKDAY(A764, 2)&lt;6, E764-2, E764)</f>
        <v>3.5000000000000018</v>
      </c>
      <c r="M764" s="51">
        <f t="shared" si="113"/>
        <v>3.5000000000000018</v>
      </c>
    </row>
    <row r="765" spans="1:13" x14ac:dyDescent="0.25">
      <c r="A765" s="133">
        <v>45640</v>
      </c>
      <c r="B765" s="51" t="s">
        <v>47</v>
      </c>
      <c r="C765" s="135">
        <v>0.375</v>
      </c>
      <c r="D765" s="135">
        <v>0.58333333333333337</v>
      </c>
      <c r="E765" s="53">
        <f t="shared" si="111"/>
        <v>5.0000000000000009</v>
      </c>
      <c r="H765" s="53">
        <f t="shared" si="112"/>
        <v>5.0000000000000009</v>
      </c>
      <c r="M765" s="51">
        <f t="shared" si="113"/>
        <v>5.0000000000000009</v>
      </c>
    </row>
    <row r="766" spans="1:13" x14ac:dyDescent="0.25">
      <c r="A766" s="133">
        <v>45640</v>
      </c>
      <c r="B766" s="51" t="s">
        <v>49</v>
      </c>
      <c r="C766" s="135">
        <v>0.375</v>
      </c>
      <c r="D766" s="135">
        <v>0.5</v>
      </c>
      <c r="E766" s="53">
        <f t="shared" si="111"/>
        <v>3</v>
      </c>
      <c r="H766" s="53">
        <f t="shared" si="112"/>
        <v>3</v>
      </c>
      <c r="M766" s="51">
        <f t="shared" si="113"/>
        <v>3</v>
      </c>
    </row>
    <row r="767" spans="1:13" x14ac:dyDescent="0.25">
      <c r="A767" s="133">
        <v>45640</v>
      </c>
      <c r="B767" s="51" t="s">
        <v>53</v>
      </c>
      <c r="C767" s="135">
        <v>0.41666666666666669</v>
      </c>
      <c r="D767" s="135">
        <v>0.66666666666666663</v>
      </c>
      <c r="E767" s="53">
        <f t="shared" si="111"/>
        <v>5.4999999999999982</v>
      </c>
      <c r="F767" s="51">
        <v>0.5</v>
      </c>
      <c r="H767" s="53">
        <f t="shared" si="112"/>
        <v>5.4999999999999982</v>
      </c>
      <c r="M767" s="51">
        <f t="shared" si="113"/>
        <v>5.4999999999999982</v>
      </c>
    </row>
    <row r="768" spans="1:13" x14ac:dyDescent="0.25">
      <c r="A768" s="133">
        <v>45640</v>
      </c>
      <c r="B768" s="51" t="s">
        <v>58</v>
      </c>
      <c r="C768" s="135">
        <v>0.58333333333333337</v>
      </c>
      <c r="D768" s="135">
        <v>0.8125</v>
      </c>
      <c r="E768" s="53">
        <f t="shared" si="111"/>
        <v>4.9999999999999991</v>
      </c>
      <c r="F768" s="51">
        <v>0.5</v>
      </c>
      <c r="H768" s="53">
        <f t="shared" si="112"/>
        <v>4.9999999999999991</v>
      </c>
      <c r="M768" s="51">
        <f t="shared" si="113"/>
        <v>4.9999999999999991</v>
      </c>
    </row>
    <row r="769" spans="1:13" x14ac:dyDescent="0.25">
      <c r="A769" s="133">
        <v>45640</v>
      </c>
      <c r="B769" s="51" t="s">
        <v>58</v>
      </c>
      <c r="C769" s="135">
        <v>0.8125</v>
      </c>
      <c r="D769" s="135">
        <v>4.1666666666666664E-2</v>
      </c>
      <c r="E769" s="53">
        <f t="shared" si="111"/>
        <v>4.9999999999999991</v>
      </c>
      <c r="F769" s="51">
        <v>0.5</v>
      </c>
      <c r="H769" s="53">
        <f t="shared" si="112"/>
        <v>4.9999999999999991</v>
      </c>
      <c r="M769" s="51">
        <f t="shared" si="113"/>
        <v>4.9999999999999991</v>
      </c>
    </row>
    <row r="770" spans="1:13" x14ac:dyDescent="0.25">
      <c r="A770" s="133">
        <v>45640</v>
      </c>
      <c r="B770" s="51" t="s">
        <v>56</v>
      </c>
      <c r="C770" s="135">
        <v>0.33333333333333331</v>
      </c>
      <c r="D770" s="135">
        <v>0.54166666666666663</v>
      </c>
      <c r="E770" s="53">
        <f t="shared" si="111"/>
        <v>5</v>
      </c>
      <c r="H770" s="53"/>
      <c r="J770" s="53">
        <f>IF(WEEKDAY(A770, 2)&lt;6, E770-2, E770)</f>
        <v>5</v>
      </c>
      <c r="M770" s="51">
        <f t="shared" si="113"/>
        <v>5</v>
      </c>
    </row>
    <row r="771" spans="1:13" x14ac:dyDescent="0.25">
      <c r="A771" s="133">
        <v>45641</v>
      </c>
      <c r="B771" s="51" t="s">
        <v>48</v>
      </c>
      <c r="C771" s="135">
        <v>0.39583333333333331</v>
      </c>
      <c r="D771" s="135">
        <v>0.60416666666666663</v>
      </c>
      <c r="E771" s="53">
        <f t="shared" ref="E771:E834" si="120">MOD((D771-C771),1) *24 - F771</f>
        <v>5</v>
      </c>
      <c r="H771" s="53">
        <f t="shared" ref="H771:H834" si="121">IF(WEEKDAY(A771, 2)&lt;6, E771+2, E771)</f>
        <v>5</v>
      </c>
      <c r="M771" s="51">
        <f t="shared" ref="M771:M834" si="122">IF(H771&lt;&gt;"",H771,J771)</f>
        <v>5</v>
      </c>
    </row>
    <row r="772" spans="1:13" x14ac:dyDescent="0.25">
      <c r="A772" s="133">
        <v>45641</v>
      </c>
      <c r="B772" s="51" t="s">
        <v>53</v>
      </c>
      <c r="C772" s="135">
        <v>0.375</v>
      </c>
      <c r="D772" s="135">
        <v>0.625</v>
      </c>
      <c r="E772" s="53">
        <f t="shared" si="120"/>
        <v>5</v>
      </c>
      <c r="F772" s="51">
        <v>1</v>
      </c>
      <c r="H772" s="53">
        <f t="shared" si="121"/>
        <v>5</v>
      </c>
      <c r="M772" s="51">
        <f t="shared" si="122"/>
        <v>5</v>
      </c>
    </row>
    <row r="773" spans="1:13" x14ac:dyDescent="0.25">
      <c r="A773" s="133">
        <v>45641</v>
      </c>
      <c r="B773" s="51" t="s">
        <v>53</v>
      </c>
      <c r="C773" s="135">
        <v>0.625</v>
      </c>
      <c r="D773" s="135">
        <v>0.91666666666666663</v>
      </c>
      <c r="E773" s="53">
        <f t="shared" si="120"/>
        <v>6.4999999999999991</v>
      </c>
      <c r="F773" s="51">
        <v>0.5</v>
      </c>
      <c r="H773" s="53">
        <f t="shared" si="121"/>
        <v>6.4999999999999991</v>
      </c>
      <c r="M773" s="51">
        <f t="shared" si="122"/>
        <v>6.4999999999999991</v>
      </c>
    </row>
    <row r="774" spans="1:13" x14ac:dyDescent="0.25">
      <c r="A774" s="133">
        <v>45641</v>
      </c>
      <c r="B774" s="51" t="s">
        <v>58</v>
      </c>
      <c r="C774" s="135">
        <v>0.45833333333333331</v>
      </c>
      <c r="D774" s="135">
        <v>0.79166666666666663</v>
      </c>
      <c r="E774" s="53">
        <f t="shared" si="120"/>
        <v>7.5</v>
      </c>
      <c r="F774" s="51">
        <v>0.5</v>
      </c>
      <c r="H774" s="53">
        <f t="shared" si="121"/>
        <v>7.5</v>
      </c>
      <c r="M774" s="51">
        <f t="shared" si="122"/>
        <v>7.5</v>
      </c>
    </row>
    <row r="775" spans="1:13" x14ac:dyDescent="0.25">
      <c r="A775" s="133">
        <v>45642</v>
      </c>
      <c r="B775" s="51" t="s">
        <v>49</v>
      </c>
      <c r="C775" s="135">
        <v>0.41666666666666669</v>
      </c>
      <c r="D775" s="135">
        <v>0.66666666666666663</v>
      </c>
      <c r="E775" s="53">
        <f t="shared" si="120"/>
        <v>5.9999999999999982</v>
      </c>
      <c r="H775" s="53">
        <f t="shared" si="121"/>
        <v>7.9999999999999982</v>
      </c>
      <c r="M775" s="51">
        <f t="shared" si="122"/>
        <v>7.9999999999999982</v>
      </c>
    </row>
    <row r="776" spans="1:13" x14ac:dyDescent="0.25">
      <c r="A776" s="133">
        <v>45642</v>
      </c>
      <c r="B776" s="51" t="s">
        <v>49</v>
      </c>
      <c r="C776" s="135">
        <v>0.70833333333333337</v>
      </c>
      <c r="D776" s="135">
        <v>0.79166666666666663</v>
      </c>
      <c r="E776" s="53">
        <f t="shared" si="120"/>
        <v>1.9999999999999982</v>
      </c>
      <c r="H776" s="53">
        <f t="shared" si="121"/>
        <v>3.9999999999999982</v>
      </c>
      <c r="M776" s="51">
        <f t="shared" si="122"/>
        <v>3.9999999999999982</v>
      </c>
    </row>
    <row r="777" spans="1:13" x14ac:dyDescent="0.25">
      <c r="A777" s="133">
        <v>45642</v>
      </c>
      <c r="B777" s="51" t="s">
        <v>56</v>
      </c>
      <c r="C777" s="135">
        <v>0.33333333333333331</v>
      </c>
      <c r="D777" s="135">
        <v>0.58333333333333337</v>
      </c>
      <c r="E777" s="53">
        <f t="shared" si="120"/>
        <v>5.5000000000000018</v>
      </c>
      <c r="F777" s="51">
        <v>0.5</v>
      </c>
      <c r="H777" s="53"/>
      <c r="J777" s="53">
        <f>IF(WEEKDAY(A777, 2)&lt;6, E777-2, E777)</f>
        <v>3.5000000000000018</v>
      </c>
      <c r="M777" s="51">
        <f t="shared" si="122"/>
        <v>3.5000000000000018</v>
      </c>
    </row>
    <row r="778" spans="1:13" x14ac:dyDescent="0.25">
      <c r="A778" s="133">
        <v>45643</v>
      </c>
      <c r="B778" s="51" t="s">
        <v>53</v>
      </c>
      <c r="C778" s="135">
        <v>0.72916666666666663</v>
      </c>
      <c r="D778" s="135">
        <v>0.85416666666666663</v>
      </c>
      <c r="E778" s="53">
        <f t="shared" si="120"/>
        <v>3</v>
      </c>
      <c r="H778" s="53">
        <f t="shared" si="121"/>
        <v>5</v>
      </c>
      <c r="M778" s="51">
        <f t="shared" si="122"/>
        <v>5</v>
      </c>
    </row>
    <row r="779" spans="1:13" x14ac:dyDescent="0.25">
      <c r="A779" s="133">
        <v>45643</v>
      </c>
      <c r="B779" s="51" t="s">
        <v>56</v>
      </c>
      <c r="C779" s="135">
        <v>0.33333333333333331</v>
      </c>
      <c r="D779" s="135">
        <v>0.58333333333333337</v>
      </c>
      <c r="E779" s="53">
        <f t="shared" si="120"/>
        <v>5.5000000000000018</v>
      </c>
      <c r="F779" s="51">
        <v>0.5</v>
      </c>
      <c r="H779" s="53"/>
      <c r="J779" s="53">
        <f>IF(WEEKDAY(A779, 2)&lt;6, E779-2, E779)</f>
        <v>3.5000000000000018</v>
      </c>
      <c r="M779" s="51">
        <f t="shared" si="122"/>
        <v>3.5000000000000018</v>
      </c>
    </row>
    <row r="780" spans="1:13" x14ac:dyDescent="0.25">
      <c r="A780" s="133">
        <v>45644</v>
      </c>
      <c r="B780" s="51" t="s">
        <v>49</v>
      </c>
      <c r="C780" s="135">
        <v>0.70833333333333337</v>
      </c>
      <c r="D780" s="135">
        <v>0.89583333333333337</v>
      </c>
      <c r="E780" s="53">
        <f t="shared" si="120"/>
        <v>4.5</v>
      </c>
      <c r="H780" s="53">
        <f t="shared" si="121"/>
        <v>6.5</v>
      </c>
      <c r="M780" s="51">
        <f t="shared" si="122"/>
        <v>6.5</v>
      </c>
    </row>
    <row r="781" spans="1:13" x14ac:dyDescent="0.25">
      <c r="A781" s="133">
        <v>45644</v>
      </c>
      <c r="B781" s="51" t="s">
        <v>56</v>
      </c>
      <c r="C781" s="135">
        <v>0.33333333333333331</v>
      </c>
      <c r="D781" s="135">
        <v>0.58333333333333337</v>
      </c>
      <c r="E781" s="53">
        <f t="shared" si="120"/>
        <v>5.5000000000000018</v>
      </c>
      <c r="F781" s="51">
        <v>0.5</v>
      </c>
      <c r="H781" s="53"/>
      <c r="J781" s="53">
        <f t="shared" ref="J781:J784" si="123">IF(WEEKDAY(A781, 2)&lt;6, E781-2, E781)</f>
        <v>3.5000000000000018</v>
      </c>
      <c r="M781" s="51">
        <f t="shared" si="122"/>
        <v>3.5000000000000018</v>
      </c>
    </row>
    <row r="782" spans="1:13" x14ac:dyDescent="0.25">
      <c r="A782" s="133">
        <v>45645</v>
      </c>
      <c r="B782" s="51" t="s">
        <v>56</v>
      </c>
      <c r="C782" s="135">
        <v>0.79166666666666663</v>
      </c>
      <c r="D782" s="135">
        <v>0.91666666666666663</v>
      </c>
      <c r="E782" s="53">
        <f t="shared" si="120"/>
        <v>3</v>
      </c>
      <c r="H782" s="53"/>
      <c r="J782" s="53">
        <f t="shared" si="123"/>
        <v>1</v>
      </c>
      <c r="M782" s="51">
        <f t="shared" si="122"/>
        <v>1</v>
      </c>
    </row>
    <row r="783" spans="1:13" x14ac:dyDescent="0.25">
      <c r="A783" s="133">
        <v>45645</v>
      </c>
      <c r="B783" s="51" t="s">
        <v>56</v>
      </c>
      <c r="C783" s="135">
        <v>0.33333333333333331</v>
      </c>
      <c r="D783" s="135">
        <v>0.58333333333333337</v>
      </c>
      <c r="E783" s="53">
        <f t="shared" si="120"/>
        <v>5.5000000000000018</v>
      </c>
      <c r="F783" s="51">
        <v>0.5</v>
      </c>
      <c r="H783" s="53"/>
      <c r="J783" s="53">
        <f t="shared" si="123"/>
        <v>3.5000000000000018</v>
      </c>
      <c r="M783" s="51">
        <f t="shared" si="122"/>
        <v>3.5000000000000018</v>
      </c>
    </row>
    <row r="784" spans="1:13" x14ac:dyDescent="0.25">
      <c r="A784" s="133">
        <v>45646</v>
      </c>
      <c r="B784" s="51" t="s">
        <v>56</v>
      </c>
      <c r="C784" s="135">
        <v>0.33333333333333331</v>
      </c>
      <c r="D784" s="135">
        <v>0.58333333333333337</v>
      </c>
      <c r="E784" s="53">
        <f t="shared" si="120"/>
        <v>5.5000000000000018</v>
      </c>
      <c r="F784" s="51">
        <v>0.5</v>
      </c>
      <c r="H784" s="53"/>
      <c r="J784" s="53">
        <f t="shared" si="123"/>
        <v>3.5000000000000018</v>
      </c>
      <c r="M784" s="51">
        <f t="shared" si="122"/>
        <v>3.5000000000000018</v>
      </c>
    </row>
    <row r="785" spans="1:13" x14ac:dyDescent="0.25">
      <c r="A785" s="133">
        <v>45647</v>
      </c>
      <c r="B785" s="51" t="s">
        <v>58</v>
      </c>
      <c r="C785" s="135">
        <v>0.54166666666666663</v>
      </c>
      <c r="D785" s="135">
        <v>0.83333333333333337</v>
      </c>
      <c r="E785" s="53">
        <f t="shared" si="120"/>
        <v>6.5000000000000018</v>
      </c>
      <c r="F785" s="51">
        <v>0.5</v>
      </c>
      <c r="H785" s="53">
        <f t="shared" si="121"/>
        <v>6.5000000000000018</v>
      </c>
      <c r="M785" s="51">
        <f t="shared" si="122"/>
        <v>6.5000000000000018</v>
      </c>
    </row>
    <row r="786" spans="1:13" x14ac:dyDescent="0.25">
      <c r="A786" s="133">
        <v>45647</v>
      </c>
      <c r="B786" s="51" t="s">
        <v>56</v>
      </c>
      <c r="C786" s="135">
        <v>0.33333333333333331</v>
      </c>
      <c r="D786" s="135">
        <v>0.54166666666666663</v>
      </c>
      <c r="E786" s="53">
        <f t="shared" si="120"/>
        <v>5</v>
      </c>
      <c r="H786" s="53"/>
      <c r="J786" s="53">
        <f>IF(WEEKDAY(A786, 2)&lt;6, E786-2, E786)</f>
        <v>5</v>
      </c>
      <c r="M786" s="51">
        <f t="shared" si="122"/>
        <v>5</v>
      </c>
    </row>
    <row r="787" spans="1:13" x14ac:dyDescent="0.25">
      <c r="A787" s="133">
        <v>45321</v>
      </c>
      <c r="B787" s="51" t="s">
        <v>19</v>
      </c>
      <c r="C787" s="135">
        <v>0.375</v>
      </c>
      <c r="D787" s="135">
        <v>0.58333333333333337</v>
      </c>
      <c r="E787" s="53">
        <f t="shared" si="120"/>
        <v>5.0000000000000009</v>
      </c>
      <c r="F787" s="55"/>
      <c r="G787" s="146">
        <f>SUM(E787:E997)</f>
        <v>1235.5</v>
      </c>
      <c r="H787" s="53">
        <f t="shared" si="121"/>
        <v>7.0000000000000009</v>
      </c>
      <c r="M787" s="51">
        <f t="shared" si="122"/>
        <v>7.0000000000000009</v>
      </c>
    </row>
    <row r="788" spans="1:13" x14ac:dyDescent="0.25">
      <c r="A788" s="133">
        <v>45321</v>
      </c>
      <c r="B788" s="51" t="s">
        <v>19</v>
      </c>
      <c r="C788" s="135">
        <v>0.375</v>
      </c>
      <c r="D788" s="135">
        <v>0.58333333333333337</v>
      </c>
      <c r="E788" s="53">
        <f t="shared" si="120"/>
        <v>5.0000000000000009</v>
      </c>
      <c r="F788" s="55"/>
      <c r="H788" s="53">
        <f t="shared" si="121"/>
        <v>7.0000000000000009</v>
      </c>
      <c r="M788" s="51">
        <f t="shared" si="122"/>
        <v>7.0000000000000009</v>
      </c>
    </row>
    <row r="789" spans="1:13" x14ac:dyDescent="0.25">
      <c r="A789" s="133">
        <v>45322</v>
      </c>
      <c r="B789" s="51" t="s">
        <v>19</v>
      </c>
      <c r="C789" s="135">
        <v>0.375</v>
      </c>
      <c r="D789" s="135">
        <v>0.66666666666666663</v>
      </c>
      <c r="E789" s="53">
        <f t="shared" si="120"/>
        <v>6.4999999999999991</v>
      </c>
      <c r="F789" s="51">
        <v>0.5</v>
      </c>
      <c r="H789" s="53">
        <f t="shared" si="121"/>
        <v>8.5</v>
      </c>
      <c r="M789" s="51">
        <f t="shared" si="122"/>
        <v>8.5</v>
      </c>
    </row>
    <row r="790" spans="1:13" x14ac:dyDescent="0.25">
      <c r="A790" s="133">
        <v>45322</v>
      </c>
      <c r="B790" s="51" t="s">
        <v>19</v>
      </c>
      <c r="C790" s="135">
        <v>0.375</v>
      </c>
      <c r="D790" s="135">
        <v>0.66666666666666663</v>
      </c>
      <c r="E790" s="53">
        <f t="shared" si="120"/>
        <v>6.4999999999999991</v>
      </c>
      <c r="F790" s="51">
        <v>0.5</v>
      </c>
      <c r="H790" s="53">
        <f t="shared" si="121"/>
        <v>8.5</v>
      </c>
      <c r="M790" s="51">
        <f t="shared" si="122"/>
        <v>8.5</v>
      </c>
    </row>
    <row r="791" spans="1:13" x14ac:dyDescent="0.25">
      <c r="A791" s="133">
        <v>45323</v>
      </c>
      <c r="B791" s="51" t="s">
        <v>19</v>
      </c>
      <c r="C791" s="135">
        <v>0.45833333333333331</v>
      </c>
      <c r="D791" s="135">
        <v>0.625</v>
      </c>
      <c r="E791" s="53">
        <f t="shared" si="120"/>
        <v>4</v>
      </c>
      <c r="F791" s="55"/>
      <c r="H791" s="53">
        <f t="shared" si="121"/>
        <v>6</v>
      </c>
      <c r="M791" s="51">
        <f t="shared" si="122"/>
        <v>6</v>
      </c>
    </row>
    <row r="792" spans="1:13" x14ac:dyDescent="0.25">
      <c r="A792" s="133">
        <v>45323</v>
      </c>
      <c r="B792" s="51" t="s">
        <v>19</v>
      </c>
      <c r="C792" s="135">
        <v>0.45833333333333331</v>
      </c>
      <c r="D792" s="135">
        <v>0.625</v>
      </c>
      <c r="E792" s="53">
        <f t="shared" si="120"/>
        <v>4</v>
      </c>
      <c r="F792" s="55"/>
      <c r="H792" s="53">
        <f t="shared" si="121"/>
        <v>6</v>
      </c>
      <c r="M792" s="51">
        <f t="shared" si="122"/>
        <v>6</v>
      </c>
    </row>
    <row r="793" spans="1:13" x14ac:dyDescent="0.25">
      <c r="A793" s="133">
        <v>45323</v>
      </c>
      <c r="B793" s="51" t="s">
        <v>19</v>
      </c>
      <c r="C793" s="135">
        <v>0.66666666666666663</v>
      </c>
      <c r="D793" s="135">
        <v>0.89583333333333337</v>
      </c>
      <c r="E793" s="53">
        <f t="shared" si="120"/>
        <v>5.5000000000000018</v>
      </c>
      <c r="H793" s="53">
        <f t="shared" si="121"/>
        <v>7.5000000000000018</v>
      </c>
      <c r="I793" s="51">
        <v>4.5</v>
      </c>
      <c r="J793" s="51" t="s">
        <v>90</v>
      </c>
      <c r="M793" s="51">
        <f t="shared" si="122"/>
        <v>7.5000000000000018</v>
      </c>
    </row>
    <row r="794" spans="1:13" x14ac:dyDescent="0.25">
      <c r="A794" s="133">
        <v>45323</v>
      </c>
      <c r="B794" s="51" t="s">
        <v>19</v>
      </c>
      <c r="C794" s="135">
        <v>0.66666666666666663</v>
      </c>
      <c r="D794" s="135">
        <v>0.89583333333333337</v>
      </c>
      <c r="E794" s="53">
        <f t="shared" si="120"/>
        <v>5.5000000000000018</v>
      </c>
      <c r="H794" s="53">
        <f t="shared" si="121"/>
        <v>7.5000000000000018</v>
      </c>
      <c r="I794" s="51">
        <v>4.5</v>
      </c>
      <c r="J794" s="51" t="s">
        <v>90</v>
      </c>
      <c r="M794" s="51">
        <f t="shared" si="122"/>
        <v>7.5000000000000018</v>
      </c>
    </row>
    <row r="795" spans="1:13" x14ac:dyDescent="0.25">
      <c r="A795" s="133">
        <v>45324</v>
      </c>
      <c r="B795" s="51" t="s">
        <v>19</v>
      </c>
      <c r="C795" s="135">
        <v>0.375</v>
      </c>
      <c r="D795" s="135">
        <v>0.625</v>
      </c>
      <c r="E795" s="53">
        <f t="shared" si="120"/>
        <v>5.5</v>
      </c>
      <c r="F795" s="51">
        <v>0.5</v>
      </c>
      <c r="H795" s="53">
        <f t="shared" si="121"/>
        <v>7.5</v>
      </c>
      <c r="M795" s="51">
        <f t="shared" si="122"/>
        <v>7.5</v>
      </c>
    </row>
    <row r="796" spans="1:13" x14ac:dyDescent="0.25">
      <c r="A796" s="133">
        <v>45325</v>
      </c>
      <c r="B796" s="51" t="s">
        <v>19</v>
      </c>
      <c r="C796" s="135">
        <v>0.58333333333333337</v>
      </c>
      <c r="D796" s="135">
        <v>0.91666666666666663</v>
      </c>
      <c r="E796" s="53">
        <f t="shared" si="120"/>
        <v>7.4999999999999982</v>
      </c>
      <c r="F796" s="51">
        <v>0.5</v>
      </c>
      <c r="H796" s="53">
        <f t="shared" si="121"/>
        <v>7.4999999999999982</v>
      </c>
      <c r="M796" s="51">
        <f t="shared" si="122"/>
        <v>7.4999999999999982</v>
      </c>
    </row>
    <row r="797" spans="1:13" x14ac:dyDescent="0.25">
      <c r="A797" s="133">
        <v>45325</v>
      </c>
      <c r="B797" s="51" t="s">
        <v>19</v>
      </c>
      <c r="C797" s="135">
        <v>0.58333333333333337</v>
      </c>
      <c r="D797" s="135">
        <v>0.91666666666666663</v>
      </c>
      <c r="E797" s="53">
        <f t="shared" si="120"/>
        <v>7.4999999999999982</v>
      </c>
      <c r="F797" s="51">
        <v>0.5</v>
      </c>
      <c r="H797" s="53">
        <f t="shared" si="121"/>
        <v>7.4999999999999982</v>
      </c>
      <c r="M797" s="51">
        <f t="shared" si="122"/>
        <v>7.4999999999999982</v>
      </c>
    </row>
    <row r="798" spans="1:13" x14ac:dyDescent="0.25">
      <c r="A798" s="133">
        <v>45325</v>
      </c>
      <c r="B798" s="51" t="s">
        <v>19</v>
      </c>
      <c r="C798" s="135">
        <v>0.58333333333333337</v>
      </c>
      <c r="D798" s="135">
        <v>0.91666666666666663</v>
      </c>
      <c r="E798" s="53">
        <f t="shared" si="120"/>
        <v>7.4999999999999982</v>
      </c>
      <c r="F798" s="51">
        <v>0.5</v>
      </c>
      <c r="H798" s="53">
        <f t="shared" si="121"/>
        <v>7.4999999999999982</v>
      </c>
      <c r="M798" s="51">
        <f t="shared" si="122"/>
        <v>7.4999999999999982</v>
      </c>
    </row>
    <row r="799" spans="1:13" x14ac:dyDescent="0.25">
      <c r="A799" s="133">
        <v>45325</v>
      </c>
      <c r="B799" s="51" t="s">
        <v>19</v>
      </c>
      <c r="C799" s="135">
        <v>0.58333333333333337</v>
      </c>
      <c r="D799" s="135">
        <v>0.91666666666666663</v>
      </c>
      <c r="E799" s="53">
        <f t="shared" si="120"/>
        <v>7.4999999999999982</v>
      </c>
      <c r="F799" s="51">
        <v>0.5</v>
      </c>
      <c r="H799" s="53">
        <f t="shared" si="121"/>
        <v>7.4999999999999982</v>
      </c>
      <c r="M799" s="51">
        <f t="shared" si="122"/>
        <v>7.4999999999999982</v>
      </c>
    </row>
    <row r="800" spans="1:13" x14ac:dyDescent="0.25">
      <c r="A800" s="133">
        <v>45325</v>
      </c>
      <c r="B800" s="51" t="s">
        <v>19</v>
      </c>
      <c r="C800" s="135">
        <v>0.58333333333333337</v>
      </c>
      <c r="D800" s="135">
        <v>0.91666666666666663</v>
      </c>
      <c r="E800" s="53">
        <f t="shared" si="120"/>
        <v>7.4999999999999982</v>
      </c>
      <c r="F800" s="51">
        <v>0.5</v>
      </c>
      <c r="H800" s="53">
        <f t="shared" si="121"/>
        <v>7.4999999999999982</v>
      </c>
      <c r="M800" s="51">
        <f t="shared" si="122"/>
        <v>7.4999999999999982</v>
      </c>
    </row>
    <row r="801" spans="1:13" x14ac:dyDescent="0.25">
      <c r="A801" s="133">
        <v>45325</v>
      </c>
      <c r="B801" s="51" t="s">
        <v>19</v>
      </c>
      <c r="C801" s="135">
        <v>0.58333333333333337</v>
      </c>
      <c r="D801" s="135">
        <v>0.91666666666666663</v>
      </c>
      <c r="E801" s="53">
        <f t="shared" si="120"/>
        <v>7.4999999999999982</v>
      </c>
      <c r="F801" s="51">
        <v>0.5</v>
      </c>
      <c r="H801" s="53">
        <f t="shared" si="121"/>
        <v>7.4999999999999982</v>
      </c>
      <c r="M801" s="51">
        <f t="shared" si="122"/>
        <v>7.4999999999999982</v>
      </c>
    </row>
    <row r="802" spans="1:13" x14ac:dyDescent="0.25">
      <c r="A802" s="133">
        <v>45326</v>
      </c>
      <c r="B802" s="51" t="s">
        <v>19</v>
      </c>
      <c r="C802" s="135">
        <v>0.41666666666666669</v>
      </c>
      <c r="D802" s="135">
        <v>0.66666666666666663</v>
      </c>
      <c r="E802" s="53">
        <f t="shared" si="120"/>
        <v>5.4999999999999982</v>
      </c>
      <c r="F802" s="51">
        <v>0.5</v>
      </c>
      <c r="H802" s="53">
        <f t="shared" si="121"/>
        <v>5.4999999999999982</v>
      </c>
      <c r="M802" s="51">
        <f t="shared" si="122"/>
        <v>5.4999999999999982</v>
      </c>
    </row>
    <row r="803" spans="1:13" x14ac:dyDescent="0.25">
      <c r="A803" s="133">
        <v>45326</v>
      </c>
      <c r="B803" s="51" t="s">
        <v>19</v>
      </c>
      <c r="C803" s="135">
        <v>0.41666666666666669</v>
      </c>
      <c r="D803" s="135">
        <v>0.66666666666666663</v>
      </c>
      <c r="E803" s="53">
        <f t="shared" si="120"/>
        <v>5.4999999999999982</v>
      </c>
      <c r="F803" s="51">
        <v>0.5</v>
      </c>
      <c r="H803" s="53">
        <f t="shared" si="121"/>
        <v>5.4999999999999982</v>
      </c>
      <c r="M803" s="51">
        <f t="shared" si="122"/>
        <v>5.4999999999999982</v>
      </c>
    </row>
    <row r="804" spans="1:13" x14ac:dyDescent="0.25">
      <c r="A804" s="133">
        <v>45341</v>
      </c>
      <c r="B804" s="51" t="s">
        <v>19</v>
      </c>
      <c r="C804" s="135">
        <v>0.33333333333333331</v>
      </c>
      <c r="D804" s="135">
        <v>0.70833333333333337</v>
      </c>
      <c r="E804" s="53">
        <f t="shared" si="120"/>
        <v>8.0000000000000018</v>
      </c>
      <c r="F804" s="51">
        <v>1</v>
      </c>
      <c r="H804" s="53">
        <f t="shared" si="121"/>
        <v>10.000000000000002</v>
      </c>
      <c r="M804" s="51">
        <f t="shared" si="122"/>
        <v>10.000000000000002</v>
      </c>
    </row>
    <row r="805" spans="1:13" x14ac:dyDescent="0.25">
      <c r="A805" s="133">
        <v>45354</v>
      </c>
      <c r="B805" s="51" t="s">
        <v>19</v>
      </c>
      <c r="C805" s="135">
        <v>0.41666666666666669</v>
      </c>
      <c r="D805" s="135">
        <v>0.66666666666666663</v>
      </c>
      <c r="E805" s="53">
        <f t="shared" si="120"/>
        <v>5.4999999999999982</v>
      </c>
      <c r="F805" s="51">
        <v>0.5</v>
      </c>
      <c r="H805" s="53">
        <f t="shared" si="121"/>
        <v>5.4999999999999982</v>
      </c>
      <c r="M805" s="51">
        <f t="shared" si="122"/>
        <v>5.4999999999999982</v>
      </c>
    </row>
    <row r="806" spans="1:13" x14ac:dyDescent="0.25">
      <c r="A806" s="133">
        <v>45354</v>
      </c>
      <c r="B806" s="51" t="s">
        <v>19</v>
      </c>
      <c r="C806" s="135">
        <v>0.41666666666666669</v>
      </c>
      <c r="D806" s="135">
        <v>0.66666666666666663</v>
      </c>
      <c r="E806" s="53">
        <f t="shared" si="120"/>
        <v>5.4999999999999982</v>
      </c>
      <c r="F806" s="51">
        <v>0.5</v>
      </c>
      <c r="H806" s="53">
        <f t="shared" si="121"/>
        <v>5.4999999999999982</v>
      </c>
      <c r="M806" s="51">
        <f t="shared" si="122"/>
        <v>5.4999999999999982</v>
      </c>
    </row>
    <row r="807" spans="1:13" x14ac:dyDescent="0.25">
      <c r="A807" s="133">
        <v>45354</v>
      </c>
      <c r="B807" s="51" t="s">
        <v>19</v>
      </c>
      <c r="C807" s="135">
        <v>0.41666666666666669</v>
      </c>
      <c r="D807" s="135">
        <v>0.54166666666666663</v>
      </c>
      <c r="E807" s="53">
        <f t="shared" si="120"/>
        <v>2.9999999999999987</v>
      </c>
      <c r="H807" s="53">
        <f t="shared" si="121"/>
        <v>2.9999999999999987</v>
      </c>
      <c r="M807" s="51">
        <f t="shared" si="122"/>
        <v>2.9999999999999987</v>
      </c>
    </row>
    <row r="808" spans="1:13" x14ac:dyDescent="0.25">
      <c r="A808" s="133">
        <v>45362</v>
      </c>
      <c r="B808" s="51" t="s">
        <v>19</v>
      </c>
      <c r="C808" s="135">
        <v>0.41666666666666669</v>
      </c>
      <c r="D808" s="135">
        <v>0.625</v>
      </c>
      <c r="E808" s="53">
        <f t="shared" si="120"/>
        <v>5</v>
      </c>
      <c r="H808" s="53">
        <f t="shared" si="121"/>
        <v>7</v>
      </c>
      <c r="M808" s="51">
        <f t="shared" si="122"/>
        <v>7</v>
      </c>
    </row>
    <row r="809" spans="1:13" x14ac:dyDescent="0.25">
      <c r="A809" s="133">
        <v>45362</v>
      </c>
      <c r="B809" s="51" t="s">
        <v>19</v>
      </c>
      <c r="C809" s="135">
        <v>0.41666666666666669</v>
      </c>
      <c r="D809" s="135">
        <v>0.625</v>
      </c>
      <c r="E809" s="53">
        <f t="shared" si="120"/>
        <v>5</v>
      </c>
      <c r="H809" s="53">
        <f t="shared" si="121"/>
        <v>7</v>
      </c>
      <c r="M809" s="51">
        <f t="shared" si="122"/>
        <v>7</v>
      </c>
    </row>
    <row r="810" spans="1:13" x14ac:dyDescent="0.25">
      <c r="A810" s="133">
        <v>45363</v>
      </c>
      <c r="B810" s="51" t="s">
        <v>19</v>
      </c>
      <c r="C810" s="135">
        <v>0.41666666666666669</v>
      </c>
      <c r="D810" s="135">
        <v>0.625</v>
      </c>
      <c r="E810" s="53">
        <f t="shared" si="120"/>
        <v>5</v>
      </c>
      <c r="H810" s="53">
        <f t="shared" si="121"/>
        <v>7</v>
      </c>
      <c r="M810" s="51">
        <f t="shared" si="122"/>
        <v>7</v>
      </c>
    </row>
    <row r="811" spans="1:13" x14ac:dyDescent="0.25">
      <c r="A811" s="133">
        <v>45363</v>
      </c>
      <c r="B811" s="51" t="s">
        <v>19</v>
      </c>
      <c r="C811" s="135">
        <v>0.41666666666666669</v>
      </c>
      <c r="D811" s="135">
        <v>0.625</v>
      </c>
      <c r="E811" s="53">
        <f t="shared" si="120"/>
        <v>5</v>
      </c>
      <c r="H811" s="53">
        <f t="shared" si="121"/>
        <v>7</v>
      </c>
      <c r="M811" s="51">
        <f t="shared" si="122"/>
        <v>7</v>
      </c>
    </row>
    <row r="812" spans="1:13" x14ac:dyDescent="0.25">
      <c r="A812" s="133">
        <v>45367</v>
      </c>
      <c r="B812" s="51" t="s">
        <v>19</v>
      </c>
      <c r="C812" s="135">
        <v>0.29166666666666669</v>
      </c>
      <c r="D812" s="135">
        <v>0.66666666666666663</v>
      </c>
      <c r="E812" s="53">
        <f t="shared" si="120"/>
        <v>7.9999999999999982</v>
      </c>
      <c r="F812" s="51">
        <v>1</v>
      </c>
      <c r="H812" s="53">
        <f t="shared" si="121"/>
        <v>7.9999999999999982</v>
      </c>
      <c r="M812" s="51">
        <f t="shared" si="122"/>
        <v>7.9999999999999982</v>
      </c>
    </row>
    <row r="813" spans="1:13" x14ac:dyDescent="0.25">
      <c r="A813" s="133">
        <v>45367</v>
      </c>
      <c r="B813" s="51" t="s">
        <v>19</v>
      </c>
      <c r="C813" s="135">
        <v>0.29166666666666669</v>
      </c>
      <c r="D813" s="135">
        <v>0.5</v>
      </c>
      <c r="E813" s="53">
        <f t="shared" si="120"/>
        <v>5</v>
      </c>
      <c r="H813" s="53">
        <f t="shared" si="121"/>
        <v>5</v>
      </c>
      <c r="M813" s="51">
        <f t="shared" si="122"/>
        <v>5</v>
      </c>
    </row>
    <row r="814" spans="1:13" x14ac:dyDescent="0.25">
      <c r="A814" s="133">
        <v>45367</v>
      </c>
      <c r="B814" s="51" t="s">
        <v>19</v>
      </c>
      <c r="C814" s="135">
        <v>0.29166666666666669</v>
      </c>
      <c r="D814" s="135">
        <v>0.5</v>
      </c>
      <c r="E814" s="53">
        <f t="shared" si="120"/>
        <v>5</v>
      </c>
      <c r="H814" s="53">
        <f t="shared" si="121"/>
        <v>5</v>
      </c>
      <c r="M814" s="51">
        <f t="shared" si="122"/>
        <v>5</v>
      </c>
    </row>
    <row r="815" spans="1:13" x14ac:dyDescent="0.25">
      <c r="A815" s="133">
        <v>45367</v>
      </c>
      <c r="B815" s="51" t="s">
        <v>19</v>
      </c>
      <c r="C815" s="135">
        <v>0.29166666666666669</v>
      </c>
      <c r="D815" s="135">
        <v>0.41666666666666669</v>
      </c>
      <c r="E815" s="53">
        <f t="shared" si="120"/>
        <v>3</v>
      </c>
      <c r="H815" s="53">
        <f t="shared" si="121"/>
        <v>3</v>
      </c>
      <c r="M815" s="51">
        <f t="shared" si="122"/>
        <v>3</v>
      </c>
    </row>
    <row r="816" spans="1:13" x14ac:dyDescent="0.25">
      <c r="A816" s="133">
        <v>45367</v>
      </c>
      <c r="B816" s="51" t="s">
        <v>19</v>
      </c>
      <c r="C816" s="135">
        <v>0.5</v>
      </c>
      <c r="D816" s="135">
        <v>0.66666666666666663</v>
      </c>
      <c r="E816" s="53">
        <f t="shared" si="120"/>
        <v>3.9999999999999991</v>
      </c>
      <c r="H816" s="53">
        <f t="shared" si="121"/>
        <v>3.9999999999999991</v>
      </c>
      <c r="M816" s="51">
        <f t="shared" si="122"/>
        <v>3.9999999999999991</v>
      </c>
    </row>
    <row r="817" spans="1:13" x14ac:dyDescent="0.25">
      <c r="A817" s="133">
        <v>45367</v>
      </c>
      <c r="B817" s="51" t="s">
        <v>19</v>
      </c>
      <c r="C817" s="135">
        <v>0.5</v>
      </c>
      <c r="D817" s="135">
        <v>0.66666666666666663</v>
      </c>
      <c r="E817" s="53">
        <f t="shared" si="120"/>
        <v>3.9999999999999991</v>
      </c>
      <c r="H817" s="53">
        <f t="shared" si="121"/>
        <v>3.9999999999999991</v>
      </c>
      <c r="M817" s="51">
        <f t="shared" si="122"/>
        <v>3.9999999999999991</v>
      </c>
    </row>
    <row r="818" spans="1:13" x14ac:dyDescent="0.25">
      <c r="A818" s="133">
        <v>45374</v>
      </c>
      <c r="B818" s="51" t="s">
        <v>19</v>
      </c>
      <c r="C818" s="135">
        <v>0.33333333333333331</v>
      </c>
      <c r="D818" s="135">
        <v>0.625</v>
      </c>
      <c r="E818" s="53">
        <f t="shared" si="120"/>
        <v>6.5</v>
      </c>
      <c r="F818" s="51">
        <v>0.5</v>
      </c>
      <c r="H818" s="53">
        <f t="shared" si="121"/>
        <v>6.5</v>
      </c>
      <c r="M818" s="51">
        <f t="shared" si="122"/>
        <v>6.5</v>
      </c>
    </row>
    <row r="819" spans="1:13" x14ac:dyDescent="0.25">
      <c r="A819" s="133">
        <v>45374</v>
      </c>
      <c r="B819" s="51" t="s">
        <v>19</v>
      </c>
      <c r="C819" s="135">
        <v>0.33333333333333331</v>
      </c>
      <c r="D819" s="135">
        <v>0.625</v>
      </c>
      <c r="E819" s="53">
        <f t="shared" si="120"/>
        <v>6.5</v>
      </c>
      <c r="F819" s="51">
        <v>0.5</v>
      </c>
      <c r="H819" s="53">
        <f t="shared" si="121"/>
        <v>6.5</v>
      </c>
      <c r="M819" s="51">
        <f t="shared" si="122"/>
        <v>6.5</v>
      </c>
    </row>
    <row r="820" spans="1:13" x14ac:dyDescent="0.25">
      <c r="A820" s="133">
        <v>45374</v>
      </c>
      <c r="B820" s="51" t="s">
        <v>19</v>
      </c>
      <c r="C820" s="135">
        <v>0.33333333333333331</v>
      </c>
      <c r="D820" s="135">
        <v>0.625</v>
      </c>
      <c r="E820" s="53">
        <f t="shared" si="120"/>
        <v>6.5</v>
      </c>
      <c r="F820" s="51">
        <v>0.5</v>
      </c>
      <c r="H820" s="53">
        <f t="shared" si="121"/>
        <v>6.5</v>
      </c>
      <c r="M820" s="51">
        <f t="shared" si="122"/>
        <v>6.5</v>
      </c>
    </row>
    <row r="821" spans="1:13" x14ac:dyDescent="0.25">
      <c r="A821" s="133">
        <v>45374</v>
      </c>
      <c r="B821" s="51" t="s">
        <v>19</v>
      </c>
      <c r="C821" s="135">
        <v>0.33333333333333331</v>
      </c>
      <c r="D821" s="135">
        <v>0.625</v>
      </c>
      <c r="E821" s="53">
        <f t="shared" si="120"/>
        <v>6.5</v>
      </c>
      <c r="F821" s="51">
        <v>0.5</v>
      </c>
      <c r="H821" s="53">
        <f t="shared" si="121"/>
        <v>6.5</v>
      </c>
      <c r="M821" s="51">
        <f t="shared" si="122"/>
        <v>6.5</v>
      </c>
    </row>
    <row r="822" spans="1:13" x14ac:dyDescent="0.25">
      <c r="A822" s="133">
        <v>45396</v>
      </c>
      <c r="B822" s="51" t="s">
        <v>19</v>
      </c>
      <c r="C822" s="135">
        <v>0.45833333333333331</v>
      </c>
      <c r="D822" s="135">
        <v>0.72916666666666663</v>
      </c>
      <c r="E822" s="53">
        <f t="shared" si="120"/>
        <v>6</v>
      </c>
      <c r="F822" s="51">
        <v>0.5</v>
      </c>
      <c r="H822" s="53">
        <f t="shared" si="121"/>
        <v>6</v>
      </c>
      <c r="M822" s="51">
        <f t="shared" si="122"/>
        <v>6</v>
      </c>
    </row>
    <row r="823" spans="1:13" x14ac:dyDescent="0.25">
      <c r="A823" s="133">
        <v>45402</v>
      </c>
      <c r="B823" s="51" t="s">
        <v>19</v>
      </c>
      <c r="C823" s="135">
        <v>0.27083333333333331</v>
      </c>
      <c r="D823" s="135">
        <v>0.58333333333333337</v>
      </c>
      <c r="E823" s="53">
        <f t="shared" si="120"/>
        <v>7.0000000000000018</v>
      </c>
      <c r="F823" s="51">
        <v>0.5</v>
      </c>
      <c r="H823" s="53">
        <f t="shared" si="121"/>
        <v>7.0000000000000018</v>
      </c>
      <c r="M823" s="51">
        <f t="shared" si="122"/>
        <v>7.0000000000000018</v>
      </c>
    </row>
    <row r="824" spans="1:13" x14ac:dyDescent="0.25">
      <c r="A824" s="133">
        <v>45402</v>
      </c>
      <c r="B824" s="51" t="s">
        <v>19</v>
      </c>
      <c r="C824" s="135">
        <v>0.29166666666666669</v>
      </c>
      <c r="D824" s="135">
        <v>0.58333333333333337</v>
      </c>
      <c r="E824" s="53">
        <f t="shared" si="120"/>
        <v>6.5</v>
      </c>
      <c r="F824" s="51">
        <v>0.5</v>
      </c>
      <c r="H824" s="53">
        <f t="shared" si="121"/>
        <v>6.5</v>
      </c>
      <c r="M824" s="51">
        <f t="shared" si="122"/>
        <v>6.5</v>
      </c>
    </row>
    <row r="825" spans="1:13" x14ac:dyDescent="0.25">
      <c r="A825" s="133">
        <v>45407</v>
      </c>
      <c r="B825" s="51" t="s">
        <v>19</v>
      </c>
      <c r="C825" s="135">
        <v>0.66666666666666663</v>
      </c>
      <c r="D825" s="135">
        <v>0.89583333333333337</v>
      </c>
      <c r="E825" s="53">
        <f t="shared" si="120"/>
        <v>5.5000000000000018</v>
      </c>
      <c r="H825" s="53">
        <f t="shared" si="121"/>
        <v>7.5000000000000018</v>
      </c>
      <c r="M825" s="51">
        <f t="shared" si="122"/>
        <v>7.5000000000000018</v>
      </c>
    </row>
    <row r="826" spans="1:13" x14ac:dyDescent="0.25">
      <c r="A826" s="133">
        <v>45428</v>
      </c>
      <c r="B826" s="51" t="s">
        <v>19</v>
      </c>
      <c r="C826" s="135">
        <v>0.375</v>
      </c>
      <c r="D826" s="135">
        <v>0.54166666666666663</v>
      </c>
      <c r="E826" s="53">
        <f t="shared" si="120"/>
        <v>3.9999999999999991</v>
      </c>
      <c r="H826" s="53">
        <f t="shared" si="121"/>
        <v>5.9999999999999991</v>
      </c>
      <c r="M826" s="51">
        <f t="shared" si="122"/>
        <v>5.9999999999999991</v>
      </c>
    </row>
    <row r="827" spans="1:13" x14ac:dyDescent="0.25">
      <c r="A827" s="133">
        <v>45428</v>
      </c>
      <c r="B827" s="51" t="s">
        <v>19</v>
      </c>
      <c r="C827" s="135">
        <v>0.375</v>
      </c>
      <c r="D827" s="135">
        <v>0.54166666666666663</v>
      </c>
      <c r="E827" s="53">
        <f t="shared" si="120"/>
        <v>3.9999999999999991</v>
      </c>
      <c r="H827" s="53">
        <f t="shared" si="121"/>
        <v>5.9999999999999991</v>
      </c>
      <c r="M827" s="51">
        <f t="shared" si="122"/>
        <v>5.9999999999999991</v>
      </c>
    </row>
    <row r="828" spans="1:13" x14ac:dyDescent="0.25">
      <c r="A828" s="133">
        <v>45428</v>
      </c>
      <c r="B828" s="51" t="s">
        <v>19</v>
      </c>
      <c r="C828" s="135">
        <v>0.25</v>
      </c>
      <c r="D828" s="135">
        <v>0.41666666666666669</v>
      </c>
      <c r="E828" s="53">
        <f t="shared" si="120"/>
        <v>4</v>
      </c>
      <c r="H828" s="53">
        <f t="shared" si="121"/>
        <v>6</v>
      </c>
      <c r="M828" s="51">
        <f t="shared" si="122"/>
        <v>6</v>
      </c>
    </row>
    <row r="829" spans="1:13" x14ac:dyDescent="0.25">
      <c r="A829" s="133">
        <v>45434</v>
      </c>
      <c r="B829" s="51" t="s">
        <v>19</v>
      </c>
      <c r="C829" s="135">
        <v>0.41666666666666669</v>
      </c>
      <c r="D829" s="135">
        <v>0.58333333333333337</v>
      </c>
      <c r="E829" s="53">
        <f t="shared" si="120"/>
        <v>4</v>
      </c>
      <c r="H829" s="53">
        <f t="shared" si="121"/>
        <v>6</v>
      </c>
      <c r="M829" s="51">
        <f t="shared" si="122"/>
        <v>6</v>
      </c>
    </row>
    <row r="830" spans="1:13" x14ac:dyDescent="0.25">
      <c r="A830" s="133">
        <v>45434</v>
      </c>
      <c r="B830" s="51" t="s">
        <v>19</v>
      </c>
      <c r="C830" s="135">
        <v>0.41666666666666669</v>
      </c>
      <c r="D830" s="135">
        <v>0.58333333333333337</v>
      </c>
      <c r="E830" s="53">
        <f t="shared" si="120"/>
        <v>4</v>
      </c>
      <c r="H830" s="53">
        <f t="shared" si="121"/>
        <v>6</v>
      </c>
      <c r="M830" s="51">
        <f t="shared" si="122"/>
        <v>6</v>
      </c>
    </row>
    <row r="831" spans="1:13" x14ac:dyDescent="0.25">
      <c r="A831" s="133">
        <v>45434</v>
      </c>
      <c r="B831" s="51" t="s">
        <v>19</v>
      </c>
      <c r="C831" s="135">
        <v>0.41666666666666669</v>
      </c>
      <c r="D831" s="135">
        <v>0.58333333333333337</v>
      </c>
      <c r="E831" s="53">
        <f t="shared" si="120"/>
        <v>4</v>
      </c>
      <c r="H831" s="53">
        <f t="shared" si="121"/>
        <v>6</v>
      </c>
      <c r="M831" s="51">
        <f t="shared" si="122"/>
        <v>6</v>
      </c>
    </row>
    <row r="832" spans="1:13" x14ac:dyDescent="0.25">
      <c r="A832" s="133">
        <v>45435</v>
      </c>
      <c r="B832" s="51" t="s">
        <v>19</v>
      </c>
      <c r="C832" s="135">
        <v>0.5</v>
      </c>
      <c r="D832" s="135">
        <v>0.70833333333333337</v>
      </c>
      <c r="E832" s="53">
        <f t="shared" si="120"/>
        <v>5.0000000000000009</v>
      </c>
      <c r="H832" s="53">
        <f t="shared" si="121"/>
        <v>7.0000000000000009</v>
      </c>
      <c r="M832" s="51">
        <f t="shared" si="122"/>
        <v>7.0000000000000009</v>
      </c>
    </row>
    <row r="833" spans="1:13" x14ac:dyDescent="0.25">
      <c r="A833" s="133">
        <v>45435</v>
      </c>
      <c r="B833" s="51" t="s">
        <v>19</v>
      </c>
      <c r="C833" s="135">
        <v>0.70833333333333337</v>
      </c>
      <c r="D833" s="135">
        <v>0.91666666666666663</v>
      </c>
      <c r="E833" s="53">
        <f t="shared" si="120"/>
        <v>4.9999999999999982</v>
      </c>
      <c r="H833" s="53">
        <f t="shared" si="121"/>
        <v>6.9999999999999982</v>
      </c>
      <c r="M833" s="51">
        <f t="shared" si="122"/>
        <v>6.9999999999999982</v>
      </c>
    </row>
    <row r="834" spans="1:13" x14ac:dyDescent="0.25">
      <c r="A834" s="133">
        <v>45435</v>
      </c>
      <c r="B834" s="51" t="s">
        <v>19</v>
      </c>
      <c r="C834" s="135">
        <v>0.79166666666666663</v>
      </c>
      <c r="D834" s="135">
        <v>0.91666666666666663</v>
      </c>
      <c r="E834" s="53">
        <f t="shared" si="120"/>
        <v>3</v>
      </c>
      <c r="H834" s="53">
        <f t="shared" si="121"/>
        <v>5</v>
      </c>
      <c r="M834" s="51">
        <f t="shared" si="122"/>
        <v>5</v>
      </c>
    </row>
    <row r="835" spans="1:13" x14ac:dyDescent="0.25">
      <c r="A835" s="133">
        <v>45435</v>
      </c>
      <c r="B835" s="51" t="s">
        <v>19</v>
      </c>
      <c r="C835" s="135">
        <v>0.5</v>
      </c>
      <c r="D835" s="135">
        <v>0.625</v>
      </c>
      <c r="E835" s="53">
        <f t="shared" ref="E835:E898" si="124">MOD((D835-C835),1) *24 - F835</f>
        <v>3</v>
      </c>
      <c r="H835" s="53">
        <f t="shared" ref="H835:H898" si="125">IF(WEEKDAY(A835, 2)&lt;6, E835+2, E835)</f>
        <v>5</v>
      </c>
      <c r="M835" s="51">
        <f t="shared" ref="M835:M898" si="126">IF(H835&lt;&gt;"",H835,J835)</f>
        <v>5</v>
      </c>
    </row>
    <row r="836" spans="1:13" x14ac:dyDescent="0.25">
      <c r="A836" s="133">
        <v>45436</v>
      </c>
      <c r="B836" s="51" t="s">
        <v>19</v>
      </c>
      <c r="C836" s="135">
        <v>0.375</v>
      </c>
      <c r="D836" s="135">
        <v>0.5625</v>
      </c>
      <c r="E836" s="53">
        <f t="shared" si="124"/>
        <v>4.5</v>
      </c>
      <c r="H836" s="53">
        <f t="shared" si="125"/>
        <v>6.5</v>
      </c>
      <c r="M836" s="51">
        <f t="shared" si="126"/>
        <v>6.5</v>
      </c>
    </row>
    <row r="837" spans="1:13" x14ac:dyDescent="0.25">
      <c r="A837" s="133">
        <v>45436</v>
      </c>
      <c r="B837" s="51" t="s">
        <v>19</v>
      </c>
      <c r="C837" s="135">
        <v>0.375</v>
      </c>
      <c r="D837" s="135">
        <v>0.54166666666666663</v>
      </c>
      <c r="E837" s="53">
        <f t="shared" si="124"/>
        <v>3.9999999999999991</v>
      </c>
      <c r="H837" s="53">
        <f t="shared" si="125"/>
        <v>5.9999999999999991</v>
      </c>
      <c r="M837" s="51">
        <f t="shared" si="126"/>
        <v>5.9999999999999991</v>
      </c>
    </row>
    <row r="838" spans="1:13" x14ac:dyDescent="0.25">
      <c r="A838" s="133">
        <v>45436</v>
      </c>
      <c r="B838" s="51" t="s">
        <v>19</v>
      </c>
      <c r="C838" s="135">
        <v>0.5</v>
      </c>
      <c r="D838" s="135">
        <v>0.625</v>
      </c>
      <c r="E838" s="53">
        <f t="shared" si="124"/>
        <v>3</v>
      </c>
      <c r="H838" s="53">
        <f t="shared" si="125"/>
        <v>5</v>
      </c>
      <c r="M838" s="51">
        <f t="shared" si="126"/>
        <v>5</v>
      </c>
    </row>
    <row r="839" spans="1:13" x14ac:dyDescent="0.25">
      <c r="A839" s="133">
        <v>45437</v>
      </c>
      <c r="B839" s="51" t="s">
        <v>19</v>
      </c>
      <c r="C839" s="135">
        <v>0.375</v>
      </c>
      <c r="D839" s="135">
        <v>0.58333333333333337</v>
      </c>
      <c r="E839" s="53">
        <f t="shared" si="124"/>
        <v>5.0000000000000009</v>
      </c>
      <c r="H839" s="53">
        <f t="shared" si="125"/>
        <v>5.0000000000000009</v>
      </c>
      <c r="M839" s="51">
        <f t="shared" si="126"/>
        <v>5.0000000000000009</v>
      </c>
    </row>
    <row r="840" spans="1:13" x14ac:dyDescent="0.25">
      <c r="A840" s="133">
        <v>45437</v>
      </c>
      <c r="B840" s="51" t="s">
        <v>19</v>
      </c>
      <c r="C840" s="135">
        <v>0.375</v>
      </c>
      <c r="D840" s="135">
        <v>0.58333333333333337</v>
      </c>
      <c r="E840" s="53">
        <f t="shared" si="124"/>
        <v>5.0000000000000009</v>
      </c>
      <c r="H840" s="53">
        <f t="shared" si="125"/>
        <v>5.0000000000000009</v>
      </c>
      <c r="M840" s="51">
        <f t="shared" si="126"/>
        <v>5.0000000000000009</v>
      </c>
    </row>
    <row r="841" spans="1:13" x14ac:dyDescent="0.25">
      <c r="A841" s="133">
        <v>45437</v>
      </c>
      <c r="B841" s="51" t="s">
        <v>19</v>
      </c>
      <c r="C841" s="135">
        <v>0.375</v>
      </c>
      <c r="D841" s="135">
        <v>0.58333333333333337</v>
      </c>
      <c r="E841" s="53">
        <f t="shared" si="124"/>
        <v>5.0000000000000009</v>
      </c>
      <c r="H841" s="53">
        <f t="shared" si="125"/>
        <v>5.0000000000000009</v>
      </c>
      <c r="M841" s="51">
        <f t="shared" si="126"/>
        <v>5.0000000000000009</v>
      </c>
    </row>
    <row r="842" spans="1:13" x14ac:dyDescent="0.25">
      <c r="A842" s="133">
        <v>45439</v>
      </c>
      <c r="B842" s="51" t="s">
        <v>19</v>
      </c>
      <c r="C842" s="135">
        <v>0.27083333333333331</v>
      </c>
      <c r="D842" s="135">
        <v>0.45833333333333331</v>
      </c>
      <c r="E842" s="53">
        <f t="shared" si="124"/>
        <v>4.5</v>
      </c>
      <c r="H842" s="53">
        <f t="shared" si="125"/>
        <v>6.5</v>
      </c>
      <c r="M842" s="51">
        <f t="shared" si="126"/>
        <v>6.5</v>
      </c>
    </row>
    <row r="843" spans="1:13" x14ac:dyDescent="0.25">
      <c r="A843" s="133">
        <v>45439</v>
      </c>
      <c r="B843" s="51" t="s">
        <v>19</v>
      </c>
      <c r="C843" s="135">
        <v>0.27083333333333331</v>
      </c>
      <c r="D843" s="135">
        <v>0.45833333333333331</v>
      </c>
      <c r="E843" s="53">
        <f t="shared" si="124"/>
        <v>4.5</v>
      </c>
      <c r="H843" s="53">
        <f t="shared" si="125"/>
        <v>6.5</v>
      </c>
      <c r="M843" s="51">
        <f t="shared" si="126"/>
        <v>6.5</v>
      </c>
    </row>
    <row r="844" spans="1:13" x14ac:dyDescent="0.25">
      <c r="A844" s="133">
        <v>45439</v>
      </c>
      <c r="B844" s="51" t="s">
        <v>19</v>
      </c>
      <c r="C844" s="135">
        <v>0.41666666666666669</v>
      </c>
      <c r="D844" s="135">
        <v>0.625</v>
      </c>
      <c r="E844" s="53">
        <f t="shared" si="124"/>
        <v>5</v>
      </c>
      <c r="H844" s="53">
        <f t="shared" si="125"/>
        <v>7</v>
      </c>
      <c r="M844" s="51">
        <f t="shared" si="126"/>
        <v>7</v>
      </c>
    </row>
    <row r="845" spans="1:13" x14ac:dyDescent="0.25">
      <c r="A845" s="133">
        <v>45439</v>
      </c>
      <c r="B845" s="51" t="s">
        <v>19</v>
      </c>
      <c r="C845" s="135">
        <v>0.41666666666666669</v>
      </c>
      <c r="D845" s="135">
        <v>0.625</v>
      </c>
      <c r="E845" s="53">
        <f t="shared" si="124"/>
        <v>5</v>
      </c>
      <c r="H845" s="53">
        <f t="shared" si="125"/>
        <v>7</v>
      </c>
      <c r="M845" s="51">
        <f t="shared" si="126"/>
        <v>7</v>
      </c>
    </row>
    <row r="846" spans="1:13" x14ac:dyDescent="0.25">
      <c r="A846" s="133">
        <v>45450</v>
      </c>
      <c r="B846" s="51" t="s">
        <v>19</v>
      </c>
      <c r="C846" s="135">
        <v>0.625</v>
      </c>
      <c r="D846" s="135">
        <v>0.83333333333333337</v>
      </c>
      <c r="E846" s="53">
        <f t="shared" si="124"/>
        <v>5.0000000000000009</v>
      </c>
      <c r="H846" s="53">
        <f t="shared" si="125"/>
        <v>7.0000000000000009</v>
      </c>
      <c r="M846" s="51">
        <f t="shared" si="126"/>
        <v>7.0000000000000009</v>
      </c>
    </row>
    <row r="847" spans="1:13" x14ac:dyDescent="0.25">
      <c r="A847" s="133">
        <v>45450</v>
      </c>
      <c r="B847" s="51" t="s">
        <v>19</v>
      </c>
      <c r="C847" s="135">
        <v>0.625</v>
      </c>
      <c r="D847" s="135">
        <v>0.83333333333333337</v>
      </c>
      <c r="E847" s="53">
        <f t="shared" si="124"/>
        <v>5.0000000000000009</v>
      </c>
      <c r="H847" s="53">
        <f t="shared" si="125"/>
        <v>7.0000000000000009</v>
      </c>
      <c r="M847" s="51">
        <f t="shared" si="126"/>
        <v>7.0000000000000009</v>
      </c>
    </row>
    <row r="848" spans="1:13" x14ac:dyDescent="0.25">
      <c r="A848" s="133">
        <v>45450</v>
      </c>
      <c r="B848" s="51" t="s">
        <v>19</v>
      </c>
      <c r="C848" s="135">
        <v>0.625</v>
      </c>
      <c r="D848" s="135">
        <v>0.83333333333333337</v>
      </c>
      <c r="E848" s="53">
        <f t="shared" si="124"/>
        <v>5.0000000000000009</v>
      </c>
      <c r="H848" s="53">
        <f t="shared" si="125"/>
        <v>7.0000000000000009</v>
      </c>
      <c r="M848" s="51">
        <f t="shared" si="126"/>
        <v>7.0000000000000009</v>
      </c>
    </row>
    <row r="849" spans="1:13" x14ac:dyDescent="0.25">
      <c r="A849" s="133">
        <v>45451</v>
      </c>
      <c r="B849" s="51" t="s">
        <v>19</v>
      </c>
      <c r="C849" s="135">
        <v>0.5</v>
      </c>
      <c r="D849" s="135">
        <v>0.66666666666666663</v>
      </c>
      <c r="E849" s="53">
        <f t="shared" si="124"/>
        <v>3.9999999999999991</v>
      </c>
      <c r="H849" s="53">
        <f t="shared" si="125"/>
        <v>3.9999999999999991</v>
      </c>
      <c r="M849" s="51">
        <f t="shared" si="126"/>
        <v>3.9999999999999991</v>
      </c>
    </row>
    <row r="850" spans="1:13" x14ac:dyDescent="0.25">
      <c r="A850" s="133">
        <v>45451</v>
      </c>
      <c r="B850" s="51" t="s">
        <v>19</v>
      </c>
      <c r="C850" s="135">
        <v>0.5</v>
      </c>
      <c r="D850" s="135">
        <v>0.66666666666666663</v>
      </c>
      <c r="E850" s="53">
        <f t="shared" si="124"/>
        <v>3.9999999999999991</v>
      </c>
      <c r="H850" s="53">
        <f t="shared" si="125"/>
        <v>3.9999999999999991</v>
      </c>
      <c r="M850" s="51">
        <f t="shared" si="126"/>
        <v>3.9999999999999991</v>
      </c>
    </row>
    <row r="851" spans="1:13" x14ac:dyDescent="0.25">
      <c r="A851" s="133">
        <v>45451</v>
      </c>
      <c r="B851" s="51" t="s">
        <v>19</v>
      </c>
      <c r="C851" s="135">
        <v>0.66666666666666663</v>
      </c>
      <c r="D851" s="135">
        <v>0.95833333333333337</v>
      </c>
      <c r="E851" s="53">
        <f t="shared" si="124"/>
        <v>6.5000000000000018</v>
      </c>
      <c r="F851" s="51">
        <v>0.5</v>
      </c>
      <c r="H851" s="53">
        <f t="shared" si="125"/>
        <v>6.5000000000000018</v>
      </c>
      <c r="M851" s="51">
        <f t="shared" si="126"/>
        <v>6.5000000000000018</v>
      </c>
    </row>
    <row r="852" spans="1:13" x14ac:dyDescent="0.25">
      <c r="A852" s="133">
        <v>45451</v>
      </c>
      <c r="B852" s="51" t="s">
        <v>19</v>
      </c>
      <c r="C852" s="134">
        <v>0.66666666666666663</v>
      </c>
      <c r="D852" s="135">
        <v>0.95833333333333337</v>
      </c>
      <c r="E852" s="53">
        <f t="shared" si="124"/>
        <v>6.5000000000000018</v>
      </c>
      <c r="F852" s="51">
        <v>0.5</v>
      </c>
      <c r="H852" s="53">
        <f t="shared" si="125"/>
        <v>6.5000000000000018</v>
      </c>
      <c r="M852" s="51">
        <f t="shared" si="126"/>
        <v>6.5000000000000018</v>
      </c>
    </row>
    <row r="853" spans="1:13" x14ac:dyDescent="0.25">
      <c r="A853" s="133">
        <v>45452</v>
      </c>
      <c r="B853" s="51" t="s">
        <v>19</v>
      </c>
      <c r="C853" s="134">
        <v>0.25</v>
      </c>
      <c r="D853" s="135">
        <v>0.54166666666666663</v>
      </c>
      <c r="E853" s="53">
        <f t="shared" si="124"/>
        <v>6.4999999999999991</v>
      </c>
      <c r="F853" s="51">
        <v>0.5</v>
      </c>
      <c r="H853" s="53">
        <f t="shared" si="125"/>
        <v>6.4999999999999991</v>
      </c>
      <c r="M853" s="51">
        <f t="shared" si="126"/>
        <v>6.4999999999999991</v>
      </c>
    </row>
    <row r="854" spans="1:13" x14ac:dyDescent="0.25">
      <c r="A854" s="133">
        <v>45452</v>
      </c>
      <c r="B854" s="51" t="s">
        <v>19</v>
      </c>
      <c r="C854" s="134">
        <v>0.25</v>
      </c>
      <c r="D854" s="135">
        <v>0.54166666666666663</v>
      </c>
      <c r="E854" s="53">
        <f t="shared" si="124"/>
        <v>6.4999999999999991</v>
      </c>
      <c r="F854" s="51">
        <v>0.5</v>
      </c>
      <c r="H854" s="53">
        <f t="shared" si="125"/>
        <v>6.4999999999999991</v>
      </c>
      <c r="M854" s="51">
        <f t="shared" si="126"/>
        <v>6.4999999999999991</v>
      </c>
    </row>
    <row r="855" spans="1:13" x14ac:dyDescent="0.25">
      <c r="A855" s="133">
        <v>45454</v>
      </c>
      <c r="B855" s="51" t="s">
        <v>19</v>
      </c>
      <c r="C855" s="134">
        <v>0.66666666666666663</v>
      </c>
      <c r="D855" s="135">
        <v>0.8125</v>
      </c>
      <c r="E855" s="53">
        <f t="shared" si="124"/>
        <v>3.5000000000000009</v>
      </c>
      <c r="H855" s="53">
        <f t="shared" si="125"/>
        <v>5.5000000000000009</v>
      </c>
      <c r="M855" s="51">
        <f t="shared" si="126"/>
        <v>5.5000000000000009</v>
      </c>
    </row>
    <row r="856" spans="1:13" x14ac:dyDescent="0.25">
      <c r="A856" s="133">
        <v>45457</v>
      </c>
      <c r="B856" s="51" t="s">
        <v>19</v>
      </c>
      <c r="C856" s="134">
        <v>0.45833333333333331</v>
      </c>
      <c r="D856" s="135">
        <v>0.70833333333333337</v>
      </c>
      <c r="E856" s="53">
        <f t="shared" si="124"/>
        <v>5.5000000000000018</v>
      </c>
      <c r="F856" s="51">
        <v>0.5</v>
      </c>
      <c r="H856" s="53">
        <f t="shared" si="125"/>
        <v>7.5000000000000018</v>
      </c>
      <c r="M856" s="51">
        <f t="shared" si="126"/>
        <v>7.5000000000000018</v>
      </c>
    </row>
    <row r="857" spans="1:13" x14ac:dyDescent="0.25">
      <c r="A857" s="133">
        <v>45457</v>
      </c>
      <c r="B857" s="51" t="s">
        <v>19</v>
      </c>
      <c r="C857" s="134">
        <v>0.47916666666666669</v>
      </c>
      <c r="D857" s="135">
        <v>0.64583333333333337</v>
      </c>
      <c r="E857" s="53">
        <f t="shared" si="124"/>
        <v>4</v>
      </c>
      <c r="H857" s="53">
        <f t="shared" si="125"/>
        <v>6</v>
      </c>
      <c r="M857" s="51">
        <f t="shared" si="126"/>
        <v>6</v>
      </c>
    </row>
    <row r="858" spans="1:13" x14ac:dyDescent="0.25">
      <c r="A858" s="133">
        <v>45457</v>
      </c>
      <c r="B858" s="51" t="s">
        <v>19</v>
      </c>
      <c r="C858" s="134">
        <v>0.70833333333333337</v>
      </c>
      <c r="D858" s="135">
        <v>0.97916666666666663</v>
      </c>
      <c r="E858" s="53">
        <f t="shared" si="124"/>
        <v>5.9999999999999982</v>
      </c>
      <c r="F858" s="51">
        <v>0.5</v>
      </c>
      <c r="H858" s="53">
        <f t="shared" si="125"/>
        <v>7.9999999999999982</v>
      </c>
      <c r="M858" s="51">
        <f t="shared" si="126"/>
        <v>7.9999999999999982</v>
      </c>
    </row>
    <row r="859" spans="1:13" x14ac:dyDescent="0.25">
      <c r="A859" s="133">
        <v>45458</v>
      </c>
      <c r="B859" s="51" t="s">
        <v>19</v>
      </c>
      <c r="C859" s="134">
        <v>0.375</v>
      </c>
      <c r="D859" s="135">
        <v>0.58333333333333337</v>
      </c>
      <c r="E859" s="53">
        <f t="shared" si="124"/>
        <v>5.0000000000000009</v>
      </c>
      <c r="H859" s="53">
        <f t="shared" si="125"/>
        <v>5.0000000000000009</v>
      </c>
      <c r="M859" s="51">
        <f t="shared" si="126"/>
        <v>5.0000000000000009</v>
      </c>
    </row>
    <row r="860" spans="1:13" x14ac:dyDescent="0.25">
      <c r="A860" s="133">
        <v>45458</v>
      </c>
      <c r="B860" s="51" t="s">
        <v>19</v>
      </c>
      <c r="C860" s="134">
        <v>0.375</v>
      </c>
      <c r="D860" s="135">
        <v>0.58333333333333337</v>
      </c>
      <c r="E860" s="53">
        <f t="shared" si="124"/>
        <v>5.0000000000000009</v>
      </c>
      <c r="H860" s="53">
        <f t="shared" si="125"/>
        <v>5.0000000000000009</v>
      </c>
      <c r="M860" s="51">
        <f t="shared" si="126"/>
        <v>5.0000000000000009</v>
      </c>
    </row>
    <row r="861" spans="1:13" x14ac:dyDescent="0.25">
      <c r="A861" s="133">
        <v>45470</v>
      </c>
      <c r="B861" s="51" t="s">
        <v>19</v>
      </c>
      <c r="C861" s="134">
        <v>0.625</v>
      </c>
      <c r="D861" s="135">
        <v>0.85416666666666663</v>
      </c>
      <c r="E861" s="53">
        <f t="shared" si="124"/>
        <v>5.4999999999999991</v>
      </c>
      <c r="H861" s="53">
        <f t="shared" si="125"/>
        <v>7.4999999999999991</v>
      </c>
      <c r="M861" s="51">
        <f t="shared" si="126"/>
        <v>7.4999999999999991</v>
      </c>
    </row>
    <row r="862" spans="1:13" x14ac:dyDescent="0.25">
      <c r="A862" s="133">
        <v>45470</v>
      </c>
      <c r="B862" s="51" t="s">
        <v>19</v>
      </c>
      <c r="C862" s="134">
        <v>0.625</v>
      </c>
      <c r="D862" s="135">
        <v>0.85416666666666663</v>
      </c>
      <c r="E862" s="53">
        <f t="shared" si="124"/>
        <v>5.4999999999999991</v>
      </c>
      <c r="H862" s="53">
        <f t="shared" si="125"/>
        <v>7.4999999999999991</v>
      </c>
      <c r="M862" s="51">
        <f t="shared" si="126"/>
        <v>7.4999999999999991</v>
      </c>
    </row>
    <row r="863" spans="1:13" x14ac:dyDescent="0.25">
      <c r="A863" s="133">
        <v>45471</v>
      </c>
      <c r="B863" s="51" t="s">
        <v>19</v>
      </c>
      <c r="C863" s="134">
        <v>0.77083333333333337</v>
      </c>
      <c r="D863" s="135">
        <v>0</v>
      </c>
      <c r="E863" s="53">
        <f t="shared" si="124"/>
        <v>5.4999999999999991</v>
      </c>
      <c r="H863" s="53">
        <f t="shared" si="125"/>
        <v>7.4999999999999991</v>
      </c>
      <c r="M863" s="51">
        <f t="shared" si="126"/>
        <v>7.4999999999999991</v>
      </c>
    </row>
    <row r="864" spans="1:13" x14ac:dyDescent="0.25">
      <c r="A864" s="133">
        <v>45471</v>
      </c>
      <c r="B864" s="51" t="s">
        <v>19</v>
      </c>
      <c r="C864" s="134">
        <v>0.8125</v>
      </c>
      <c r="D864" s="135">
        <v>0.95833333333333337</v>
      </c>
      <c r="E864" s="53">
        <f t="shared" si="124"/>
        <v>3.5000000000000009</v>
      </c>
      <c r="H864" s="53">
        <f t="shared" si="125"/>
        <v>5.5000000000000009</v>
      </c>
      <c r="M864" s="51">
        <f t="shared" si="126"/>
        <v>5.5000000000000009</v>
      </c>
    </row>
    <row r="865" spans="1:13" x14ac:dyDescent="0.25">
      <c r="A865" s="133">
        <v>45474</v>
      </c>
      <c r="B865" s="51" t="s">
        <v>19</v>
      </c>
      <c r="C865" s="134">
        <v>0.41666666666666669</v>
      </c>
      <c r="D865" s="135">
        <v>0.66666666666666663</v>
      </c>
      <c r="E865" s="53">
        <f t="shared" si="124"/>
        <v>5.4999999999999982</v>
      </c>
      <c r="F865" s="51">
        <v>0.5</v>
      </c>
      <c r="H865" s="53">
        <f t="shared" si="125"/>
        <v>7.4999999999999982</v>
      </c>
      <c r="M865" s="51">
        <f t="shared" si="126"/>
        <v>7.4999999999999982</v>
      </c>
    </row>
    <row r="866" spans="1:13" x14ac:dyDescent="0.25">
      <c r="A866" s="133">
        <v>45474</v>
      </c>
      <c r="B866" s="51" t="s">
        <v>19</v>
      </c>
      <c r="C866" s="134">
        <v>0.41666666666666669</v>
      </c>
      <c r="D866" s="135">
        <v>0.66666666666666663</v>
      </c>
      <c r="E866" s="53">
        <f t="shared" si="124"/>
        <v>5.4999999999999982</v>
      </c>
      <c r="F866" s="51">
        <v>0.5</v>
      </c>
      <c r="H866" s="53">
        <f t="shared" si="125"/>
        <v>7.4999999999999982</v>
      </c>
      <c r="M866" s="51">
        <f t="shared" si="126"/>
        <v>7.4999999999999982</v>
      </c>
    </row>
    <row r="867" spans="1:13" x14ac:dyDescent="0.25">
      <c r="A867" s="133">
        <v>45475</v>
      </c>
      <c r="B867" s="51" t="s">
        <v>19</v>
      </c>
      <c r="C867" s="134">
        <v>0.41666666666666669</v>
      </c>
      <c r="D867" s="135">
        <v>0.66666666666666663</v>
      </c>
      <c r="E867" s="53">
        <f t="shared" si="124"/>
        <v>5.4999999999999982</v>
      </c>
      <c r="F867" s="51">
        <v>0.5</v>
      </c>
      <c r="H867" s="53">
        <f t="shared" si="125"/>
        <v>7.4999999999999982</v>
      </c>
      <c r="M867" s="51">
        <f t="shared" si="126"/>
        <v>7.4999999999999982</v>
      </c>
    </row>
    <row r="868" spans="1:13" x14ac:dyDescent="0.25">
      <c r="A868" s="133">
        <v>45475</v>
      </c>
      <c r="B868" s="51" t="s">
        <v>19</v>
      </c>
      <c r="C868" s="134">
        <v>0.41666666666666669</v>
      </c>
      <c r="D868" s="135">
        <v>0.66666666666666663</v>
      </c>
      <c r="E868" s="53">
        <f t="shared" si="124"/>
        <v>5.4999999999999982</v>
      </c>
      <c r="F868" s="51">
        <v>0.5</v>
      </c>
      <c r="H868" s="53">
        <f t="shared" si="125"/>
        <v>7.4999999999999982</v>
      </c>
      <c r="M868" s="51">
        <f t="shared" si="126"/>
        <v>7.4999999999999982</v>
      </c>
    </row>
    <row r="869" spans="1:13" x14ac:dyDescent="0.25">
      <c r="A869" s="133">
        <v>45476</v>
      </c>
      <c r="B869" s="51" t="s">
        <v>19</v>
      </c>
      <c r="C869" s="134">
        <v>0.41666666666666669</v>
      </c>
      <c r="D869" s="135">
        <v>0.66666666666666663</v>
      </c>
      <c r="E869" s="53">
        <f t="shared" si="124"/>
        <v>5.4999999999999982</v>
      </c>
      <c r="F869" s="51">
        <v>0.5</v>
      </c>
      <c r="H869" s="53">
        <f t="shared" si="125"/>
        <v>7.4999999999999982</v>
      </c>
      <c r="M869" s="51">
        <f t="shared" si="126"/>
        <v>7.4999999999999982</v>
      </c>
    </row>
    <row r="870" spans="1:13" x14ac:dyDescent="0.25">
      <c r="A870" s="133">
        <v>45476</v>
      </c>
      <c r="B870" s="51" t="s">
        <v>19</v>
      </c>
      <c r="C870" s="134">
        <v>0.41666666666666669</v>
      </c>
      <c r="D870" s="135">
        <v>0.66666666666666663</v>
      </c>
      <c r="E870" s="53">
        <f t="shared" si="124"/>
        <v>5.4999999999999982</v>
      </c>
      <c r="F870" s="51">
        <v>0.5</v>
      </c>
      <c r="H870" s="53">
        <f t="shared" si="125"/>
        <v>7.4999999999999982</v>
      </c>
      <c r="M870" s="51">
        <f t="shared" si="126"/>
        <v>7.4999999999999982</v>
      </c>
    </row>
    <row r="871" spans="1:13" x14ac:dyDescent="0.25">
      <c r="A871" s="133">
        <v>45476</v>
      </c>
      <c r="B871" s="51" t="s">
        <v>19</v>
      </c>
      <c r="C871" s="134">
        <v>0.41666666666666669</v>
      </c>
      <c r="D871" s="135">
        <v>0.66666666666666663</v>
      </c>
      <c r="E871" s="53">
        <f t="shared" si="124"/>
        <v>5.4999999999999982</v>
      </c>
      <c r="F871" s="51">
        <v>0.5</v>
      </c>
      <c r="H871" s="53">
        <f t="shared" si="125"/>
        <v>7.4999999999999982</v>
      </c>
      <c r="M871" s="51">
        <f t="shared" si="126"/>
        <v>7.4999999999999982</v>
      </c>
    </row>
    <row r="872" spans="1:13" x14ac:dyDescent="0.25">
      <c r="A872" s="133">
        <v>45476</v>
      </c>
      <c r="B872" s="51" t="s">
        <v>19</v>
      </c>
      <c r="C872" s="134">
        <v>0.41666666666666669</v>
      </c>
      <c r="D872" s="135">
        <v>0.58333333333333337</v>
      </c>
      <c r="E872" s="53">
        <f t="shared" si="124"/>
        <v>4</v>
      </c>
      <c r="H872" s="53">
        <f t="shared" si="125"/>
        <v>6</v>
      </c>
      <c r="M872" s="51">
        <f t="shared" si="126"/>
        <v>6</v>
      </c>
    </row>
    <row r="873" spans="1:13" x14ac:dyDescent="0.25">
      <c r="A873" s="133">
        <v>45477</v>
      </c>
      <c r="B873" s="51" t="s">
        <v>19</v>
      </c>
      <c r="C873" s="134">
        <v>0.33333333333333331</v>
      </c>
      <c r="D873" s="135">
        <v>0.83333333333333337</v>
      </c>
      <c r="E873" s="53">
        <f t="shared" si="124"/>
        <v>11</v>
      </c>
      <c r="F873" s="51">
        <v>1</v>
      </c>
      <c r="H873" s="53">
        <f t="shared" si="125"/>
        <v>13</v>
      </c>
      <c r="M873" s="51">
        <f t="shared" si="126"/>
        <v>13</v>
      </c>
    </row>
    <row r="874" spans="1:13" x14ac:dyDescent="0.25">
      <c r="A874" s="133">
        <v>45477</v>
      </c>
      <c r="B874" s="51" t="s">
        <v>19</v>
      </c>
      <c r="C874" s="135">
        <v>0.33333333333333331</v>
      </c>
      <c r="D874" s="135">
        <v>0.66666666666666663</v>
      </c>
      <c r="E874" s="53">
        <f t="shared" si="124"/>
        <v>7.5</v>
      </c>
      <c r="F874" s="51">
        <v>0.5</v>
      </c>
      <c r="H874" s="53">
        <f t="shared" si="125"/>
        <v>9.5</v>
      </c>
      <c r="M874" s="51">
        <f t="shared" si="126"/>
        <v>9.5</v>
      </c>
    </row>
    <row r="875" spans="1:13" x14ac:dyDescent="0.25">
      <c r="A875" s="133">
        <v>45477</v>
      </c>
      <c r="B875" s="51" t="s">
        <v>19</v>
      </c>
      <c r="C875" s="135">
        <v>0.33333333333333331</v>
      </c>
      <c r="D875" s="135">
        <v>0</v>
      </c>
      <c r="E875" s="53">
        <f t="shared" si="124"/>
        <v>15</v>
      </c>
      <c r="F875" s="51">
        <v>1</v>
      </c>
      <c r="H875" s="53">
        <f t="shared" si="125"/>
        <v>17</v>
      </c>
      <c r="M875" s="51">
        <f t="shared" si="126"/>
        <v>17</v>
      </c>
    </row>
    <row r="876" spans="1:13" x14ac:dyDescent="0.25">
      <c r="A876" s="133">
        <v>45477</v>
      </c>
      <c r="B876" s="51" t="s">
        <v>19</v>
      </c>
      <c r="C876" s="135">
        <v>0.33333333333333331</v>
      </c>
      <c r="D876" s="135">
        <v>0</v>
      </c>
      <c r="E876" s="53">
        <f t="shared" si="124"/>
        <v>15</v>
      </c>
      <c r="F876" s="51">
        <v>1</v>
      </c>
      <c r="H876" s="53">
        <f t="shared" si="125"/>
        <v>17</v>
      </c>
      <c r="M876" s="51">
        <f t="shared" si="126"/>
        <v>17</v>
      </c>
    </row>
    <row r="877" spans="1:13" x14ac:dyDescent="0.25">
      <c r="A877" s="133">
        <v>45477</v>
      </c>
      <c r="B877" s="51" t="s">
        <v>19</v>
      </c>
      <c r="C877" s="135">
        <v>0.33333333333333331</v>
      </c>
      <c r="D877" s="135">
        <v>0</v>
      </c>
      <c r="E877" s="53">
        <f t="shared" si="124"/>
        <v>15</v>
      </c>
      <c r="F877" s="51">
        <v>1</v>
      </c>
      <c r="H877" s="53">
        <f t="shared" si="125"/>
        <v>17</v>
      </c>
      <c r="M877" s="51">
        <f t="shared" si="126"/>
        <v>17</v>
      </c>
    </row>
    <row r="878" spans="1:13" x14ac:dyDescent="0.25">
      <c r="A878" s="133">
        <v>45477</v>
      </c>
      <c r="B878" s="51" t="s">
        <v>19</v>
      </c>
      <c r="C878" s="135">
        <v>0.33333333333333331</v>
      </c>
      <c r="D878" s="135">
        <v>0</v>
      </c>
      <c r="E878" s="53">
        <f t="shared" si="124"/>
        <v>15</v>
      </c>
      <c r="F878" s="51">
        <v>1</v>
      </c>
      <c r="H878" s="53">
        <f t="shared" si="125"/>
        <v>17</v>
      </c>
      <c r="M878" s="51">
        <f t="shared" si="126"/>
        <v>17</v>
      </c>
    </row>
    <row r="879" spans="1:13" x14ac:dyDescent="0.25">
      <c r="A879" s="133">
        <v>45477</v>
      </c>
      <c r="B879" s="51" t="s">
        <v>19</v>
      </c>
      <c r="C879" s="135">
        <v>0.33333333333333331</v>
      </c>
      <c r="D879" s="135">
        <v>0</v>
      </c>
      <c r="E879" s="53">
        <f t="shared" si="124"/>
        <v>15</v>
      </c>
      <c r="F879" s="51">
        <v>1</v>
      </c>
      <c r="H879" s="53">
        <f t="shared" si="125"/>
        <v>17</v>
      </c>
      <c r="M879" s="51">
        <f t="shared" si="126"/>
        <v>17</v>
      </c>
    </row>
    <row r="880" spans="1:13" x14ac:dyDescent="0.25">
      <c r="A880" s="133">
        <v>45477</v>
      </c>
      <c r="B880" s="51" t="s">
        <v>19</v>
      </c>
      <c r="C880" s="135">
        <v>0.33333333333333331</v>
      </c>
      <c r="D880" s="135">
        <v>0</v>
      </c>
      <c r="E880" s="53">
        <f t="shared" si="124"/>
        <v>15</v>
      </c>
      <c r="F880" s="51">
        <v>1</v>
      </c>
      <c r="H880" s="53">
        <f t="shared" si="125"/>
        <v>17</v>
      </c>
      <c r="M880" s="51">
        <f t="shared" si="126"/>
        <v>17</v>
      </c>
    </row>
    <row r="881" spans="1:13" x14ac:dyDescent="0.25">
      <c r="A881" s="133">
        <v>45477</v>
      </c>
      <c r="B881" s="51" t="s">
        <v>19</v>
      </c>
      <c r="C881" s="135">
        <v>0.33333333333333331</v>
      </c>
      <c r="D881" s="135">
        <v>0</v>
      </c>
      <c r="E881" s="53">
        <f t="shared" si="124"/>
        <v>15</v>
      </c>
      <c r="F881" s="51">
        <v>1</v>
      </c>
      <c r="H881" s="53">
        <f t="shared" si="125"/>
        <v>17</v>
      </c>
      <c r="M881" s="51">
        <f t="shared" si="126"/>
        <v>17</v>
      </c>
    </row>
    <row r="882" spans="1:13" x14ac:dyDescent="0.25">
      <c r="A882" s="133">
        <v>45477</v>
      </c>
      <c r="B882" s="51" t="s">
        <v>19</v>
      </c>
      <c r="C882" s="135">
        <v>0.33333333333333331</v>
      </c>
      <c r="D882" s="135">
        <v>0</v>
      </c>
      <c r="E882" s="53">
        <f t="shared" si="124"/>
        <v>15</v>
      </c>
      <c r="F882" s="51">
        <v>1</v>
      </c>
      <c r="H882" s="53">
        <f t="shared" si="125"/>
        <v>17</v>
      </c>
      <c r="M882" s="51">
        <f t="shared" si="126"/>
        <v>17</v>
      </c>
    </row>
    <row r="883" spans="1:13" x14ac:dyDescent="0.25">
      <c r="A883" s="133">
        <v>45477</v>
      </c>
      <c r="B883" s="51" t="s">
        <v>19</v>
      </c>
      <c r="C883" s="135">
        <v>0.33333333333333331</v>
      </c>
      <c r="D883" s="135">
        <v>0</v>
      </c>
      <c r="E883" s="53">
        <f t="shared" si="124"/>
        <v>15</v>
      </c>
      <c r="F883" s="51">
        <v>1</v>
      </c>
      <c r="H883" s="53">
        <f t="shared" si="125"/>
        <v>17</v>
      </c>
      <c r="M883" s="51">
        <f t="shared" si="126"/>
        <v>17</v>
      </c>
    </row>
    <row r="884" spans="1:13" x14ac:dyDescent="0.25">
      <c r="A884" s="133">
        <v>45477</v>
      </c>
      <c r="B884" s="51" t="s">
        <v>19</v>
      </c>
      <c r="C884" s="135">
        <v>0.33333333333333331</v>
      </c>
      <c r="D884" s="135">
        <v>0</v>
      </c>
      <c r="E884" s="53">
        <f t="shared" si="124"/>
        <v>15</v>
      </c>
      <c r="F884" s="51">
        <v>1</v>
      </c>
      <c r="H884" s="53">
        <f t="shared" si="125"/>
        <v>17</v>
      </c>
      <c r="M884" s="51">
        <f t="shared" si="126"/>
        <v>17</v>
      </c>
    </row>
    <row r="885" spans="1:13" x14ac:dyDescent="0.25">
      <c r="A885" s="133">
        <v>45477</v>
      </c>
      <c r="B885" s="51" t="s">
        <v>19</v>
      </c>
      <c r="C885" s="135">
        <v>0.33333333333333331</v>
      </c>
      <c r="D885" s="135">
        <v>0</v>
      </c>
      <c r="E885" s="53">
        <f t="shared" si="124"/>
        <v>15</v>
      </c>
      <c r="F885" s="51">
        <v>1</v>
      </c>
      <c r="H885" s="53">
        <f t="shared" si="125"/>
        <v>17</v>
      </c>
      <c r="M885" s="51">
        <f t="shared" si="126"/>
        <v>17</v>
      </c>
    </row>
    <row r="886" spans="1:13" x14ac:dyDescent="0.25">
      <c r="A886" s="133">
        <v>45478</v>
      </c>
      <c r="B886" s="51" t="s">
        <v>19</v>
      </c>
      <c r="C886" s="135">
        <v>0.41666666666666669</v>
      </c>
      <c r="D886" s="135">
        <v>0.66666666666666663</v>
      </c>
      <c r="E886" s="53">
        <f t="shared" si="124"/>
        <v>5.4999999999999982</v>
      </c>
      <c r="F886" s="51">
        <v>0.5</v>
      </c>
      <c r="H886" s="53">
        <f t="shared" si="125"/>
        <v>7.4999999999999982</v>
      </c>
      <c r="M886" s="51">
        <f t="shared" si="126"/>
        <v>7.4999999999999982</v>
      </c>
    </row>
    <row r="887" spans="1:13" x14ac:dyDescent="0.25">
      <c r="A887" s="133">
        <v>45478</v>
      </c>
      <c r="B887" s="51" t="s">
        <v>19</v>
      </c>
      <c r="C887" s="135">
        <v>0.41666666666666669</v>
      </c>
      <c r="D887" s="135">
        <v>0.58333333333333337</v>
      </c>
      <c r="E887" s="53">
        <f t="shared" si="124"/>
        <v>4</v>
      </c>
      <c r="H887" s="53">
        <f t="shared" si="125"/>
        <v>6</v>
      </c>
      <c r="M887" s="51">
        <f t="shared" si="126"/>
        <v>6</v>
      </c>
    </row>
    <row r="888" spans="1:13" x14ac:dyDescent="0.25">
      <c r="A888" s="133">
        <v>45478</v>
      </c>
      <c r="B888" s="51" t="s">
        <v>19</v>
      </c>
      <c r="C888" s="135">
        <v>0.41666666666666669</v>
      </c>
      <c r="D888" s="135">
        <v>0.58333333333333337</v>
      </c>
      <c r="E888" s="53">
        <f t="shared" si="124"/>
        <v>4</v>
      </c>
      <c r="H888" s="53">
        <f t="shared" si="125"/>
        <v>6</v>
      </c>
      <c r="M888" s="51">
        <f t="shared" si="126"/>
        <v>6</v>
      </c>
    </row>
    <row r="889" spans="1:13" x14ac:dyDescent="0.25">
      <c r="A889" s="133">
        <v>45485</v>
      </c>
      <c r="B889" s="51" t="s">
        <v>19</v>
      </c>
      <c r="C889" s="135">
        <v>0.72916666666666663</v>
      </c>
      <c r="D889" s="135">
        <v>0</v>
      </c>
      <c r="E889" s="53">
        <f t="shared" si="124"/>
        <v>6.0000000000000009</v>
      </c>
      <c r="F889" s="51">
        <v>0.5</v>
      </c>
      <c r="H889" s="53">
        <f t="shared" si="125"/>
        <v>8</v>
      </c>
      <c r="M889" s="51">
        <f t="shared" si="126"/>
        <v>8</v>
      </c>
    </row>
    <row r="890" spans="1:13" x14ac:dyDescent="0.25">
      <c r="A890" s="133">
        <v>45485</v>
      </c>
      <c r="B890" s="51" t="s">
        <v>19</v>
      </c>
      <c r="C890" s="135">
        <v>0.72916666666666663</v>
      </c>
      <c r="D890" s="135">
        <v>0</v>
      </c>
      <c r="E890" s="53">
        <f t="shared" si="124"/>
        <v>6.0000000000000009</v>
      </c>
      <c r="F890" s="51">
        <v>0.5</v>
      </c>
      <c r="H890" s="53">
        <f t="shared" si="125"/>
        <v>8</v>
      </c>
      <c r="M890" s="51">
        <f t="shared" si="126"/>
        <v>8</v>
      </c>
    </row>
    <row r="891" spans="1:13" x14ac:dyDescent="0.25">
      <c r="A891" s="133">
        <v>45492</v>
      </c>
      <c r="B891" s="51" t="s">
        <v>19</v>
      </c>
      <c r="C891" s="135">
        <v>0.79166666666666663</v>
      </c>
      <c r="D891" s="135">
        <v>0.95833333333333337</v>
      </c>
      <c r="E891" s="53">
        <f t="shared" si="124"/>
        <v>4.0000000000000018</v>
      </c>
      <c r="H891" s="53">
        <f t="shared" si="125"/>
        <v>6.0000000000000018</v>
      </c>
      <c r="M891" s="51">
        <f t="shared" si="126"/>
        <v>6.0000000000000018</v>
      </c>
    </row>
    <row r="892" spans="1:13" x14ac:dyDescent="0.25">
      <c r="A892" s="133">
        <v>45492</v>
      </c>
      <c r="B892" s="51" t="s">
        <v>19</v>
      </c>
      <c r="C892" s="135">
        <v>0.70833333333333337</v>
      </c>
      <c r="D892" s="135">
        <v>0.95833333333333337</v>
      </c>
      <c r="E892" s="53">
        <f t="shared" si="124"/>
        <v>5.5</v>
      </c>
      <c r="F892" s="51">
        <v>0.5</v>
      </c>
      <c r="H892" s="53">
        <f t="shared" si="125"/>
        <v>7.5</v>
      </c>
      <c r="M892" s="51">
        <f t="shared" si="126"/>
        <v>7.5</v>
      </c>
    </row>
    <row r="893" spans="1:13" x14ac:dyDescent="0.25">
      <c r="A893" s="133">
        <v>45498</v>
      </c>
      <c r="B893" s="51" t="s">
        <v>19</v>
      </c>
      <c r="C893" s="135">
        <v>0.41666666666666669</v>
      </c>
      <c r="D893" s="135">
        <v>0.66666666666666663</v>
      </c>
      <c r="E893" s="53">
        <f t="shared" si="124"/>
        <v>5.4999999999999982</v>
      </c>
      <c r="F893" s="51">
        <v>0.5</v>
      </c>
      <c r="H893" s="53">
        <f t="shared" si="125"/>
        <v>7.4999999999999982</v>
      </c>
      <c r="M893" s="51">
        <f t="shared" si="126"/>
        <v>7.4999999999999982</v>
      </c>
    </row>
    <row r="894" spans="1:13" x14ac:dyDescent="0.25">
      <c r="A894" s="133">
        <v>45498</v>
      </c>
      <c r="B894" s="51" t="s">
        <v>19</v>
      </c>
      <c r="C894" s="135">
        <v>0.41666666666666669</v>
      </c>
      <c r="D894" s="135">
        <v>0.66666666666666663</v>
      </c>
      <c r="E894" s="53">
        <f t="shared" si="124"/>
        <v>5.4999999999999982</v>
      </c>
      <c r="F894" s="51">
        <v>0.5</v>
      </c>
      <c r="H894" s="53">
        <f t="shared" si="125"/>
        <v>7.4999999999999982</v>
      </c>
      <c r="M894" s="51">
        <f t="shared" si="126"/>
        <v>7.4999999999999982</v>
      </c>
    </row>
    <row r="895" spans="1:13" x14ac:dyDescent="0.25">
      <c r="A895" s="133">
        <v>45498</v>
      </c>
      <c r="B895" s="51" t="s">
        <v>19</v>
      </c>
      <c r="C895" s="135">
        <v>0.41666666666666669</v>
      </c>
      <c r="D895" s="135">
        <v>0.66666666666666663</v>
      </c>
      <c r="E895" s="53">
        <f t="shared" si="124"/>
        <v>5.4999999999999982</v>
      </c>
      <c r="F895" s="51">
        <v>0.5</v>
      </c>
      <c r="H895" s="53">
        <f t="shared" si="125"/>
        <v>7.4999999999999982</v>
      </c>
      <c r="M895" s="51">
        <f t="shared" si="126"/>
        <v>7.4999999999999982</v>
      </c>
    </row>
    <row r="896" spans="1:13" x14ac:dyDescent="0.25">
      <c r="A896" s="133">
        <v>45498</v>
      </c>
      <c r="B896" s="51" t="s">
        <v>19</v>
      </c>
      <c r="C896" s="135">
        <v>0.41666666666666669</v>
      </c>
      <c r="D896" s="135">
        <v>0.66666666666666663</v>
      </c>
      <c r="E896" s="53">
        <f t="shared" si="124"/>
        <v>5.4999999999999982</v>
      </c>
      <c r="F896" s="51">
        <v>0.5</v>
      </c>
      <c r="H896" s="53">
        <f t="shared" si="125"/>
        <v>7.4999999999999982</v>
      </c>
      <c r="M896" s="51">
        <f t="shared" si="126"/>
        <v>7.4999999999999982</v>
      </c>
    </row>
    <row r="897" spans="1:13" x14ac:dyDescent="0.25">
      <c r="A897" s="133">
        <v>45499</v>
      </c>
      <c r="B897" s="51" t="s">
        <v>19</v>
      </c>
      <c r="C897" s="135">
        <v>0.75</v>
      </c>
      <c r="D897" s="135">
        <v>0</v>
      </c>
      <c r="E897" s="53">
        <f t="shared" si="124"/>
        <v>5.5</v>
      </c>
      <c r="F897" s="51">
        <v>0.5</v>
      </c>
      <c r="H897" s="53">
        <f t="shared" si="125"/>
        <v>7.5</v>
      </c>
      <c r="M897" s="51">
        <f t="shared" si="126"/>
        <v>7.5</v>
      </c>
    </row>
    <row r="898" spans="1:13" x14ac:dyDescent="0.25">
      <c r="A898" s="133">
        <v>45499</v>
      </c>
      <c r="B898" s="51" t="s">
        <v>19</v>
      </c>
      <c r="C898" s="135">
        <v>0.75</v>
      </c>
      <c r="D898" s="135">
        <v>0</v>
      </c>
      <c r="E898" s="53">
        <f t="shared" si="124"/>
        <v>5.5</v>
      </c>
      <c r="F898" s="51">
        <v>0.5</v>
      </c>
      <c r="H898" s="53">
        <f t="shared" si="125"/>
        <v>7.5</v>
      </c>
      <c r="M898" s="51">
        <f t="shared" si="126"/>
        <v>7.5</v>
      </c>
    </row>
    <row r="899" spans="1:13" x14ac:dyDescent="0.25">
      <c r="A899" s="133">
        <v>45499</v>
      </c>
      <c r="B899" s="51" t="s">
        <v>19</v>
      </c>
      <c r="C899" s="135">
        <v>0.75</v>
      </c>
      <c r="D899" s="135">
        <v>0</v>
      </c>
      <c r="E899" s="53">
        <f t="shared" ref="E899:E962" si="127">MOD((D899-C899),1) *24 - F899</f>
        <v>5.5</v>
      </c>
      <c r="F899" s="51">
        <v>0.5</v>
      </c>
      <c r="H899" s="53">
        <f t="shared" ref="H899:H962" si="128">IF(WEEKDAY(A899, 2)&lt;6, E899+2, E899)</f>
        <v>7.5</v>
      </c>
      <c r="M899" s="51">
        <f t="shared" ref="M899:M962" si="129">IF(H899&lt;&gt;"",H899,J899)</f>
        <v>7.5</v>
      </c>
    </row>
    <row r="900" spans="1:13" x14ac:dyDescent="0.25">
      <c r="A900" s="133">
        <v>45499</v>
      </c>
      <c r="B900" s="51" t="s">
        <v>19</v>
      </c>
      <c r="C900" s="135">
        <v>0.75</v>
      </c>
      <c r="D900" s="135">
        <v>0</v>
      </c>
      <c r="E900" s="53">
        <f t="shared" si="127"/>
        <v>5.5</v>
      </c>
      <c r="F900" s="51">
        <v>0.5</v>
      </c>
      <c r="H900" s="53">
        <f t="shared" si="128"/>
        <v>7.5</v>
      </c>
      <c r="M900" s="51">
        <f t="shared" si="129"/>
        <v>7.5</v>
      </c>
    </row>
    <row r="901" spans="1:13" x14ac:dyDescent="0.25">
      <c r="A901" s="133">
        <v>45499</v>
      </c>
      <c r="B901" s="51" t="s">
        <v>19</v>
      </c>
      <c r="C901" s="135">
        <v>0.625</v>
      </c>
      <c r="D901" s="135">
        <v>0.72916666666666663</v>
      </c>
      <c r="E901" s="53">
        <f t="shared" si="127"/>
        <v>2.4999999999999991</v>
      </c>
      <c r="H901" s="53">
        <f t="shared" si="128"/>
        <v>4.4999999999999991</v>
      </c>
      <c r="M901" s="51">
        <f t="shared" si="129"/>
        <v>4.4999999999999991</v>
      </c>
    </row>
    <row r="902" spans="1:13" x14ac:dyDescent="0.25">
      <c r="A902" s="133">
        <v>45500</v>
      </c>
      <c r="B902" s="51" t="s">
        <v>19</v>
      </c>
      <c r="C902" s="135">
        <v>0.375</v>
      </c>
      <c r="D902" s="135">
        <v>0.60416666666666663</v>
      </c>
      <c r="E902" s="53">
        <f t="shared" si="127"/>
        <v>4.9999999999999991</v>
      </c>
      <c r="F902" s="51">
        <v>0.5</v>
      </c>
      <c r="H902" s="53">
        <f t="shared" si="128"/>
        <v>4.9999999999999991</v>
      </c>
      <c r="M902" s="51">
        <f t="shared" si="129"/>
        <v>4.9999999999999991</v>
      </c>
    </row>
    <row r="903" spans="1:13" x14ac:dyDescent="0.25">
      <c r="A903" s="133">
        <v>45500</v>
      </c>
      <c r="B903" s="51" t="s">
        <v>19</v>
      </c>
      <c r="C903" s="135">
        <v>0.375</v>
      </c>
      <c r="D903" s="135">
        <v>0.60416666666666663</v>
      </c>
      <c r="E903" s="53">
        <f t="shared" si="127"/>
        <v>4.9999999999999991</v>
      </c>
      <c r="F903" s="51">
        <v>0.5</v>
      </c>
      <c r="H903" s="53">
        <f t="shared" si="128"/>
        <v>4.9999999999999991</v>
      </c>
      <c r="M903" s="51">
        <f t="shared" si="129"/>
        <v>4.9999999999999991</v>
      </c>
    </row>
    <row r="904" spans="1:13" x14ac:dyDescent="0.25">
      <c r="A904" s="133">
        <v>45508</v>
      </c>
      <c r="B904" s="51" t="s">
        <v>19</v>
      </c>
      <c r="C904" s="135">
        <v>0.75</v>
      </c>
      <c r="D904" s="135">
        <v>4.1666666666666664E-2</v>
      </c>
      <c r="E904" s="53">
        <f t="shared" si="127"/>
        <v>6.4999999999999991</v>
      </c>
      <c r="F904" s="51">
        <v>0.5</v>
      </c>
      <c r="H904" s="53">
        <f t="shared" si="128"/>
        <v>6.4999999999999991</v>
      </c>
      <c r="M904" s="51">
        <f t="shared" si="129"/>
        <v>6.4999999999999991</v>
      </c>
    </row>
    <row r="905" spans="1:13" x14ac:dyDescent="0.25">
      <c r="A905" s="133">
        <v>45508</v>
      </c>
      <c r="B905" s="51" t="s">
        <v>19</v>
      </c>
      <c r="C905" s="135">
        <v>0.75</v>
      </c>
      <c r="D905" s="135">
        <v>4.1666666666666664E-2</v>
      </c>
      <c r="E905" s="53">
        <f t="shared" si="127"/>
        <v>6.4999999999999991</v>
      </c>
      <c r="F905" s="51">
        <v>0.5</v>
      </c>
      <c r="H905" s="53">
        <f t="shared" si="128"/>
        <v>6.4999999999999991</v>
      </c>
      <c r="M905" s="51">
        <f t="shared" si="129"/>
        <v>6.4999999999999991</v>
      </c>
    </row>
    <row r="906" spans="1:13" x14ac:dyDescent="0.25">
      <c r="A906" s="133">
        <v>45508</v>
      </c>
      <c r="B906" s="51" t="s">
        <v>19</v>
      </c>
      <c r="C906" s="135">
        <v>0.75</v>
      </c>
      <c r="D906" s="135">
        <v>4.1666666666666664E-2</v>
      </c>
      <c r="E906" s="53">
        <f t="shared" si="127"/>
        <v>6.4999999999999991</v>
      </c>
      <c r="F906" s="51">
        <v>0.5</v>
      </c>
      <c r="H906" s="53">
        <f t="shared" si="128"/>
        <v>6.4999999999999991</v>
      </c>
      <c r="M906" s="51">
        <f t="shared" si="129"/>
        <v>6.4999999999999991</v>
      </c>
    </row>
    <row r="907" spans="1:13" x14ac:dyDescent="0.25">
      <c r="A907" s="133">
        <v>45508</v>
      </c>
      <c r="B907" s="51" t="s">
        <v>19</v>
      </c>
      <c r="C907" s="135">
        <v>0.75</v>
      </c>
      <c r="D907" s="135">
        <v>4.1666666666666664E-2</v>
      </c>
      <c r="E907" s="53">
        <f t="shared" si="127"/>
        <v>6.4999999999999991</v>
      </c>
      <c r="F907" s="51">
        <v>0.5</v>
      </c>
      <c r="H907" s="53">
        <f t="shared" si="128"/>
        <v>6.4999999999999991</v>
      </c>
      <c r="M907" s="51">
        <f t="shared" si="129"/>
        <v>6.4999999999999991</v>
      </c>
    </row>
    <row r="908" spans="1:13" x14ac:dyDescent="0.25">
      <c r="A908" s="133">
        <v>45508</v>
      </c>
      <c r="B908" s="51" t="s">
        <v>19</v>
      </c>
      <c r="C908" s="135">
        <v>0.75</v>
      </c>
      <c r="D908" s="135">
        <v>4.1666666666666664E-2</v>
      </c>
      <c r="E908" s="53">
        <f t="shared" si="127"/>
        <v>6.4999999999999991</v>
      </c>
      <c r="F908" s="51">
        <v>0.5</v>
      </c>
      <c r="H908" s="53">
        <f t="shared" si="128"/>
        <v>6.4999999999999991</v>
      </c>
      <c r="M908" s="51">
        <f t="shared" si="129"/>
        <v>6.4999999999999991</v>
      </c>
    </row>
    <row r="909" spans="1:13" x14ac:dyDescent="0.25">
      <c r="A909" s="133">
        <v>45513</v>
      </c>
      <c r="B909" s="51" t="s">
        <v>19</v>
      </c>
      <c r="C909" s="135">
        <v>0.75</v>
      </c>
      <c r="D909" s="135">
        <v>0</v>
      </c>
      <c r="E909" s="53">
        <f t="shared" si="127"/>
        <v>5.5</v>
      </c>
      <c r="F909" s="51">
        <v>0.5</v>
      </c>
      <c r="H909" s="53">
        <f t="shared" si="128"/>
        <v>7.5</v>
      </c>
      <c r="M909" s="51">
        <f t="shared" si="129"/>
        <v>7.5</v>
      </c>
    </row>
    <row r="910" spans="1:13" x14ac:dyDescent="0.25">
      <c r="A910" s="133">
        <v>45513</v>
      </c>
      <c r="B910" s="51" t="s">
        <v>19</v>
      </c>
      <c r="C910" s="135">
        <v>0.75</v>
      </c>
      <c r="D910" s="135">
        <v>0</v>
      </c>
      <c r="E910" s="53">
        <f t="shared" si="127"/>
        <v>5.5</v>
      </c>
      <c r="F910" s="51">
        <v>0.5</v>
      </c>
      <c r="H910" s="53">
        <f t="shared" si="128"/>
        <v>7.5</v>
      </c>
      <c r="M910" s="51">
        <f t="shared" si="129"/>
        <v>7.5</v>
      </c>
    </row>
    <row r="911" spans="1:13" x14ac:dyDescent="0.25">
      <c r="A911" s="133">
        <v>45513</v>
      </c>
      <c r="B911" s="51" t="s">
        <v>19</v>
      </c>
      <c r="C911" s="135">
        <v>0.75</v>
      </c>
      <c r="D911" s="135">
        <v>0</v>
      </c>
      <c r="E911" s="53">
        <f t="shared" si="127"/>
        <v>5.5</v>
      </c>
      <c r="F911" s="51">
        <v>0.5</v>
      </c>
      <c r="H911" s="53">
        <f t="shared" si="128"/>
        <v>7.5</v>
      </c>
      <c r="M911" s="51">
        <f t="shared" si="129"/>
        <v>7.5</v>
      </c>
    </row>
    <row r="912" spans="1:13" x14ac:dyDescent="0.25">
      <c r="A912" s="133">
        <v>45519</v>
      </c>
      <c r="B912" s="51" t="s">
        <v>19</v>
      </c>
      <c r="C912" s="135">
        <v>0.66666666666666663</v>
      </c>
      <c r="D912" s="135">
        <v>0.85416666666666663</v>
      </c>
      <c r="E912" s="53">
        <f t="shared" si="127"/>
        <v>4.5</v>
      </c>
      <c r="H912" s="53">
        <f t="shared" si="128"/>
        <v>6.5</v>
      </c>
      <c r="M912" s="51">
        <f t="shared" si="129"/>
        <v>6.5</v>
      </c>
    </row>
    <row r="913" spans="1:13" x14ac:dyDescent="0.25">
      <c r="A913" s="133">
        <v>45519</v>
      </c>
      <c r="B913" s="51" t="s">
        <v>19</v>
      </c>
      <c r="C913" s="135">
        <v>0.66666666666666663</v>
      </c>
      <c r="D913" s="135">
        <v>0.85416666666666663</v>
      </c>
      <c r="E913" s="53">
        <f t="shared" si="127"/>
        <v>4.5</v>
      </c>
      <c r="H913" s="53">
        <f t="shared" si="128"/>
        <v>6.5</v>
      </c>
      <c r="M913" s="51">
        <f t="shared" si="129"/>
        <v>6.5</v>
      </c>
    </row>
    <row r="914" spans="1:13" x14ac:dyDescent="0.25">
      <c r="A914" s="133">
        <v>45519</v>
      </c>
      <c r="B914" s="51" t="s">
        <v>19</v>
      </c>
      <c r="C914" s="135">
        <v>0.66666666666666663</v>
      </c>
      <c r="D914" s="135">
        <v>0.85416666666666663</v>
      </c>
      <c r="E914" s="53">
        <f t="shared" si="127"/>
        <v>4.5</v>
      </c>
      <c r="H914" s="53">
        <f t="shared" si="128"/>
        <v>6.5</v>
      </c>
      <c r="M914" s="51">
        <f t="shared" si="129"/>
        <v>6.5</v>
      </c>
    </row>
    <row r="915" spans="1:13" x14ac:dyDescent="0.25">
      <c r="A915" s="133">
        <v>45520</v>
      </c>
      <c r="B915" s="51" t="s">
        <v>19</v>
      </c>
      <c r="C915" s="135">
        <v>0.72916666666666663</v>
      </c>
      <c r="D915" s="135">
        <v>0</v>
      </c>
      <c r="E915" s="53">
        <f t="shared" si="127"/>
        <v>6.0000000000000009</v>
      </c>
      <c r="F915" s="51">
        <v>0.5</v>
      </c>
      <c r="H915" s="53">
        <f t="shared" si="128"/>
        <v>8</v>
      </c>
      <c r="M915" s="51">
        <f t="shared" si="129"/>
        <v>8</v>
      </c>
    </row>
    <row r="916" spans="1:13" x14ac:dyDescent="0.25">
      <c r="A916" s="133">
        <v>45520</v>
      </c>
      <c r="B916" s="51" t="s">
        <v>19</v>
      </c>
      <c r="C916" s="135">
        <v>0.72916666666666663</v>
      </c>
      <c r="D916" s="135">
        <v>0</v>
      </c>
      <c r="E916" s="53">
        <f t="shared" si="127"/>
        <v>6.0000000000000009</v>
      </c>
      <c r="F916" s="51">
        <v>0.5</v>
      </c>
      <c r="H916" s="53">
        <f t="shared" si="128"/>
        <v>8</v>
      </c>
      <c r="M916" s="51">
        <f t="shared" si="129"/>
        <v>8</v>
      </c>
    </row>
    <row r="917" spans="1:13" x14ac:dyDescent="0.25">
      <c r="A917" s="133">
        <v>45523</v>
      </c>
      <c r="B917" s="51" t="s">
        <v>19</v>
      </c>
      <c r="C917" s="135">
        <v>0.41666666666666669</v>
      </c>
      <c r="D917" s="135">
        <v>0.58333333333333337</v>
      </c>
      <c r="E917" s="53">
        <f t="shared" si="127"/>
        <v>4</v>
      </c>
      <c r="H917" s="53">
        <f t="shared" si="128"/>
        <v>6</v>
      </c>
      <c r="M917" s="51">
        <f t="shared" si="129"/>
        <v>6</v>
      </c>
    </row>
    <row r="918" spans="1:13" x14ac:dyDescent="0.25">
      <c r="A918" s="133">
        <v>45523</v>
      </c>
      <c r="B918" s="51" t="s">
        <v>19</v>
      </c>
      <c r="C918" s="135">
        <v>0.41666666666666669</v>
      </c>
      <c r="D918" s="135">
        <v>0.625</v>
      </c>
      <c r="E918" s="53">
        <f t="shared" si="127"/>
        <v>5</v>
      </c>
      <c r="H918" s="53">
        <f t="shared" si="128"/>
        <v>7</v>
      </c>
      <c r="M918" s="51">
        <f t="shared" si="129"/>
        <v>7</v>
      </c>
    </row>
    <row r="919" spans="1:13" x14ac:dyDescent="0.25">
      <c r="A919" s="133">
        <v>45523</v>
      </c>
      <c r="B919" s="51" t="s">
        <v>19</v>
      </c>
      <c r="C919" s="135">
        <v>0.41666666666666669</v>
      </c>
      <c r="D919" s="135">
        <v>0.625</v>
      </c>
      <c r="E919" s="53">
        <f t="shared" si="127"/>
        <v>5</v>
      </c>
      <c r="H919" s="53">
        <f t="shared" si="128"/>
        <v>7</v>
      </c>
      <c r="M919" s="51">
        <f t="shared" si="129"/>
        <v>7</v>
      </c>
    </row>
    <row r="920" spans="1:13" x14ac:dyDescent="0.25">
      <c r="A920" s="133">
        <v>45524</v>
      </c>
      <c r="B920" s="51" t="s">
        <v>19</v>
      </c>
      <c r="C920" s="135">
        <v>0.625</v>
      </c>
      <c r="D920" s="135">
        <v>0.95833333333333337</v>
      </c>
      <c r="E920" s="53">
        <f t="shared" si="127"/>
        <v>7.5</v>
      </c>
      <c r="F920" s="51">
        <v>0.5</v>
      </c>
      <c r="H920" s="53">
        <f t="shared" si="128"/>
        <v>9.5</v>
      </c>
      <c r="M920" s="51">
        <f t="shared" si="129"/>
        <v>9.5</v>
      </c>
    </row>
    <row r="921" spans="1:13" x14ac:dyDescent="0.25">
      <c r="A921" s="133">
        <v>45524</v>
      </c>
      <c r="B921" s="51" t="s">
        <v>19</v>
      </c>
      <c r="C921" s="135">
        <v>0.625</v>
      </c>
      <c r="D921" s="135">
        <v>0.95833333333333337</v>
      </c>
      <c r="E921" s="53">
        <f t="shared" si="127"/>
        <v>7.5</v>
      </c>
      <c r="F921" s="51">
        <v>0.5</v>
      </c>
      <c r="H921" s="53">
        <f t="shared" si="128"/>
        <v>9.5</v>
      </c>
      <c r="M921" s="51">
        <f t="shared" si="129"/>
        <v>9.5</v>
      </c>
    </row>
    <row r="922" spans="1:13" x14ac:dyDescent="0.25">
      <c r="A922" s="133">
        <v>45524</v>
      </c>
      <c r="B922" s="51" t="s">
        <v>19</v>
      </c>
      <c r="C922" s="135">
        <v>0.625</v>
      </c>
      <c r="D922" s="135">
        <v>0.95833333333333337</v>
      </c>
      <c r="E922" s="53">
        <f t="shared" si="127"/>
        <v>7.5</v>
      </c>
      <c r="F922" s="51">
        <v>0.5</v>
      </c>
      <c r="H922" s="53">
        <f t="shared" si="128"/>
        <v>9.5</v>
      </c>
      <c r="M922" s="51">
        <f t="shared" si="129"/>
        <v>9.5</v>
      </c>
    </row>
    <row r="923" spans="1:13" x14ac:dyDescent="0.25">
      <c r="A923" s="133">
        <v>45524</v>
      </c>
      <c r="B923" s="51" t="s">
        <v>19</v>
      </c>
      <c r="C923" s="135">
        <v>0.625</v>
      </c>
      <c r="D923" s="135">
        <v>0.95833333333333337</v>
      </c>
      <c r="E923" s="53">
        <f t="shared" si="127"/>
        <v>7.5</v>
      </c>
      <c r="F923" s="51">
        <v>0.5</v>
      </c>
      <c r="H923" s="53">
        <f t="shared" si="128"/>
        <v>9.5</v>
      </c>
      <c r="M923" s="51">
        <f t="shared" si="129"/>
        <v>9.5</v>
      </c>
    </row>
    <row r="924" spans="1:13" x14ac:dyDescent="0.25">
      <c r="A924" s="133">
        <v>45524</v>
      </c>
      <c r="B924" s="51" t="s">
        <v>19</v>
      </c>
      <c r="C924" s="135">
        <v>0.625</v>
      </c>
      <c r="D924" s="135">
        <v>0.95833333333333337</v>
      </c>
      <c r="E924" s="53">
        <f t="shared" si="127"/>
        <v>7.5</v>
      </c>
      <c r="F924" s="51">
        <v>0.5</v>
      </c>
      <c r="H924" s="53">
        <f t="shared" si="128"/>
        <v>9.5</v>
      </c>
      <c r="M924" s="51">
        <f t="shared" si="129"/>
        <v>9.5</v>
      </c>
    </row>
    <row r="925" spans="1:13" x14ac:dyDescent="0.25">
      <c r="A925" s="133">
        <v>45524</v>
      </c>
      <c r="B925" s="51" t="s">
        <v>19</v>
      </c>
      <c r="C925" s="135">
        <v>0.625</v>
      </c>
      <c r="D925" s="135">
        <v>0.70833333333333337</v>
      </c>
      <c r="E925" s="53">
        <f t="shared" si="127"/>
        <v>2.0000000000000009</v>
      </c>
      <c r="H925" s="53">
        <f t="shared" si="128"/>
        <v>4.0000000000000009</v>
      </c>
      <c r="M925" s="51">
        <f t="shared" si="129"/>
        <v>4.0000000000000009</v>
      </c>
    </row>
    <row r="926" spans="1:13" x14ac:dyDescent="0.25">
      <c r="A926" s="133">
        <v>45530</v>
      </c>
      <c r="B926" s="51" t="s">
        <v>19</v>
      </c>
      <c r="C926" s="135">
        <v>0.64583333333333337</v>
      </c>
      <c r="D926" s="135">
        <v>0.70833333333333337</v>
      </c>
      <c r="E926" s="53">
        <f t="shared" si="127"/>
        <v>1.5</v>
      </c>
      <c r="H926" s="53">
        <f t="shared" si="128"/>
        <v>3.5</v>
      </c>
      <c r="M926" s="51">
        <f t="shared" si="129"/>
        <v>3.5</v>
      </c>
    </row>
    <row r="927" spans="1:13" x14ac:dyDescent="0.25">
      <c r="A927" s="133">
        <v>45530</v>
      </c>
      <c r="B927" s="51" t="s">
        <v>19</v>
      </c>
      <c r="C927" s="135">
        <v>0.64583333333333337</v>
      </c>
      <c r="D927" s="135">
        <v>0.83333333333333337</v>
      </c>
      <c r="E927" s="53">
        <f t="shared" si="127"/>
        <v>4.5</v>
      </c>
      <c r="H927" s="53">
        <f t="shared" si="128"/>
        <v>6.5</v>
      </c>
      <c r="M927" s="51">
        <f t="shared" si="129"/>
        <v>6.5</v>
      </c>
    </row>
    <row r="928" spans="1:13" x14ac:dyDescent="0.25">
      <c r="A928" s="133">
        <v>45530</v>
      </c>
      <c r="B928" s="51" t="s">
        <v>19</v>
      </c>
      <c r="C928" s="135">
        <v>0.64583333333333337</v>
      </c>
      <c r="D928" s="135">
        <v>0.83333333333333337</v>
      </c>
      <c r="E928" s="53">
        <f t="shared" si="127"/>
        <v>4.5</v>
      </c>
      <c r="H928" s="53">
        <f t="shared" si="128"/>
        <v>6.5</v>
      </c>
      <c r="M928" s="51">
        <f t="shared" si="129"/>
        <v>6.5</v>
      </c>
    </row>
    <row r="929" spans="1:13" x14ac:dyDescent="0.25">
      <c r="A929" s="133">
        <v>45574</v>
      </c>
      <c r="B929" s="51" t="s">
        <v>19</v>
      </c>
      <c r="C929" s="135">
        <v>0.41666666666666669</v>
      </c>
      <c r="D929" s="135">
        <v>0.58333333333333337</v>
      </c>
      <c r="E929" s="53">
        <f t="shared" si="127"/>
        <v>4</v>
      </c>
      <c r="H929" s="53">
        <f t="shared" si="128"/>
        <v>6</v>
      </c>
      <c r="M929" s="51">
        <f t="shared" si="129"/>
        <v>6</v>
      </c>
    </row>
    <row r="930" spans="1:13" x14ac:dyDescent="0.25">
      <c r="A930" s="133">
        <v>45577</v>
      </c>
      <c r="B930" s="51" t="s">
        <v>19</v>
      </c>
      <c r="C930" s="135">
        <v>0.41666666666666669</v>
      </c>
      <c r="D930" s="135">
        <v>0.5</v>
      </c>
      <c r="E930" s="53">
        <f t="shared" si="127"/>
        <v>1.9999999999999996</v>
      </c>
      <c r="H930" s="53">
        <f t="shared" si="128"/>
        <v>1.9999999999999996</v>
      </c>
      <c r="M930" s="51">
        <f t="shared" si="129"/>
        <v>1.9999999999999996</v>
      </c>
    </row>
    <row r="931" spans="1:13" x14ac:dyDescent="0.25">
      <c r="A931" s="133">
        <v>45577</v>
      </c>
      <c r="B931" s="51" t="s">
        <v>19</v>
      </c>
      <c r="C931" s="135">
        <v>0.375</v>
      </c>
      <c r="D931" s="135">
        <v>0.66666666666666663</v>
      </c>
      <c r="E931" s="53">
        <f t="shared" si="127"/>
        <v>6.4999999999999991</v>
      </c>
      <c r="F931" s="51">
        <v>0.5</v>
      </c>
      <c r="H931" s="53">
        <f t="shared" si="128"/>
        <v>6.4999999999999991</v>
      </c>
      <c r="M931" s="51">
        <f t="shared" si="129"/>
        <v>6.4999999999999991</v>
      </c>
    </row>
    <row r="932" spans="1:13" x14ac:dyDescent="0.25">
      <c r="A932" s="133">
        <v>45577</v>
      </c>
      <c r="B932" s="51" t="s">
        <v>19</v>
      </c>
      <c r="C932" s="135">
        <v>0.375</v>
      </c>
      <c r="D932" s="135">
        <v>0.66666666666666663</v>
      </c>
      <c r="E932" s="53">
        <f t="shared" si="127"/>
        <v>6.4999999999999991</v>
      </c>
      <c r="F932" s="51">
        <v>0.5</v>
      </c>
      <c r="H932" s="53">
        <f t="shared" si="128"/>
        <v>6.4999999999999991</v>
      </c>
      <c r="M932" s="51">
        <f t="shared" si="129"/>
        <v>6.4999999999999991</v>
      </c>
    </row>
    <row r="933" spans="1:13" x14ac:dyDescent="0.25">
      <c r="A933" s="133">
        <v>45578</v>
      </c>
      <c r="B933" s="51" t="s">
        <v>19</v>
      </c>
      <c r="C933" s="135">
        <v>0.41666666666666669</v>
      </c>
      <c r="D933" s="135">
        <v>0.66666666666666663</v>
      </c>
      <c r="E933" s="53">
        <f t="shared" si="127"/>
        <v>5.4999999999999982</v>
      </c>
      <c r="F933" s="51">
        <v>0.5</v>
      </c>
      <c r="H933" s="53">
        <f t="shared" si="128"/>
        <v>5.4999999999999982</v>
      </c>
      <c r="M933" s="51">
        <f t="shared" si="129"/>
        <v>5.4999999999999982</v>
      </c>
    </row>
    <row r="934" spans="1:13" x14ac:dyDescent="0.25">
      <c r="A934" s="133">
        <v>45578</v>
      </c>
      <c r="B934" s="51" t="s">
        <v>19</v>
      </c>
      <c r="C934" s="135">
        <v>0.41666666666666669</v>
      </c>
      <c r="D934" s="135">
        <v>0.66666666666666663</v>
      </c>
      <c r="E934" s="53">
        <f t="shared" si="127"/>
        <v>5.4999999999999982</v>
      </c>
      <c r="F934" s="51">
        <v>0.5</v>
      </c>
      <c r="H934" s="53">
        <f t="shared" si="128"/>
        <v>5.4999999999999982</v>
      </c>
      <c r="M934" s="51">
        <f t="shared" si="129"/>
        <v>5.4999999999999982</v>
      </c>
    </row>
    <row r="935" spans="1:13" x14ac:dyDescent="0.25">
      <c r="A935" s="133">
        <v>45578</v>
      </c>
      <c r="B935" s="51" t="s">
        <v>19</v>
      </c>
      <c r="C935" s="135">
        <v>0.41666666666666669</v>
      </c>
      <c r="D935" s="135">
        <v>0.66666666666666663</v>
      </c>
      <c r="E935" s="53">
        <f t="shared" si="127"/>
        <v>5.4999999999999982</v>
      </c>
      <c r="F935" s="51">
        <v>0.5</v>
      </c>
      <c r="H935" s="53">
        <f t="shared" si="128"/>
        <v>5.4999999999999982</v>
      </c>
      <c r="M935" s="51">
        <f t="shared" si="129"/>
        <v>5.4999999999999982</v>
      </c>
    </row>
    <row r="936" spans="1:13" x14ac:dyDescent="0.25">
      <c r="A936" s="133">
        <v>45579</v>
      </c>
      <c r="B936" s="51" t="s">
        <v>19</v>
      </c>
      <c r="C936" s="135">
        <v>0.375</v>
      </c>
      <c r="D936" s="135">
        <v>0.625</v>
      </c>
      <c r="E936" s="53">
        <f t="shared" si="127"/>
        <v>5.5</v>
      </c>
      <c r="F936" s="51">
        <v>0.5</v>
      </c>
      <c r="H936" s="53">
        <f t="shared" si="128"/>
        <v>7.5</v>
      </c>
      <c r="M936" s="51">
        <f t="shared" si="129"/>
        <v>7.5</v>
      </c>
    </row>
    <row r="937" spans="1:13" x14ac:dyDescent="0.25">
      <c r="A937" s="133">
        <v>45579</v>
      </c>
      <c r="B937" s="51" t="s">
        <v>19</v>
      </c>
      <c r="C937" s="135">
        <v>0.375</v>
      </c>
      <c r="D937" s="135">
        <v>0.625</v>
      </c>
      <c r="E937" s="53">
        <f t="shared" si="127"/>
        <v>5.5</v>
      </c>
      <c r="F937" s="51">
        <v>0.5</v>
      </c>
      <c r="H937" s="53">
        <f t="shared" si="128"/>
        <v>7.5</v>
      </c>
      <c r="M937" s="51">
        <f t="shared" si="129"/>
        <v>7.5</v>
      </c>
    </row>
    <row r="938" spans="1:13" x14ac:dyDescent="0.25">
      <c r="A938" s="133">
        <v>45579</v>
      </c>
      <c r="B938" s="51" t="s">
        <v>19</v>
      </c>
      <c r="C938" s="135">
        <v>0.375</v>
      </c>
      <c r="D938" s="135">
        <v>0.625</v>
      </c>
      <c r="E938" s="53">
        <f t="shared" si="127"/>
        <v>5.5</v>
      </c>
      <c r="F938" s="51">
        <v>0.5</v>
      </c>
      <c r="H938" s="53">
        <f t="shared" si="128"/>
        <v>7.5</v>
      </c>
      <c r="M938" s="51">
        <f t="shared" si="129"/>
        <v>7.5</v>
      </c>
    </row>
    <row r="939" spans="1:13" x14ac:dyDescent="0.25">
      <c r="A939" s="133">
        <v>45579</v>
      </c>
      <c r="B939" s="51" t="s">
        <v>19</v>
      </c>
      <c r="C939" s="135">
        <v>0.375</v>
      </c>
      <c r="D939" s="135">
        <v>0.625</v>
      </c>
      <c r="E939" s="53">
        <f t="shared" si="127"/>
        <v>5.5</v>
      </c>
      <c r="F939" s="51">
        <v>0.5</v>
      </c>
      <c r="H939" s="53">
        <f t="shared" si="128"/>
        <v>7.5</v>
      </c>
      <c r="M939" s="51">
        <f t="shared" si="129"/>
        <v>7.5</v>
      </c>
    </row>
    <row r="940" spans="1:13" x14ac:dyDescent="0.25">
      <c r="A940" s="133">
        <v>45579</v>
      </c>
      <c r="B940" s="51" t="s">
        <v>19</v>
      </c>
      <c r="C940" s="135">
        <v>0.375</v>
      </c>
      <c r="D940" s="135">
        <v>0.625</v>
      </c>
      <c r="E940" s="53">
        <f t="shared" si="127"/>
        <v>5.5</v>
      </c>
      <c r="F940" s="51">
        <v>0.5</v>
      </c>
      <c r="H940" s="53">
        <f t="shared" si="128"/>
        <v>7.5</v>
      </c>
      <c r="M940" s="51">
        <f t="shared" si="129"/>
        <v>7.5</v>
      </c>
    </row>
    <row r="941" spans="1:13" x14ac:dyDescent="0.25">
      <c r="A941" s="133">
        <v>45580</v>
      </c>
      <c r="B941" s="51" t="s">
        <v>19</v>
      </c>
      <c r="C941" s="135">
        <v>0.41666666666666669</v>
      </c>
      <c r="D941" s="135">
        <v>0.625</v>
      </c>
      <c r="E941" s="53">
        <f t="shared" si="127"/>
        <v>5</v>
      </c>
      <c r="H941" s="53">
        <f t="shared" si="128"/>
        <v>7</v>
      </c>
      <c r="M941" s="51">
        <f t="shared" si="129"/>
        <v>7</v>
      </c>
    </row>
    <row r="942" spans="1:13" x14ac:dyDescent="0.25">
      <c r="A942" s="133">
        <v>45580</v>
      </c>
      <c r="B942" s="51" t="s">
        <v>19</v>
      </c>
      <c r="C942" s="135">
        <v>0.41666666666666669</v>
      </c>
      <c r="D942" s="135">
        <v>0.625</v>
      </c>
      <c r="E942" s="53">
        <f t="shared" si="127"/>
        <v>5</v>
      </c>
      <c r="H942" s="53">
        <f t="shared" si="128"/>
        <v>7</v>
      </c>
      <c r="M942" s="51">
        <f t="shared" si="129"/>
        <v>7</v>
      </c>
    </row>
    <row r="943" spans="1:13" x14ac:dyDescent="0.25">
      <c r="A943" s="133">
        <v>45580</v>
      </c>
      <c r="B943" s="51" t="s">
        <v>19</v>
      </c>
      <c r="C943" s="135">
        <v>0.41666666666666669</v>
      </c>
      <c r="D943" s="135">
        <v>0.625</v>
      </c>
      <c r="E943" s="53">
        <f t="shared" si="127"/>
        <v>5</v>
      </c>
      <c r="H943" s="53">
        <f t="shared" si="128"/>
        <v>7</v>
      </c>
      <c r="M943" s="51">
        <f t="shared" si="129"/>
        <v>7</v>
      </c>
    </row>
    <row r="944" spans="1:13" x14ac:dyDescent="0.25">
      <c r="A944" s="133">
        <v>45585</v>
      </c>
      <c r="B944" s="51" t="s">
        <v>19</v>
      </c>
      <c r="C944" s="135">
        <v>0.77083333333333337</v>
      </c>
      <c r="D944" s="135">
        <v>0.9375</v>
      </c>
      <c r="E944" s="53">
        <f t="shared" si="127"/>
        <v>3.9999999999999991</v>
      </c>
      <c r="H944" s="53">
        <f t="shared" si="128"/>
        <v>3.9999999999999991</v>
      </c>
      <c r="M944" s="51">
        <f t="shared" si="129"/>
        <v>3.9999999999999991</v>
      </c>
    </row>
    <row r="945" spans="1:13" x14ac:dyDescent="0.25">
      <c r="A945" s="133">
        <v>45585</v>
      </c>
      <c r="B945" s="51" t="s">
        <v>19</v>
      </c>
      <c r="C945" s="135">
        <v>0.77083333333333337</v>
      </c>
      <c r="D945" s="135">
        <v>0.9375</v>
      </c>
      <c r="E945" s="53">
        <f t="shared" si="127"/>
        <v>3.9999999999999991</v>
      </c>
      <c r="H945" s="53">
        <f t="shared" si="128"/>
        <v>3.9999999999999991</v>
      </c>
      <c r="M945" s="51">
        <f t="shared" si="129"/>
        <v>3.9999999999999991</v>
      </c>
    </row>
    <row r="946" spans="1:13" x14ac:dyDescent="0.25">
      <c r="A946" s="133">
        <v>45586</v>
      </c>
      <c r="B946" s="51" t="s">
        <v>19</v>
      </c>
      <c r="C946" s="135">
        <v>0.375</v>
      </c>
      <c r="D946" s="135">
        <v>0.625</v>
      </c>
      <c r="E946" s="53">
        <f t="shared" si="127"/>
        <v>5.5</v>
      </c>
      <c r="F946" s="51">
        <v>0.5</v>
      </c>
      <c r="H946" s="53">
        <f t="shared" si="128"/>
        <v>7.5</v>
      </c>
      <c r="M946" s="51">
        <f t="shared" si="129"/>
        <v>7.5</v>
      </c>
    </row>
    <row r="947" spans="1:13" x14ac:dyDescent="0.25">
      <c r="A947" s="133">
        <v>45586</v>
      </c>
      <c r="B947" s="51" t="s">
        <v>19</v>
      </c>
      <c r="C947" s="135">
        <v>0.375</v>
      </c>
      <c r="D947" s="135">
        <v>0.625</v>
      </c>
      <c r="E947" s="53">
        <f t="shared" si="127"/>
        <v>5.5</v>
      </c>
      <c r="F947" s="51">
        <v>0.5</v>
      </c>
      <c r="H947" s="53">
        <f t="shared" si="128"/>
        <v>7.5</v>
      </c>
      <c r="M947" s="51">
        <f t="shared" si="129"/>
        <v>7.5</v>
      </c>
    </row>
    <row r="948" spans="1:13" x14ac:dyDescent="0.25">
      <c r="A948" s="133">
        <v>45586</v>
      </c>
      <c r="B948" s="51" t="s">
        <v>19</v>
      </c>
      <c r="C948" s="135">
        <v>0.375</v>
      </c>
      <c r="D948" s="135">
        <v>0.625</v>
      </c>
      <c r="E948" s="53">
        <f t="shared" si="127"/>
        <v>5.5</v>
      </c>
      <c r="F948" s="51">
        <v>0.5</v>
      </c>
      <c r="H948" s="53">
        <f t="shared" si="128"/>
        <v>7.5</v>
      </c>
      <c r="M948" s="51">
        <f t="shared" si="129"/>
        <v>7.5</v>
      </c>
    </row>
    <row r="949" spans="1:13" x14ac:dyDescent="0.25">
      <c r="A949" s="133">
        <v>45586</v>
      </c>
      <c r="B949" s="51" t="s">
        <v>19</v>
      </c>
      <c r="C949" s="135">
        <v>0.375</v>
      </c>
      <c r="D949" s="135">
        <v>0.625</v>
      </c>
      <c r="E949" s="53">
        <f t="shared" si="127"/>
        <v>5.5</v>
      </c>
      <c r="F949" s="51">
        <v>0.5</v>
      </c>
      <c r="H949" s="53">
        <f t="shared" si="128"/>
        <v>7.5</v>
      </c>
      <c r="M949" s="51">
        <f t="shared" si="129"/>
        <v>7.5</v>
      </c>
    </row>
    <row r="950" spans="1:13" x14ac:dyDescent="0.25">
      <c r="A950" s="133">
        <v>45587</v>
      </c>
      <c r="B950" s="51" t="s">
        <v>19</v>
      </c>
      <c r="C950" s="135">
        <v>0.375</v>
      </c>
      <c r="D950" s="135">
        <v>0.625</v>
      </c>
      <c r="E950" s="53">
        <f t="shared" si="127"/>
        <v>5.5</v>
      </c>
      <c r="F950" s="51">
        <v>0.5</v>
      </c>
      <c r="H950" s="53">
        <f t="shared" si="128"/>
        <v>7.5</v>
      </c>
      <c r="M950" s="51">
        <f t="shared" si="129"/>
        <v>7.5</v>
      </c>
    </row>
    <row r="951" spans="1:13" x14ac:dyDescent="0.25">
      <c r="A951" s="133">
        <v>45587</v>
      </c>
      <c r="B951" s="51" t="s">
        <v>19</v>
      </c>
      <c r="C951" s="135">
        <v>0.375</v>
      </c>
      <c r="D951" s="135">
        <v>0.625</v>
      </c>
      <c r="E951" s="53">
        <f t="shared" si="127"/>
        <v>5.5</v>
      </c>
      <c r="F951" s="51">
        <v>0.5</v>
      </c>
      <c r="H951" s="53">
        <f t="shared" si="128"/>
        <v>7.5</v>
      </c>
      <c r="M951" s="51">
        <f t="shared" si="129"/>
        <v>7.5</v>
      </c>
    </row>
    <row r="952" spans="1:13" x14ac:dyDescent="0.25">
      <c r="A952" s="133">
        <v>45591</v>
      </c>
      <c r="B952" s="51" t="s">
        <v>19</v>
      </c>
      <c r="C952" s="135">
        <v>0.29166666666666669</v>
      </c>
      <c r="D952" s="135">
        <v>0.66666666666666663</v>
      </c>
      <c r="E952" s="53">
        <f t="shared" si="127"/>
        <v>7.9999999999999982</v>
      </c>
      <c r="F952" s="51">
        <v>1</v>
      </c>
      <c r="H952" s="53">
        <f t="shared" si="128"/>
        <v>7.9999999999999982</v>
      </c>
      <c r="M952" s="51">
        <f t="shared" si="129"/>
        <v>7.9999999999999982</v>
      </c>
    </row>
    <row r="953" spans="1:13" x14ac:dyDescent="0.25">
      <c r="A953" s="133">
        <v>45591</v>
      </c>
      <c r="B953" s="51" t="s">
        <v>19</v>
      </c>
      <c r="C953" s="135">
        <v>0.29166666666666669</v>
      </c>
      <c r="D953" s="135">
        <v>0.66666666666666663</v>
      </c>
      <c r="E953" s="53">
        <f t="shared" si="127"/>
        <v>7.9999999999999982</v>
      </c>
      <c r="F953" s="51">
        <v>1</v>
      </c>
      <c r="H953" s="53">
        <f t="shared" si="128"/>
        <v>7.9999999999999982</v>
      </c>
      <c r="M953" s="51">
        <f t="shared" si="129"/>
        <v>7.9999999999999982</v>
      </c>
    </row>
    <row r="954" spans="1:13" x14ac:dyDescent="0.25">
      <c r="A954" s="133">
        <v>45591</v>
      </c>
      <c r="B954" s="51" t="s">
        <v>19</v>
      </c>
      <c r="C954" s="135">
        <v>0.29166666666666669</v>
      </c>
      <c r="D954" s="135">
        <v>0.66666666666666663</v>
      </c>
      <c r="E954" s="53">
        <f t="shared" si="127"/>
        <v>7.9999999999999982</v>
      </c>
      <c r="F954" s="51">
        <v>1</v>
      </c>
      <c r="H954" s="53">
        <f t="shared" si="128"/>
        <v>7.9999999999999982</v>
      </c>
      <c r="M954" s="51">
        <f t="shared" si="129"/>
        <v>7.9999999999999982</v>
      </c>
    </row>
    <row r="955" spans="1:13" x14ac:dyDescent="0.25">
      <c r="A955" s="133">
        <v>45591</v>
      </c>
      <c r="B955" s="51" t="s">
        <v>19</v>
      </c>
      <c r="C955" s="135">
        <v>0.29166666666666669</v>
      </c>
      <c r="D955" s="135">
        <v>0.66666666666666663</v>
      </c>
      <c r="E955" s="53">
        <f t="shared" si="127"/>
        <v>7.9999999999999982</v>
      </c>
      <c r="F955" s="51">
        <v>1</v>
      </c>
      <c r="H955" s="53">
        <f t="shared" si="128"/>
        <v>7.9999999999999982</v>
      </c>
      <c r="M955" s="51">
        <f t="shared" si="129"/>
        <v>7.9999999999999982</v>
      </c>
    </row>
    <row r="956" spans="1:13" x14ac:dyDescent="0.25">
      <c r="A956" s="133">
        <v>45591</v>
      </c>
      <c r="B956" s="51" t="s">
        <v>19</v>
      </c>
      <c r="C956" s="135">
        <v>0.29166666666666669</v>
      </c>
      <c r="D956" s="135">
        <v>0.66666666666666663</v>
      </c>
      <c r="E956" s="53">
        <f t="shared" si="127"/>
        <v>7.9999999999999982</v>
      </c>
      <c r="F956" s="51">
        <v>1</v>
      </c>
      <c r="H956" s="53">
        <f t="shared" si="128"/>
        <v>7.9999999999999982</v>
      </c>
      <c r="M956" s="51">
        <f t="shared" si="129"/>
        <v>7.9999999999999982</v>
      </c>
    </row>
    <row r="957" spans="1:13" x14ac:dyDescent="0.25">
      <c r="A957" s="133">
        <v>45593</v>
      </c>
      <c r="B957" s="51" t="s">
        <v>19</v>
      </c>
      <c r="C957" s="135">
        <v>0.66666666666666663</v>
      </c>
      <c r="D957" s="135">
        <v>0.83333333333333337</v>
      </c>
      <c r="E957" s="53">
        <f t="shared" si="127"/>
        <v>4.0000000000000018</v>
      </c>
      <c r="H957" s="53">
        <f t="shared" si="128"/>
        <v>6.0000000000000018</v>
      </c>
      <c r="M957" s="51">
        <f t="shared" si="129"/>
        <v>6.0000000000000018</v>
      </c>
    </row>
    <row r="958" spans="1:13" x14ac:dyDescent="0.25">
      <c r="A958" s="133">
        <v>45594</v>
      </c>
      <c r="B958" s="51" t="s">
        <v>19</v>
      </c>
      <c r="C958" s="135">
        <v>0.66666666666666663</v>
      </c>
      <c r="D958" s="135">
        <v>0.83333333333333337</v>
      </c>
      <c r="E958" s="53">
        <f t="shared" si="127"/>
        <v>4.0000000000000018</v>
      </c>
      <c r="H958" s="53">
        <f t="shared" si="128"/>
        <v>6.0000000000000018</v>
      </c>
      <c r="M958" s="51">
        <f t="shared" si="129"/>
        <v>6.0000000000000018</v>
      </c>
    </row>
    <row r="959" spans="1:13" x14ac:dyDescent="0.25">
      <c r="A959" s="133">
        <v>45594</v>
      </c>
      <c r="B959" s="51" t="s">
        <v>19</v>
      </c>
      <c r="C959" s="135">
        <v>0.66666666666666663</v>
      </c>
      <c r="D959" s="135">
        <v>0.83333333333333337</v>
      </c>
      <c r="E959" s="53">
        <f t="shared" si="127"/>
        <v>4.0000000000000018</v>
      </c>
      <c r="H959" s="53">
        <f t="shared" si="128"/>
        <v>6.0000000000000018</v>
      </c>
      <c r="M959" s="51">
        <f t="shared" si="129"/>
        <v>6.0000000000000018</v>
      </c>
    </row>
    <row r="960" spans="1:13" x14ac:dyDescent="0.25">
      <c r="A960" s="133">
        <v>45595</v>
      </c>
      <c r="B960" s="51" t="s">
        <v>19</v>
      </c>
      <c r="C960" s="135">
        <v>0.66666666666666663</v>
      </c>
      <c r="D960" s="135">
        <v>0.83333333333333337</v>
      </c>
      <c r="E960" s="53">
        <f t="shared" si="127"/>
        <v>4.0000000000000018</v>
      </c>
      <c r="H960" s="53">
        <f t="shared" si="128"/>
        <v>6.0000000000000018</v>
      </c>
      <c r="M960" s="51">
        <f t="shared" si="129"/>
        <v>6.0000000000000018</v>
      </c>
    </row>
    <row r="961" spans="1:13" x14ac:dyDescent="0.25">
      <c r="A961" s="133">
        <v>45596</v>
      </c>
      <c r="B961" s="51" t="s">
        <v>19</v>
      </c>
      <c r="C961" s="135">
        <v>0.66666666666666663</v>
      </c>
      <c r="D961" s="135">
        <v>0.89583333333333337</v>
      </c>
      <c r="E961" s="53">
        <f t="shared" si="127"/>
        <v>5.0000000000000018</v>
      </c>
      <c r="F961" s="51">
        <v>0.5</v>
      </c>
      <c r="H961" s="53">
        <f t="shared" si="128"/>
        <v>7.0000000000000018</v>
      </c>
      <c r="M961" s="51">
        <f t="shared" si="129"/>
        <v>7.0000000000000018</v>
      </c>
    </row>
    <row r="962" spans="1:13" x14ac:dyDescent="0.25">
      <c r="A962" s="133">
        <v>45596</v>
      </c>
      <c r="B962" s="51" t="s">
        <v>19</v>
      </c>
      <c r="C962" s="135">
        <v>0.66666666666666663</v>
      </c>
      <c r="D962" s="135">
        <v>0.89583333333333337</v>
      </c>
      <c r="E962" s="53">
        <f t="shared" si="127"/>
        <v>5.0000000000000018</v>
      </c>
      <c r="F962" s="51">
        <v>0.5</v>
      </c>
      <c r="H962" s="53">
        <f t="shared" si="128"/>
        <v>7.0000000000000018</v>
      </c>
      <c r="M962" s="51">
        <f t="shared" si="129"/>
        <v>7.0000000000000018</v>
      </c>
    </row>
    <row r="963" spans="1:13" x14ac:dyDescent="0.25">
      <c r="A963" s="133">
        <v>45597</v>
      </c>
      <c r="B963" s="51" t="s">
        <v>19</v>
      </c>
      <c r="C963" s="135">
        <v>0.77083333333333337</v>
      </c>
      <c r="D963" s="135">
        <v>0.9375</v>
      </c>
      <c r="E963" s="53">
        <f t="shared" ref="E963:E997" si="130">MOD((D963-C963),1) *24 - F963</f>
        <v>3.9999999999999991</v>
      </c>
      <c r="H963" s="53">
        <f t="shared" ref="H963:H997" si="131">IF(WEEKDAY(A963, 2)&lt;6, E963+2, E963)</f>
        <v>5.9999999999999991</v>
      </c>
      <c r="M963" s="51">
        <f t="shared" ref="M963:M997" si="132">IF(H963&lt;&gt;"",H963,J963)</f>
        <v>5.9999999999999991</v>
      </c>
    </row>
    <row r="964" spans="1:13" x14ac:dyDescent="0.25">
      <c r="A964" s="133">
        <v>45597</v>
      </c>
      <c r="B964" s="51" t="s">
        <v>19</v>
      </c>
      <c r="C964" s="135">
        <v>0.66666666666666663</v>
      </c>
      <c r="D964" s="135">
        <v>0.875</v>
      </c>
      <c r="E964" s="53">
        <f t="shared" si="130"/>
        <v>5.0000000000000009</v>
      </c>
      <c r="H964" s="53">
        <f t="shared" si="131"/>
        <v>7.0000000000000009</v>
      </c>
      <c r="M964" s="51">
        <f t="shared" si="132"/>
        <v>7.0000000000000009</v>
      </c>
    </row>
    <row r="965" spans="1:13" x14ac:dyDescent="0.25">
      <c r="A965" s="133">
        <v>45597</v>
      </c>
      <c r="B965" s="51" t="s">
        <v>19</v>
      </c>
      <c r="C965" s="135">
        <v>0.66666666666666663</v>
      </c>
      <c r="D965" s="135">
        <v>0.9375</v>
      </c>
      <c r="E965" s="53">
        <f t="shared" si="130"/>
        <v>6.0000000000000009</v>
      </c>
      <c r="F965" s="51">
        <v>0.5</v>
      </c>
      <c r="H965" s="53">
        <f t="shared" si="131"/>
        <v>8</v>
      </c>
      <c r="M965" s="51">
        <f t="shared" si="132"/>
        <v>8</v>
      </c>
    </row>
    <row r="966" spans="1:13" x14ac:dyDescent="0.25">
      <c r="A966" s="133">
        <v>45598</v>
      </c>
      <c r="B966" s="51" t="s">
        <v>19</v>
      </c>
      <c r="C966" s="135">
        <v>0.29166666666666669</v>
      </c>
      <c r="D966" s="135">
        <v>0.58333333333333337</v>
      </c>
      <c r="E966" s="53">
        <f t="shared" si="130"/>
        <v>6.5</v>
      </c>
      <c r="F966" s="51">
        <v>0.5</v>
      </c>
      <c r="H966" s="53">
        <f t="shared" si="131"/>
        <v>6.5</v>
      </c>
      <c r="M966" s="51">
        <f t="shared" si="132"/>
        <v>6.5</v>
      </c>
    </row>
    <row r="967" spans="1:13" x14ac:dyDescent="0.25">
      <c r="A967" s="133">
        <v>45598</v>
      </c>
      <c r="B967" s="51" t="s">
        <v>19</v>
      </c>
      <c r="C967" s="135">
        <v>0.29166666666666669</v>
      </c>
      <c r="D967" s="135">
        <v>0.54166666666666663</v>
      </c>
      <c r="E967" s="53">
        <f t="shared" si="130"/>
        <v>5.4999999999999982</v>
      </c>
      <c r="F967" s="51">
        <v>0.5</v>
      </c>
      <c r="H967" s="53">
        <f t="shared" si="131"/>
        <v>5.4999999999999982</v>
      </c>
      <c r="M967" s="51">
        <f t="shared" si="132"/>
        <v>5.4999999999999982</v>
      </c>
    </row>
    <row r="968" spans="1:13" x14ac:dyDescent="0.25">
      <c r="A968" s="133">
        <v>45598</v>
      </c>
      <c r="B968" s="51" t="s">
        <v>19</v>
      </c>
      <c r="C968" s="135">
        <v>0.29166666666666669</v>
      </c>
      <c r="D968" s="135">
        <v>0.58333333333333337</v>
      </c>
      <c r="E968" s="53">
        <f t="shared" si="130"/>
        <v>6.5</v>
      </c>
      <c r="F968" s="51">
        <v>0.5</v>
      </c>
      <c r="H968" s="53">
        <f t="shared" si="131"/>
        <v>6.5</v>
      </c>
      <c r="M968" s="51">
        <f t="shared" si="132"/>
        <v>6.5</v>
      </c>
    </row>
    <row r="969" spans="1:13" x14ac:dyDescent="0.25">
      <c r="A969" s="133">
        <v>45598</v>
      </c>
      <c r="B969" s="51" t="s">
        <v>19</v>
      </c>
      <c r="C969" s="135">
        <v>0.33333333333333331</v>
      </c>
      <c r="D969" s="135">
        <v>0.58333333333333337</v>
      </c>
      <c r="E969" s="53">
        <f t="shared" si="130"/>
        <v>5.5000000000000018</v>
      </c>
      <c r="F969" s="51">
        <v>0.5</v>
      </c>
      <c r="H969" s="53">
        <f t="shared" si="131"/>
        <v>5.5000000000000018</v>
      </c>
      <c r="M969" s="51">
        <f t="shared" si="132"/>
        <v>5.5000000000000018</v>
      </c>
    </row>
    <row r="970" spans="1:13" x14ac:dyDescent="0.25">
      <c r="A970" s="133">
        <v>45599</v>
      </c>
      <c r="B970" s="51" t="s">
        <v>19</v>
      </c>
      <c r="C970" s="135">
        <v>0.41666666666666669</v>
      </c>
      <c r="D970" s="135">
        <v>0.58333333333333337</v>
      </c>
      <c r="E970" s="53">
        <f t="shared" si="130"/>
        <v>4</v>
      </c>
      <c r="H970" s="53">
        <f t="shared" si="131"/>
        <v>4</v>
      </c>
      <c r="M970" s="51">
        <f t="shared" si="132"/>
        <v>4</v>
      </c>
    </row>
    <row r="971" spans="1:13" x14ac:dyDescent="0.25">
      <c r="A971" s="133">
        <v>45599</v>
      </c>
      <c r="B971" s="51" t="s">
        <v>19</v>
      </c>
      <c r="C971" s="135">
        <v>0.41666666666666669</v>
      </c>
      <c r="D971" s="135">
        <v>0.58333333333333337</v>
      </c>
      <c r="E971" s="53">
        <f t="shared" si="130"/>
        <v>4</v>
      </c>
      <c r="H971" s="53">
        <f t="shared" si="131"/>
        <v>4</v>
      </c>
      <c r="M971" s="51">
        <f t="shared" si="132"/>
        <v>4</v>
      </c>
    </row>
    <row r="972" spans="1:13" x14ac:dyDescent="0.25">
      <c r="A972" s="133">
        <v>45599</v>
      </c>
      <c r="B972" s="51" t="s">
        <v>19</v>
      </c>
      <c r="C972" s="135">
        <v>0.41666666666666669</v>
      </c>
      <c r="D972" s="135">
        <v>0.58333333333333337</v>
      </c>
      <c r="E972" s="53">
        <f t="shared" si="130"/>
        <v>4</v>
      </c>
      <c r="H972" s="53">
        <f t="shared" si="131"/>
        <v>4</v>
      </c>
      <c r="M972" s="51">
        <f t="shared" si="132"/>
        <v>4</v>
      </c>
    </row>
    <row r="973" spans="1:13" x14ac:dyDescent="0.25">
      <c r="A973" s="133">
        <v>45601</v>
      </c>
      <c r="B973" s="51" t="s">
        <v>19</v>
      </c>
      <c r="C973" s="135">
        <v>0.64583333333333337</v>
      </c>
      <c r="D973" s="135">
        <v>0.83333333333333337</v>
      </c>
      <c r="E973" s="53">
        <f t="shared" si="130"/>
        <v>4.5</v>
      </c>
      <c r="H973" s="53">
        <f t="shared" si="131"/>
        <v>6.5</v>
      </c>
      <c r="M973" s="51">
        <f t="shared" si="132"/>
        <v>6.5</v>
      </c>
    </row>
    <row r="974" spans="1:13" x14ac:dyDescent="0.25">
      <c r="A974" s="133">
        <v>45601</v>
      </c>
      <c r="B974" s="51" t="s">
        <v>19</v>
      </c>
      <c r="C974" s="135">
        <v>0.64583333333333337</v>
      </c>
      <c r="D974" s="135">
        <v>0.83333333333333337</v>
      </c>
      <c r="E974" s="53">
        <f t="shared" si="130"/>
        <v>4.5</v>
      </c>
      <c r="H974" s="53">
        <f t="shared" si="131"/>
        <v>6.5</v>
      </c>
      <c r="M974" s="51">
        <f t="shared" si="132"/>
        <v>6.5</v>
      </c>
    </row>
    <row r="975" spans="1:13" x14ac:dyDescent="0.25">
      <c r="A975" s="133">
        <v>45607</v>
      </c>
      <c r="B975" s="51" t="s">
        <v>19</v>
      </c>
      <c r="C975" s="135">
        <v>0.29166666666666669</v>
      </c>
      <c r="D975" s="135">
        <v>0.5</v>
      </c>
      <c r="E975" s="53">
        <f t="shared" si="130"/>
        <v>5</v>
      </c>
      <c r="H975" s="53">
        <f t="shared" si="131"/>
        <v>7</v>
      </c>
      <c r="M975" s="51">
        <f t="shared" si="132"/>
        <v>7</v>
      </c>
    </row>
    <row r="976" spans="1:13" x14ac:dyDescent="0.25">
      <c r="A976" s="133">
        <v>45607</v>
      </c>
      <c r="B976" s="51" t="s">
        <v>19</v>
      </c>
      <c r="C976" s="135">
        <v>0.29166666666666669</v>
      </c>
      <c r="D976" s="135">
        <v>0.5</v>
      </c>
      <c r="E976" s="53">
        <f t="shared" si="130"/>
        <v>5</v>
      </c>
      <c r="H976" s="53">
        <f t="shared" si="131"/>
        <v>7</v>
      </c>
      <c r="M976" s="51">
        <f t="shared" si="132"/>
        <v>7</v>
      </c>
    </row>
    <row r="977" spans="1:13" x14ac:dyDescent="0.25">
      <c r="A977" s="133">
        <v>45627</v>
      </c>
      <c r="B977" s="51" t="s">
        <v>19</v>
      </c>
      <c r="C977" s="135">
        <v>0.41666666666666669</v>
      </c>
      <c r="D977" s="135">
        <v>0.66666666666666663</v>
      </c>
      <c r="E977" s="53">
        <f t="shared" si="130"/>
        <v>5.4999999999999982</v>
      </c>
      <c r="F977" s="51">
        <v>0.5</v>
      </c>
      <c r="H977" s="53">
        <f t="shared" si="131"/>
        <v>5.4999999999999982</v>
      </c>
      <c r="M977" s="51">
        <f t="shared" si="132"/>
        <v>5.4999999999999982</v>
      </c>
    </row>
    <row r="978" spans="1:13" x14ac:dyDescent="0.25">
      <c r="A978" s="133">
        <v>45627</v>
      </c>
      <c r="B978" s="51" t="s">
        <v>19</v>
      </c>
      <c r="C978" s="135">
        <v>0.41666666666666669</v>
      </c>
      <c r="D978" s="135">
        <v>0.66666666666666663</v>
      </c>
      <c r="E978" s="53">
        <f t="shared" si="130"/>
        <v>5.4999999999999982</v>
      </c>
      <c r="F978" s="51">
        <v>0.5</v>
      </c>
      <c r="H978" s="53">
        <f t="shared" si="131"/>
        <v>5.4999999999999982</v>
      </c>
      <c r="M978" s="51">
        <f t="shared" si="132"/>
        <v>5.4999999999999982</v>
      </c>
    </row>
    <row r="979" spans="1:13" x14ac:dyDescent="0.25">
      <c r="A979" s="133">
        <v>45627</v>
      </c>
      <c r="B979" s="51" t="s">
        <v>19</v>
      </c>
      <c r="C979" s="135">
        <v>0.41666666666666669</v>
      </c>
      <c r="D979" s="135">
        <v>0.66666666666666663</v>
      </c>
      <c r="E979" s="53">
        <f t="shared" si="130"/>
        <v>5.4999999999999982</v>
      </c>
      <c r="F979" s="51">
        <v>0.5</v>
      </c>
      <c r="H979" s="53">
        <f t="shared" si="131"/>
        <v>5.4999999999999982</v>
      </c>
      <c r="M979" s="51">
        <f t="shared" si="132"/>
        <v>5.4999999999999982</v>
      </c>
    </row>
    <row r="980" spans="1:13" x14ac:dyDescent="0.25">
      <c r="A980" s="133">
        <v>45629</v>
      </c>
      <c r="B980" s="51" t="s">
        <v>19</v>
      </c>
      <c r="C980" s="135">
        <v>0.41666666666666669</v>
      </c>
      <c r="D980" s="135">
        <v>0.625</v>
      </c>
      <c r="E980" s="53">
        <f t="shared" si="130"/>
        <v>5</v>
      </c>
      <c r="H980" s="53">
        <f t="shared" si="131"/>
        <v>7</v>
      </c>
      <c r="M980" s="51">
        <f t="shared" si="132"/>
        <v>7</v>
      </c>
    </row>
    <row r="981" spans="1:13" x14ac:dyDescent="0.25">
      <c r="A981" s="133">
        <v>45629</v>
      </c>
      <c r="B981" s="51" t="s">
        <v>19</v>
      </c>
      <c r="C981" s="135">
        <v>0.41666666666666669</v>
      </c>
      <c r="D981" s="135">
        <v>0.625</v>
      </c>
      <c r="E981" s="53">
        <f t="shared" si="130"/>
        <v>5</v>
      </c>
      <c r="H981" s="53">
        <f t="shared" si="131"/>
        <v>7</v>
      </c>
      <c r="M981" s="51">
        <f t="shared" si="132"/>
        <v>7</v>
      </c>
    </row>
    <row r="982" spans="1:13" x14ac:dyDescent="0.25">
      <c r="A982" s="133">
        <v>45630</v>
      </c>
      <c r="B982" s="51" t="s">
        <v>19</v>
      </c>
      <c r="C982" s="135">
        <v>0.41666666666666669</v>
      </c>
      <c r="D982" s="135">
        <v>0.625</v>
      </c>
      <c r="E982" s="53">
        <f t="shared" si="130"/>
        <v>5</v>
      </c>
      <c r="H982" s="53">
        <f t="shared" si="131"/>
        <v>7</v>
      </c>
      <c r="M982" s="51">
        <f t="shared" si="132"/>
        <v>7</v>
      </c>
    </row>
    <row r="983" spans="1:13" x14ac:dyDescent="0.25">
      <c r="A983" s="133">
        <v>45630</v>
      </c>
      <c r="B983" s="51" t="s">
        <v>19</v>
      </c>
      <c r="C983" s="135">
        <v>0.41666666666666669</v>
      </c>
      <c r="D983" s="135">
        <v>0.625</v>
      </c>
      <c r="E983" s="53">
        <f t="shared" si="130"/>
        <v>5</v>
      </c>
      <c r="H983" s="53">
        <f t="shared" si="131"/>
        <v>7</v>
      </c>
      <c r="M983" s="51">
        <f t="shared" si="132"/>
        <v>7</v>
      </c>
    </row>
    <row r="984" spans="1:13" x14ac:dyDescent="0.25">
      <c r="A984" s="133">
        <v>45630</v>
      </c>
      <c r="B984" s="51" t="s">
        <v>19</v>
      </c>
      <c r="C984" s="135">
        <v>0.5</v>
      </c>
      <c r="D984" s="135">
        <v>0.70833333333333337</v>
      </c>
      <c r="E984" s="53">
        <f t="shared" si="130"/>
        <v>5.0000000000000009</v>
      </c>
      <c r="H984" s="53">
        <f t="shared" si="131"/>
        <v>7.0000000000000009</v>
      </c>
      <c r="M984" s="51">
        <f t="shared" si="132"/>
        <v>7.0000000000000009</v>
      </c>
    </row>
    <row r="985" spans="1:13" x14ac:dyDescent="0.25">
      <c r="A985" s="133">
        <v>45631</v>
      </c>
      <c r="B985" s="51" t="s">
        <v>19</v>
      </c>
      <c r="C985" s="135">
        <v>0.625</v>
      </c>
      <c r="D985" s="135">
        <v>0.97916666666666663</v>
      </c>
      <c r="E985" s="53">
        <f t="shared" si="130"/>
        <v>8</v>
      </c>
      <c r="F985" s="51">
        <v>0.5</v>
      </c>
      <c r="H985" s="53">
        <f t="shared" si="131"/>
        <v>10</v>
      </c>
      <c r="M985" s="51">
        <f t="shared" si="132"/>
        <v>10</v>
      </c>
    </row>
    <row r="986" spans="1:13" x14ac:dyDescent="0.25">
      <c r="A986" s="133">
        <v>45631</v>
      </c>
      <c r="B986" s="51" t="s">
        <v>19</v>
      </c>
      <c r="C986" s="147">
        <v>0.625</v>
      </c>
      <c r="D986" s="147">
        <v>0.97916666666666663</v>
      </c>
      <c r="E986" s="53">
        <f t="shared" si="130"/>
        <v>8</v>
      </c>
      <c r="F986" s="51">
        <v>0.5</v>
      </c>
      <c r="H986" s="53">
        <f t="shared" si="131"/>
        <v>10</v>
      </c>
      <c r="M986" s="51">
        <f t="shared" si="132"/>
        <v>10</v>
      </c>
    </row>
    <row r="987" spans="1:13" x14ac:dyDescent="0.25">
      <c r="A987" s="133">
        <v>45631</v>
      </c>
      <c r="B987" s="51" t="s">
        <v>19</v>
      </c>
      <c r="C987" s="147">
        <v>0.625</v>
      </c>
      <c r="D987" s="147">
        <v>0.97916666666666663</v>
      </c>
      <c r="E987" s="53">
        <f t="shared" si="130"/>
        <v>8</v>
      </c>
      <c r="F987" s="51">
        <v>0.5</v>
      </c>
      <c r="H987" s="53">
        <f t="shared" si="131"/>
        <v>10</v>
      </c>
      <c r="M987" s="51">
        <f t="shared" si="132"/>
        <v>10</v>
      </c>
    </row>
    <row r="988" spans="1:13" x14ac:dyDescent="0.25">
      <c r="A988" s="133">
        <v>45631</v>
      </c>
      <c r="B988" s="51" t="s">
        <v>19</v>
      </c>
      <c r="C988" s="147">
        <v>0.625</v>
      </c>
      <c r="D988" s="147">
        <v>0.97916666666666663</v>
      </c>
      <c r="E988" s="53">
        <f t="shared" si="130"/>
        <v>8</v>
      </c>
      <c r="F988" s="51">
        <v>0.5</v>
      </c>
      <c r="H988" s="53">
        <f t="shared" si="131"/>
        <v>10</v>
      </c>
      <c r="M988" s="51">
        <f t="shared" si="132"/>
        <v>10</v>
      </c>
    </row>
    <row r="989" spans="1:13" x14ac:dyDescent="0.25">
      <c r="A989" s="133">
        <v>45631</v>
      </c>
      <c r="B989" s="51" t="s">
        <v>19</v>
      </c>
      <c r="C989" s="147">
        <v>0.625</v>
      </c>
      <c r="D989" s="147">
        <v>0.97916666666666663</v>
      </c>
      <c r="E989" s="53">
        <f t="shared" si="130"/>
        <v>8</v>
      </c>
      <c r="F989" s="51">
        <v>0.5</v>
      </c>
      <c r="H989" s="53">
        <f t="shared" si="131"/>
        <v>10</v>
      </c>
      <c r="M989" s="51">
        <f t="shared" si="132"/>
        <v>10</v>
      </c>
    </row>
    <row r="990" spans="1:13" x14ac:dyDescent="0.25">
      <c r="A990" s="133">
        <v>45631</v>
      </c>
      <c r="B990" s="51" t="s">
        <v>19</v>
      </c>
      <c r="C990" s="147">
        <v>0.8125</v>
      </c>
      <c r="D990" s="147">
        <v>0.97916666666666663</v>
      </c>
      <c r="E990" s="53">
        <f t="shared" si="130"/>
        <v>3.9999999999999991</v>
      </c>
      <c r="H990" s="53">
        <f t="shared" si="131"/>
        <v>5.9999999999999991</v>
      </c>
      <c r="M990" s="51">
        <f t="shared" si="132"/>
        <v>5.9999999999999991</v>
      </c>
    </row>
    <row r="991" spans="1:13" x14ac:dyDescent="0.25">
      <c r="A991" s="133">
        <v>45631</v>
      </c>
      <c r="B991" s="51" t="s">
        <v>19</v>
      </c>
      <c r="C991" s="147">
        <v>0.8125</v>
      </c>
      <c r="D991" s="147">
        <v>0.97916666666666663</v>
      </c>
      <c r="E991" s="53">
        <f t="shared" si="130"/>
        <v>3.9999999999999991</v>
      </c>
      <c r="H991" s="53">
        <f t="shared" si="131"/>
        <v>5.9999999999999991</v>
      </c>
      <c r="M991" s="51">
        <f t="shared" si="132"/>
        <v>5.9999999999999991</v>
      </c>
    </row>
    <row r="992" spans="1:13" x14ac:dyDescent="0.25">
      <c r="A992" s="133">
        <v>45632</v>
      </c>
      <c r="B992" s="51" t="s">
        <v>19</v>
      </c>
      <c r="C992" s="135">
        <v>0.41666666666666669</v>
      </c>
      <c r="D992" s="135">
        <v>0.625</v>
      </c>
      <c r="E992" s="53">
        <f t="shared" si="130"/>
        <v>5</v>
      </c>
      <c r="H992" s="53">
        <f t="shared" si="131"/>
        <v>7</v>
      </c>
      <c r="M992" s="51">
        <f t="shared" si="132"/>
        <v>7</v>
      </c>
    </row>
    <row r="993" spans="1:13" x14ac:dyDescent="0.25">
      <c r="A993" s="133">
        <v>45632</v>
      </c>
      <c r="B993" s="51" t="s">
        <v>19</v>
      </c>
      <c r="C993" s="135">
        <v>0.41666666666666669</v>
      </c>
      <c r="D993" s="135">
        <v>0.625</v>
      </c>
      <c r="E993" s="53">
        <f t="shared" si="130"/>
        <v>5</v>
      </c>
      <c r="H993" s="53">
        <f t="shared" si="131"/>
        <v>7</v>
      </c>
      <c r="M993" s="51">
        <f t="shared" si="132"/>
        <v>7</v>
      </c>
    </row>
    <row r="994" spans="1:13" x14ac:dyDescent="0.25">
      <c r="A994" s="133">
        <v>45636</v>
      </c>
      <c r="B994" s="51" t="s">
        <v>19</v>
      </c>
      <c r="C994" s="135">
        <v>0.64583333333333337</v>
      </c>
      <c r="D994" s="135">
        <v>0.8125</v>
      </c>
      <c r="E994" s="53">
        <f t="shared" si="130"/>
        <v>3.9999999999999991</v>
      </c>
      <c r="H994" s="53">
        <f t="shared" si="131"/>
        <v>5.9999999999999991</v>
      </c>
      <c r="M994" s="51">
        <f t="shared" si="132"/>
        <v>5.9999999999999991</v>
      </c>
    </row>
    <row r="995" spans="1:13" x14ac:dyDescent="0.25">
      <c r="A995" s="133">
        <v>45637</v>
      </c>
      <c r="B995" s="51" t="s">
        <v>19</v>
      </c>
      <c r="C995" s="135">
        <v>0.41666666666666669</v>
      </c>
      <c r="D995" s="135">
        <v>0.58333333333333337</v>
      </c>
      <c r="E995" s="53">
        <f t="shared" si="130"/>
        <v>4</v>
      </c>
      <c r="H995" s="53">
        <f t="shared" si="131"/>
        <v>6</v>
      </c>
      <c r="M995" s="51">
        <f t="shared" si="132"/>
        <v>6</v>
      </c>
    </row>
    <row r="996" spans="1:13" x14ac:dyDescent="0.25">
      <c r="A996" s="133">
        <v>45637</v>
      </c>
      <c r="B996" s="51" t="s">
        <v>19</v>
      </c>
      <c r="C996" s="135">
        <v>0.41666666666666669</v>
      </c>
      <c r="D996" s="135">
        <v>0.58333333333333337</v>
      </c>
      <c r="E996" s="53">
        <f t="shared" si="130"/>
        <v>4</v>
      </c>
      <c r="H996" s="53">
        <f t="shared" si="131"/>
        <v>6</v>
      </c>
      <c r="M996" s="51">
        <f t="shared" si="132"/>
        <v>6</v>
      </c>
    </row>
    <row r="997" spans="1:13" x14ac:dyDescent="0.25">
      <c r="A997" s="133">
        <v>45637</v>
      </c>
      <c r="B997" s="51" t="s">
        <v>19</v>
      </c>
      <c r="C997" s="135">
        <v>0.41666666666666669</v>
      </c>
      <c r="D997" s="135">
        <v>0.58333333333333337</v>
      </c>
      <c r="E997" s="53">
        <f t="shared" si="130"/>
        <v>4</v>
      </c>
      <c r="H997" s="53">
        <f t="shared" si="131"/>
        <v>6</v>
      </c>
      <c r="M997" s="51">
        <f t="shared" si="132"/>
        <v>6</v>
      </c>
    </row>
  </sheetData>
  <autoFilter ref="A1:G997" xr:uid="{D74B753B-3C7B-4CB2-92D2-E23E4EC519C7}"/>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EBCD5-2395-49B6-B7EF-000FACCE865C}">
  <sheetPr>
    <tabColor theme="3" tint="0.59999389629810485"/>
  </sheetPr>
  <dimension ref="A1:P81"/>
  <sheetViews>
    <sheetView topLeftCell="A30" zoomScale="85" zoomScaleNormal="85" workbookViewId="0">
      <selection activeCell="A2" sqref="A1:B1048576"/>
    </sheetView>
  </sheetViews>
  <sheetFormatPr defaultRowHeight="15" x14ac:dyDescent="0.25"/>
  <cols>
    <col min="1" max="1" width="15.5703125" customWidth="1"/>
    <col min="2" max="2" width="28" bestFit="1" customWidth="1"/>
    <col min="3" max="3" width="16.7109375" customWidth="1"/>
    <col min="4" max="4" width="13.85546875" bestFit="1" customWidth="1"/>
    <col min="5" max="5" width="16.42578125" customWidth="1"/>
    <col min="6" max="6" width="16.85546875" customWidth="1"/>
    <col min="7" max="7" width="13.7109375" bestFit="1" customWidth="1"/>
    <col min="8" max="8" width="13.5703125" customWidth="1"/>
    <col min="9" max="9" width="12.85546875" bestFit="1" customWidth="1"/>
    <col min="10" max="10" width="11" customWidth="1"/>
    <col min="11" max="11" width="12.5703125" bestFit="1" customWidth="1"/>
    <col min="12" max="12" width="13.140625" customWidth="1"/>
    <col min="13" max="13" width="12.5703125" customWidth="1"/>
    <col min="14" max="14" width="29.85546875" bestFit="1" customWidth="1"/>
    <col min="15" max="15" width="20.42578125" bestFit="1" customWidth="1"/>
    <col min="16" max="16" width="12.5703125" bestFit="1" customWidth="1"/>
    <col min="17" max="17" width="13.85546875" bestFit="1" customWidth="1"/>
    <col min="18" max="18" width="11.7109375" bestFit="1" customWidth="1"/>
    <col min="19" max="28" width="6.5703125" bestFit="1" customWidth="1"/>
    <col min="29" max="37" width="6" bestFit="1" customWidth="1"/>
    <col min="38" max="57" width="7" bestFit="1" customWidth="1"/>
    <col min="58" max="66" width="6.28515625" bestFit="1" customWidth="1"/>
    <col min="67" max="87" width="7.28515625" bestFit="1" customWidth="1"/>
    <col min="88" max="95" width="5.85546875" bestFit="1" customWidth="1"/>
    <col min="96" max="115" width="6.85546875" bestFit="1" customWidth="1"/>
    <col min="116" max="123" width="6.5703125" bestFit="1" customWidth="1"/>
    <col min="124" max="145" width="7.5703125" bestFit="1" customWidth="1"/>
    <col min="146" max="154" width="5.7109375" bestFit="1" customWidth="1"/>
    <col min="155" max="174" width="6.7109375" bestFit="1" customWidth="1"/>
    <col min="175" max="177" width="5.5703125" bestFit="1" customWidth="1"/>
    <col min="178" max="178" width="6.5703125" bestFit="1" customWidth="1"/>
    <col min="179" max="180" width="5.5703125" bestFit="1" customWidth="1"/>
    <col min="181" max="181" width="5.140625" bestFit="1" customWidth="1"/>
    <col min="182" max="182" width="5.5703125" bestFit="1" customWidth="1"/>
    <col min="183" max="183" width="5.140625" bestFit="1" customWidth="1"/>
    <col min="184" max="214" width="6.140625" bestFit="1" customWidth="1"/>
    <col min="215" max="235" width="7.140625" bestFit="1" customWidth="1"/>
    <col min="236" max="242" width="6" bestFit="1" customWidth="1"/>
    <col min="243" max="263" width="7" bestFit="1" customWidth="1"/>
    <col min="264" max="272" width="5.7109375" bestFit="1" customWidth="1"/>
    <col min="273" max="294" width="6.7109375" bestFit="1" customWidth="1"/>
    <col min="295" max="303" width="6.28515625" bestFit="1" customWidth="1"/>
    <col min="304" max="322" width="7.28515625" bestFit="1" customWidth="1"/>
    <col min="323" max="331" width="6" bestFit="1" customWidth="1"/>
    <col min="332" max="343" width="7" bestFit="1" customWidth="1"/>
    <col min="344" max="344" width="11.28515625" bestFit="1" customWidth="1"/>
  </cols>
  <sheetData>
    <row r="1" spans="1:16" ht="15.75" x14ac:dyDescent="0.25">
      <c r="A1" s="182" t="s">
        <v>316</v>
      </c>
      <c r="B1" s="183"/>
      <c r="C1" s="183"/>
      <c r="D1" s="183"/>
      <c r="E1" s="183"/>
      <c r="F1" s="184"/>
      <c r="L1" s="72"/>
      <c r="N1" s="185" t="s">
        <v>357</v>
      </c>
      <c r="O1" s="185"/>
    </row>
    <row r="2" spans="1:16" x14ac:dyDescent="0.25">
      <c r="A2" s="82" t="s">
        <v>15</v>
      </c>
      <c r="B2" s="82" t="s">
        <v>16</v>
      </c>
      <c r="C2" s="82" t="s">
        <v>17</v>
      </c>
      <c r="D2" s="82" t="s">
        <v>18</v>
      </c>
      <c r="E2" s="82" t="s">
        <v>20</v>
      </c>
      <c r="F2" s="82" t="s">
        <v>19</v>
      </c>
      <c r="N2" s="84" t="s">
        <v>22</v>
      </c>
      <c r="O2" s="84" t="s">
        <v>23</v>
      </c>
    </row>
    <row r="3" spans="1:16" ht="15.75" x14ac:dyDescent="0.25">
      <c r="A3" s="57" t="s">
        <v>21</v>
      </c>
      <c r="B3" s="57">
        <f>SUM(C3:F3)</f>
        <v>333</v>
      </c>
      <c r="C3" s="11">
        <v>181.25</v>
      </c>
      <c r="D3" s="11">
        <v>119.75</v>
      </c>
      <c r="E3" s="11">
        <v>9</v>
      </c>
      <c r="F3" s="11">
        <v>23</v>
      </c>
      <c r="N3" s="92" t="s">
        <v>358</v>
      </c>
      <c r="O3" s="93">
        <f>B15</f>
        <v>5520</v>
      </c>
    </row>
    <row r="4" spans="1:16" ht="15.75" x14ac:dyDescent="0.25">
      <c r="A4" s="57" t="s">
        <v>24</v>
      </c>
      <c r="B4" s="57">
        <f t="shared" ref="B4:B14" si="0">SUM(C4:F4)</f>
        <v>392.25</v>
      </c>
      <c r="C4" s="11">
        <v>203.25</v>
      </c>
      <c r="D4" s="11">
        <v>100.5</v>
      </c>
      <c r="E4" s="11">
        <v>0</v>
      </c>
      <c r="F4" s="11">
        <v>88.5</v>
      </c>
      <c r="N4" s="92" t="s">
        <v>27</v>
      </c>
      <c r="O4" s="93">
        <f>C15</f>
        <v>2516.75</v>
      </c>
    </row>
    <row r="5" spans="1:16" ht="15.75" x14ac:dyDescent="0.25">
      <c r="A5" s="57" t="s">
        <v>26</v>
      </c>
      <c r="B5" s="57">
        <f t="shared" si="0"/>
        <v>464.5</v>
      </c>
      <c r="C5" s="11">
        <v>188</v>
      </c>
      <c r="D5" s="11">
        <v>174</v>
      </c>
      <c r="E5" s="11">
        <v>13.5</v>
      </c>
      <c r="F5" s="11">
        <v>89</v>
      </c>
      <c r="N5" s="92" t="s">
        <v>29</v>
      </c>
      <c r="O5" s="93">
        <f>D15</f>
        <v>1704.25</v>
      </c>
    </row>
    <row r="6" spans="1:16" ht="15.75" x14ac:dyDescent="0.25">
      <c r="A6" s="57" t="s">
        <v>28</v>
      </c>
      <c r="B6" s="57">
        <f t="shared" si="0"/>
        <v>337.5</v>
      </c>
      <c r="C6" s="11">
        <v>178</v>
      </c>
      <c r="D6" s="11">
        <v>134.5</v>
      </c>
      <c r="E6" s="11">
        <v>0</v>
      </c>
      <c r="F6" s="11">
        <v>25</v>
      </c>
      <c r="N6" s="92" t="s">
        <v>32</v>
      </c>
      <c r="O6" s="97">
        <f>E15</f>
        <v>64.5</v>
      </c>
    </row>
    <row r="7" spans="1:16" ht="15.75" x14ac:dyDescent="0.25">
      <c r="A7" s="57" t="s">
        <v>6</v>
      </c>
      <c r="B7" s="57">
        <f t="shared" si="0"/>
        <v>374</v>
      </c>
      <c r="C7" s="11">
        <v>193</v>
      </c>
      <c r="D7" s="11">
        <v>76.5</v>
      </c>
      <c r="E7" s="11">
        <v>19.999999999999996</v>
      </c>
      <c r="F7" s="11">
        <v>84.5</v>
      </c>
      <c r="N7" s="96" t="s">
        <v>30</v>
      </c>
      <c r="O7" s="93">
        <f>F15</f>
        <v>1234.5</v>
      </c>
      <c r="P7" s="95"/>
    </row>
    <row r="8" spans="1:16" ht="15.75" x14ac:dyDescent="0.25">
      <c r="A8" s="57" t="s">
        <v>31</v>
      </c>
      <c r="B8" s="57">
        <f t="shared" si="0"/>
        <v>600.5</v>
      </c>
      <c r="C8" s="11">
        <v>284.5</v>
      </c>
      <c r="D8" s="11">
        <v>218</v>
      </c>
      <c r="E8" s="11">
        <v>0</v>
      </c>
      <c r="F8" s="11">
        <v>98</v>
      </c>
      <c r="N8" s="92" t="s">
        <v>36</v>
      </c>
      <c r="O8" s="98">
        <f>O3/12</f>
        <v>460</v>
      </c>
    </row>
    <row r="9" spans="1:16" ht="15.75" x14ac:dyDescent="0.25">
      <c r="A9" s="57" t="s">
        <v>33</v>
      </c>
      <c r="B9" s="57">
        <f t="shared" si="0"/>
        <v>685.75</v>
      </c>
      <c r="C9" s="11">
        <v>221.75</v>
      </c>
      <c r="D9" s="11">
        <v>146.5</v>
      </c>
      <c r="E9" s="11">
        <v>0</v>
      </c>
      <c r="F9" s="11">
        <v>317.5</v>
      </c>
      <c r="N9" s="92" t="s">
        <v>73</v>
      </c>
      <c r="O9" s="93" t="s">
        <v>33</v>
      </c>
    </row>
    <row r="10" spans="1:16" ht="15.75" x14ac:dyDescent="0.25">
      <c r="A10" s="57" t="s">
        <v>35</v>
      </c>
      <c r="B10" s="57">
        <f t="shared" si="0"/>
        <v>513</v>
      </c>
      <c r="C10" s="11">
        <v>236.5</v>
      </c>
      <c r="D10" s="11">
        <v>128.5</v>
      </c>
      <c r="E10" s="11">
        <v>9.5</v>
      </c>
      <c r="F10" s="11">
        <v>138.5</v>
      </c>
      <c r="N10" s="92" t="s">
        <v>40</v>
      </c>
      <c r="O10" s="93">
        <v>685.75</v>
      </c>
    </row>
    <row r="11" spans="1:16" ht="15.75" x14ac:dyDescent="0.25">
      <c r="A11" s="57" t="s">
        <v>37</v>
      </c>
      <c r="B11" s="57">
        <f t="shared" si="0"/>
        <v>378</v>
      </c>
      <c r="C11" s="11">
        <v>209.5</v>
      </c>
      <c r="D11" s="11">
        <v>161</v>
      </c>
      <c r="E11" s="11">
        <v>7.5</v>
      </c>
      <c r="F11" s="11">
        <v>0</v>
      </c>
      <c r="N11" s="92" t="s">
        <v>75</v>
      </c>
      <c r="O11" s="93" t="s">
        <v>21</v>
      </c>
    </row>
    <row r="12" spans="1:16" ht="15.75" x14ac:dyDescent="0.25">
      <c r="A12" s="57" t="s">
        <v>39</v>
      </c>
      <c r="B12" s="57">
        <f t="shared" si="0"/>
        <v>571.5</v>
      </c>
      <c r="C12" s="11">
        <v>253.5</v>
      </c>
      <c r="D12" s="11">
        <v>133</v>
      </c>
      <c r="E12" s="11">
        <v>0</v>
      </c>
      <c r="F12" s="11">
        <v>185</v>
      </c>
      <c r="N12" s="92" t="s">
        <v>42</v>
      </c>
      <c r="O12" s="93">
        <v>333</v>
      </c>
    </row>
    <row r="13" spans="1:16" ht="15.75" x14ac:dyDescent="0.25">
      <c r="A13" s="57" t="s">
        <v>41</v>
      </c>
      <c r="B13" s="57">
        <f t="shared" si="0"/>
        <v>491.5</v>
      </c>
      <c r="C13" s="11">
        <v>201</v>
      </c>
      <c r="D13" s="11">
        <v>215.5</v>
      </c>
      <c r="E13" s="11">
        <v>4.9999999999999991</v>
      </c>
      <c r="F13" s="11">
        <v>70</v>
      </c>
      <c r="N13" s="92" t="s">
        <v>34</v>
      </c>
      <c r="O13" s="94">
        <f>20*980</f>
        <v>19600</v>
      </c>
    </row>
    <row r="14" spans="1:16" ht="15.75" x14ac:dyDescent="0.25">
      <c r="A14" s="57" t="s">
        <v>43</v>
      </c>
      <c r="B14" s="57">
        <f t="shared" si="0"/>
        <v>378.5</v>
      </c>
      <c r="C14" s="16">
        <v>166.5</v>
      </c>
      <c r="D14" s="16">
        <v>96.5</v>
      </c>
      <c r="E14" s="16">
        <v>0</v>
      </c>
      <c r="F14" s="16">
        <v>115.5</v>
      </c>
      <c r="N14" s="92" t="s">
        <v>38</v>
      </c>
      <c r="O14" s="94">
        <f>O13/12</f>
        <v>1633.3333333333333</v>
      </c>
    </row>
    <row r="15" spans="1:16" x14ac:dyDescent="0.25">
      <c r="A15" s="59" t="s">
        <v>14</v>
      </c>
      <c r="B15" s="59">
        <f>SUM(B3:B14)</f>
        <v>5520</v>
      </c>
      <c r="C15" s="59">
        <f>SUM(C3:C14)</f>
        <v>2516.75</v>
      </c>
      <c r="D15" s="59">
        <f t="shared" ref="D15" si="1">SUM(D3:D14)</f>
        <v>1704.25</v>
      </c>
      <c r="E15" s="59">
        <f t="shared" ref="E15" si="2">SUM(E3:E14)</f>
        <v>64.5</v>
      </c>
      <c r="F15" s="59">
        <f t="shared" ref="F15" si="3">SUM(F3:F14)</f>
        <v>1234.5</v>
      </c>
    </row>
    <row r="16" spans="1:16" x14ac:dyDescent="0.25">
      <c r="O16" t="s">
        <v>318</v>
      </c>
    </row>
    <row r="17" spans="10:16" x14ac:dyDescent="0.25">
      <c r="O17" t="s">
        <v>313</v>
      </c>
      <c r="P17" t="s">
        <v>314</v>
      </c>
    </row>
    <row r="18" spans="10:16" x14ac:dyDescent="0.25">
      <c r="P18" t="s">
        <v>315</v>
      </c>
    </row>
    <row r="23" spans="10:16" x14ac:dyDescent="0.25">
      <c r="J23" t="s">
        <v>317</v>
      </c>
    </row>
    <row r="41" spans="2:16" ht="15.75" x14ac:dyDescent="0.25">
      <c r="B41" s="185" t="s">
        <v>354</v>
      </c>
      <c r="C41" s="185"/>
      <c r="E41" s="185" t="s">
        <v>354</v>
      </c>
      <c r="F41" s="185"/>
      <c r="K41" s="185" t="s">
        <v>364</v>
      </c>
      <c r="L41" s="185"/>
      <c r="M41" s="185"/>
      <c r="N41" s="185"/>
      <c r="O41" s="185"/>
      <c r="P41" s="185"/>
    </row>
    <row r="42" spans="2:16" x14ac:dyDescent="0.25">
      <c r="B42" s="84" t="s">
        <v>355</v>
      </c>
      <c r="C42" s="90" t="s">
        <v>319</v>
      </c>
      <c r="E42" s="84" t="s">
        <v>356</v>
      </c>
      <c r="F42" s="90">
        <v>33.36</v>
      </c>
      <c r="K42" s="91"/>
      <c r="L42" s="90" t="s">
        <v>359</v>
      </c>
      <c r="M42" s="84" t="s">
        <v>360</v>
      </c>
      <c r="N42" s="84" t="s">
        <v>361</v>
      </c>
      <c r="O42" s="84" t="s">
        <v>363</v>
      </c>
      <c r="P42" s="84" t="s">
        <v>362</v>
      </c>
    </row>
    <row r="43" spans="2:16" ht="15.75" x14ac:dyDescent="0.25">
      <c r="B43" s="52" t="s">
        <v>320</v>
      </c>
      <c r="C43" s="51">
        <v>239.5</v>
      </c>
      <c r="K43" s="86" t="s">
        <v>17</v>
      </c>
      <c r="L43" s="85">
        <v>23.5</v>
      </c>
      <c r="M43" s="51">
        <v>123</v>
      </c>
      <c r="N43" s="51">
        <v>433.25</v>
      </c>
      <c r="O43" s="51">
        <v>1933</v>
      </c>
      <c r="P43" s="51">
        <v>3.9999999999999991</v>
      </c>
    </row>
    <row r="44" spans="2:16" ht="15.75" x14ac:dyDescent="0.25">
      <c r="B44" s="52" t="s">
        <v>350</v>
      </c>
      <c r="C44" s="51">
        <v>152</v>
      </c>
      <c r="K44" s="86" t="s">
        <v>18</v>
      </c>
      <c r="L44" s="85">
        <v>242</v>
      </c>
      <c r="M44" s="51">
        <v>138.5</v>
      </c>
      <c r="N44" s="51">
        <v>653.5</v>
      </c>
      <c r="O44" s="51">
        <v>637.25</v>
      </c>
      <c r="P44" s="51">
        <v>4</v>
      </c>
    </row>
    <row r="45" spans="2:16" ht="15.75" x14ac:dyDescent="0.25">
      <c r="B45" s="52" t="s">
        <v>341</v>
      </c>
      <c r="C45" s="51">
        <v>111.5</v>
      </c>
      <c r="K45" s="86" t="s">
        <v>20</v>
      </c>
      <c r="L45" s="85">
        <v>7.5</v>
      </c>
      <c r="M45" s="51"/>
      <c r="N45" s="51">
        <v>53</v>
      </c>
      <c r="O45" s="51">
        <v>4</v>
      </c>
      <c r="P45" s="51"/>
    </row>
    <row r="46" spans="2:16" x14ac:dyDescent="0.25">
      <c r="B46" s="52" t="s">
        <v>332</v>
      </c>
      <c r="C46" s="51">
        <v>92.5</v>
      </c>
    </row>
    <row r="47" spans="2:16" x14ac:dyDescent="0.25">
      <c r="B47" s="52" t="s">
        <v>328</v>
      </c>
      <c r="C47" s="51">
        <v>66.5</v>
      </c>
    </row>
    <row r="48" spans="2:16" x14ac:dyDescent="0.25">
      <c r="B48" s="52" t="s">
        <v>336</v>
      </c>
      <c r="C48" s="51">
        <v>57</v>
      </c>
    </row>
    <row r="49" spans="2:3" x14ac:dyDescent="0.25">
      <c r="B49" s="52" t="s">
        <v>331</v>
      </c>
      <c r="C49" s="51">
        <v>53.5</v>
      </c>
    </row>
    <row r="50" spans="2:3" x14ac:dyDescent="0.25">
      <c r="B50" s="52" t="s">
        <v>327</v>
      </c>
      <c r="C50" s="51">
        <v>43</v>
      </c>
    </row>
    <row r="51" spans="2:3" x14ac:dyDescent="0.25">
      <c r="B51" s="52" t="s">
        <v>266</v>
      </c>
      <c r="C51" s="51">
        <v>41</v>
      </c>
    </row>
    <row r="52" spans="2:3" x14ac:dyDescent="0.25">
      <c r="B52" s="52" t="s">
        <v>337</v>
      </c>
      <c r="C52" s="51">
        <v>40</v>
      </c>
    </row>
    <row r="53" spans="2:3" x14ac:dyDescent="0.25">
      <c r="B53" s="52" t="s">
        <v>326</v>
      </c>
      <c r="C53" s="51">
        <v>34</v>
      </c>
    </row>
    <row r="54" spans="2:3" x14ac:dyDescent="0.25">
      <c r="B54" s="52" t="s">
        <v>347</v>
      </c>
      <c r="C54" s="51">
        <v>32.5</v>
      </c>
    </row>
    <row r="55" spans="2:3" x14ac:dyDescent="0.25">
      <c r="B55" s="52" t="s">
        <v>329</v>
      </c>
      <c r="C55" s="51">
        <v>29</v>
      </c>
    </row>
    <row r="56" spans="2:3" x14ac:dyDescent="0.25">
      <c r="B56" s="52" t="s">
        <v>321</v>
      </c>
      <c r="C56" s="51">
        <v>26</v>
      </c>
    </row>
    <row r="57" spans="2:3" x14ac:dyDescent="0.25">
      <c r="B57" s="52" t="s">
        <v>340</v>
      </c>
      <c r="C57" s="51">
        <v>25</v>
      </c>
    </row>
    <row r="58" spans="2:3" x14ac:dyDescent="0.25">
      <c r="B58" s="52" t="s">
        <v>323</v>
      </c>
      <c r="C58" s="51">
        <v>24</v>
      </c>
    </row>
    <row r="59" spans="2:3" x14ac:dyDescent="0.25">
      <c r="B59" s="52" t="s">
        <v>334</v>
      </c>
      <c r="C59" s="51">
        <v>20</v>
      </c>
    </row>
    <row r="60" spans="2:3" x14ac:dyDescent="0.25">
      <c r="B60" s="52" t="s">
        <v>351</v>
      </c>
      <c r="C60" s="51">
        <v>16.5</v>
      </c>
    </row>
    <row r="61" spans="2:3" x14ac:dyDescent="0.25">
      <c r="B61" s="52" t="s">
        <v>333</v>
      </c>
      <c r="C61" s="51">
        <v>14.5</v>
      </c>
    </row>
    <row r="62" spans="2:3" x14ac:dyDescent="0.25">
      <c r="B62" s="52" t="s">
        <v>325</v>
      </c>
      <c r="C62" s="51">
        <v>13.5</v>
      </c>
    </row>
    <row r="63" spans="2:3" x14ac:dyDescent="0.25">
      <c r="B63" s="52" t="s">
        <v>338</v>
      </c>
      <c r="C63" s="51">
        <v>12</v>
      </c>
    </row>
    <row r="64" spans="2:3" x14ac:dyDescent="0.25">
      <c r="B64" s="52" t="s">
        <v>339</v>
      </c>
      <c r="C64" s="51">
        <v>11</v>
      </c>
    </row>
    <row r="65" spans="2:6" x14ac:dyDescent="0.25">
      <c r="B65" s="52" t="s">
        <v>342</v>
      </c>
      <c r="C65" s="51">
        <v>10</v>
      </c>
    </row>
    <row r="66" spans="2:6" x14ac:dyDescent="0.25">
      <c r="B66" s="52" t="s">
        <v>343</v>
      </c>
      <c r="C66" s="51">
        <v>10</v>
      </c>
    </row>
    <row r="67" spans="2:6" x14ac:dyDescent="0.25">
      <c r="B67" s="52" t="s">
        <v>330</v>
      </c>
      <c r="C67" s="51">
        <v>9</v>
      </c>
    </row>
    <row r="68" spans="2:6" x14ac:dyDescent="0.25">
      <c r="B68" s="52" t="s">
        <v>324</v>
      </c>
      <c r="C68" s="51">
        <v>9</v>
      </c>
    </row>
    <row r="69" spans="2:6" x14ac:dyDescent="0.25">
      <c r="B69" s="52" t="s">
        <v>119</v>
      </c>
      <c r="C69" s="51">
        <v>8</v>
      </c>
    </row>
    <row r="70" spans="2:6" x14ac:dyDescent="0.25">
      <c r="B70" s="52" t="s">
        <v>344</v>
      </c>
      <c r="C70" s="51">
        <v>8</v>
      </c>
    </row>
    <row r="71" spans="2:6" x14ac:dyDescent="0.25">
      <c r="B71" s="52" t="s">
        <v>141</v>
      </c>
      <c r="C71" s="51">
        <v>6</v>
      </c>
    </row>
    <row r="72" spans="2:6" x14ac:dyDescent="0.25">
      <c r="B72" s="52" t="s">
        <v>146</v>
      </c>
      <c r="C72" s="51">
        <v>5.5</v>
      </c>
    </row>
    <row r="73" spans="2:6" x14ac:dyDescent="0.25">
      <c r="B73" s="52" t="s">
        <v>147</v>
      </c>
      <c r="C73" s="51">
        <v>4</v>
      </c>
    </row>
    <row r="74" spans="2:6" x14ac:dyDescent="0.25">
      <c r="B74" s="52" t="s">
        <v>293</v>
      </c>
      <c r="C74" s="51">
        <v>4</v>
      </c>
    </row>
    <row r="75" spans="2:6" x14ac:dyDescent="0.25">
      <c r="B75" s="52" t="s">
        <v>176</v>
      </c>
      <c r="C75" s="51">
        <v>3.5</v>
      </c>
    </row>
    <row r="76" spans="2:6" x14ac:dyDescent="0.25">
      <c r="B76" s="52" t="s">
        <v>383</v>
      </c>
      <c r="C76" s="51">
        <v>3</v>
      </c>
    </row>
    <row r="77" spans="2:6" x14ac:dyDescent="0.25">
      <c r="B77" s="112" t="s">
        <v>384</v>
      </c>
      <c r="C77" s="113">
        <f>AVERAGE(C43:C76)</f>
        <v>36.308823529411768</v>
      </c>
    </row>
    <row r="79" spans="2:6" ht="15.75" x14ac:dyDescent="0.25">
      <c r="B79" s="117" t="s">
        <v>396</v>
      </c>
      <c r="C79" s="118"/>
      <c r="D79" s="118"/>
      <c r="E79" s="118"/>
      <c r="F79" s="119"/>
    </row>
    <row r="80" spans="2:6" x14ac:dyDescent="0.25">
      <c r="B80" s="120" t="s">
        <v>388</v>
      </c>
      <c r="C80" s="120" t="s">
        <v>389</v>
      </c>
      <c r="D80" s="120" t="s">
        <v>390</v>
      </c>
      <c r="E80" s="120" t="s">
        <v>397</v>
      </c>
      <c r="F80" s="84" t="s">
        <v>398</v>
      </c>
    </row>
    <row r="81" spans="2:6" x14ac:dyDescent="0.25">
      <c r="B81" s="114" t="s">
        <v>14</v>
      </c>
      <c r="C81" s="114">
        <v>115920</v>
      </c>
      <c r="D81" s="114">
        <v>141897</v>
      </c>
      <c r="E81" s="114">
        <v>25977</v>
      </c>
      <c r="F81">
        <v>0.22409420289855073</v>
      </c>
    </row>
  </sheetData>
  <mergeCells count="5">
    <mergeCell ref="B41:C41"/>
    <mergeCell ref="E41:F41"/>
    <mergeCell ref="A1:F1"/>
    <mergeCell ref="N1:O1"/>
    <mergeCell ref="K41:P41"/>
  </mergeCells>
  <conditionalFormatting sqref="B3:B14">
    <cfRule type="colorScale" priority="16">
      <colorScale>
        <cfvo type="min"/>
        <cfvo type="percentile" val="50"/>
        <cfvo type="max"/>
        <color rgb="FFF8696B"/>
        <color rgb="FFFFEB84"/>
        <color rgb="FF63BE7B"/>
      </colorScale>
    </cfRule>
  </conditionalFormatting>
  <conditionalFormatting sqref="C43:C76">
    <cfRule type="aboveAverage" dxfId="3" priority="1" aboveAverage="0"/>
    <cfRule type="aboveAverage" dxfId="2" priority="2"/>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DCBB0-ABF2-480E-A9BD-CEC227446F63}">
  <dimension ref="A1:E35"/>
  <sheetViews>
    <sheetView topLeftCell="A6" workbookViewId="0">
      <selection activeCell="A36" sqref="A36"/>
    </sheetView>
  </sheetViews>
  <sheetFormatPr defaultRowHeight="15" x14ac:dyDescent="0.25"/>
  <cols>
    <col min="1" max="1" width="31" bestFit="1" customWidth="1"/>
    <col min="4" max="4" width="52" bestFit="1" customWidth="1"/>
  </cols>
  <sheetData>
    <row r="1" spans="1:5" x14ac:dyDescent="0.25">
      <c r="A1" t="s">
        <v>59</v>
      </c>
    </row>
    <row r="2" spans="1:5" ht="18" x14ac:dyDescent="0.3">
      <c r="A2" t="s">
        <v>60</v>
      </c>
      <c r="D2" s="80" t="s">
        <v>61</v>
      </c>
    </row>
    <row r="3" spans="1:5" x14ac:dyDescent="0.25">
      <c r="A3" t="s">
        <v>62</v>
      </c>
      <c r="D3" s="3" t="s">
        <v>22</v>
      </c>
      <c r="E3" s="3" t="s">
        <v>23</v>
      </c>
    </row>
    <row r="4" spans="1:5" x14ac:dyDescent="0.25">
      <c r="A4" t="s">
        <v>63</v>
      </c>
      <c r="D4" s="3" t="s">
        <v>64</v>
      </c>
      <c r="E4" t="s">
        <v>65</v>
      </c>
    </row>
    <row r="5" spans="1:5" x14ac:dyDescent="0.25">
      <c r="D5" s="3" t="s">
        <v>66</v>
      </c>
      <c r="E5" t="s">
        <v>67</v>
      </c>
    </row>
    <row r="6" spans="1:5" x14ac:dyDescent="0.25">
      <c r="A6" t="s">
        <v>68</v>
      </c>
      <c r="D6" s="3" t="s">
        <v>69</v>
      </c>
      <c r="E6" s="81" t="s">
        <v>70</v>
      </c>
    </row>
    <row r="7" spans="1:5" x14ac:dyDescent="0.25">
      <c r="D7" s="3" t="s">
        <v>36</v>
      </c>
      <c r="E7" t="s">
        <v>71</v>
      </c>
    </row>
    <row r="8" spans="1:5" x14ac:dyDescent="0.25">
      <c r="A8" t="s">
        <v>72</v>
      </c>
      <c r="D8" s="3" t="s">
        <v>73</v>
      </c>
      <c r="E8" t="s">
        <v>74</v>
      </c>
    </row>
    <row r="9" spans="1:5" x14ac:dyDescent="0.25">
      <c r="D9" s="3" t="s">
        <v>75</v>
      </c>
      <c r="E9" t="s">
        <v>74</v>
      </c>
    </row>
    <row r="10" spans="1:5" x14ac:dyDescent="0.25">
      <c r="A10" t="s">
        <v>76</v>
      </c>
    </row>
    <row r="12" spans="1:5" x14ac:dyDescent="0.25">
      <c r="A12" t="s">
        <v>77</v>
      </c>
    </row>
    <row r="13" spans="1:5" x14ac:dyDescent="0.25">
      <c r="A13" t="e" cm="1">
        <f t="array" ref="A13">- summarize</f>
        <v>#NAME?</v>
      </c>
    </row>
    <row r="14" spans="1:5" x14ac:dyDescent="0.25">
      <c r="A14" t="s">
        <v>78</v>
      </c>
    </row>
    <row r="15" spans="1:5" x14ac:dyDescent="0.25">
      <c r="A15" t="s">
        <v>78</v>
      </c>
    </row>
    <row r="17" spans="1:1" x14ac:dyDescent="0.25">
      <c r="A17" t="s">
        <v>79</v>
      </c>
    </row>
    <row r="19" spans="1:1" x14ac:dyDescent="0.25">
      <c r="A19" t="s">
        <v>80</v>
      </c>
    </row>
    <row r="21" spans="1:1" x14ac:dyDescent="0.25">
      <c r="A21" t="s">
        <v>81</v>
      </c>
    </row>
    <row r="22" spans="1:1" x14ac:dyDescent="0.25">
      <c r="A22" t="s">
        <v>82</v>
      </c>
    </row>
    <row r="25" spans="1:1" x14ac:dyDescent="0.25">
      <c r="A25" t="s">
        <v>370</v>
      </c>
    </row>
    <row r="26" spans="1:1" x14ac:dyDescent="0.25">
      <c r="A26" t="s">
        <v>371</v>
      </c>
    </row>
    <row r="27" spans="1:1" x14ac:dyDescent="0.25">
      <c r="A27" t="s">
        <v>372</v>
      </c>
    </row>
    <row r="28" spans="1:1" x14ac:dyDescent="0.25">
      <c r="A28" t="s">
        <v>373</v>
      </c>
    </row>
    <row r="29" spans="1:1" x14ac:dyDescent="0.25">
      <c r="A29" t="s">
        <v>374</v>
      </c>
    </row>
    <row r="31" spans="1:1" x14ac:dyDescent="0.25">
      <c r="A31" t="s">
        <v>375</v>
      </c>
    </row>
    <row r="33" spans="1:1" x14ac:dyDescent="0.25">
      <c r="A33" t="s">
        <v>402</v>
      </c>
    </row>
    <row r="35" spans="1:1" x14ac:dyDescent="0.25">
      <c r="A35" t="s">
        <v>403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45F15-9E18-47CC-81B3-AFBFB2101620}">
  <sheetPr>
    <tabColor theme="3" tint="0.59999389629810485"/>
  </sheetPr>
  <dimension ref="A2:B15"/>
  <sheetViews>
    <sheetView workbookViewId="0">
      <selection activeCell="A3" sqref="A3"/>
    </sheetView>
  </sheetViews>
  <sheetFormatPr defaultRowHeight="15" x14ac:dyDescent="0.25"/>
  <cols>
    <col min="1" max="1" width="13.140625" bestFit="1" customWidth="1"/>
    <col min="2" max="2" width="20.5703125" bestFit="1" customWidth="1"/>
    <col min="3" max="3" width="25.7109375" bestFit="1" customWidth="1"/>
    <col min="4" max="4" width="10" bestFit="1" customWidth="1"/>
    <col min="5" max="5" width="12.7109375" bestFit="1" customWidth="1"/>
    <col min="6" max="7" width="12.140625" bestFit="1" customWidth="1"/>
    <col min="8" max="8" width="19.140625" bestFit="1" customWidth="1"/>
    <col min="9" max="9" width="12.85546875" bestFit="1" customWidth="1"/>
    <col min="10" max="10" width="19.28515625" bestFit="1" customWidth="1"/>
    <col min="11" max="11" width="11.5703125" bestFit="1" customWidth="1"/>
    <col min="12" max="12" width="12" bestFit="1" customWidth="1"/>
    <col min="13" max="13" width="11.42578125" bestFit="1" customWidth="1"/>
    <col min="14" max="14" width="13.42578125" bestFit="1" customWidth="1"/>
    <col min="15" max="15" width="20.42578125" bestFit="1" customWidth="1"/>
    <col min="16" max="16" width="12.5703125" bestFit="1" customWidth="1"/>
    <col min="17" max="17" width="13.85546875" bestFit="1" customWidth="1"/>
    <col min="18" max="18" width="11.7109375" bestFit="1" customWidth="1"/>
    <col min="19" max="28" width="6.5703125" bestFit="1" customWidth="1"/>
    <col min="29" max="37" width="6" bestFit="1" customWidth="1"/>
    <col min="38" max="57" width="7" bestFit="1" customWidth="1"/>
    <col min="58" max="66" width="6.28515625" bestFit="1" customWidth="1"/>
    <col min="67" max="87" width="7.28515625" bestFit="1" customWidth="1"/>
    <col min="88" max="95" width="5.85546875" bestFit="1" customWidth="1"/>
    <col min="96" max="115" width="6.85546875" bestFit="1" customWidth="1"/>
    <col min="116" max="123" width="6.5703125" bestFit="1" customWidth="1"/>
    <col min="124" max="145" width="7.5703125" bestFit="1" customWidth="1"/>
    <col min="146" max="154" width="5.7109375" bestFit="1" customWidth="1"/>
    <col min="155" max="174" width="6.7109375" bestFit="1" customWidth="1"/>
    <col min="175" max="177" width="5.5703125" bestFit="1" customWidth="1"/>
    <col min="178" max="178" width="6.5703125" bestFit="1" customWidth="1"/>
    <col min="179" max="180" width="5.5703125" bestFit="1" customWidth="1"/>
    <col min="181" max="181" width="5.140625" bestFit="1" customWidth="1"/>
    <col min="182" max="182" width="5.5703125" bestFit="1" customWidth="1"/>
    <col min="183" max="183" width="5.140625" bestFit="1" customWidth="1"/>
    <col min="184" max="214" width="6.140625" bestFit="1" customWidth="1"/>
    <col min="215" max="235" width="7.140625" bestFit="1" customWidth="1"/>
    <col min="236" max="242" width="6" bestFit="1" customWidth="1"/>
    <col min="243" max="263" width="7" bestFit="1" customWidth="1"/>
    <col min="264" max="272" width="5.7109375" bestFit="1" customWidth="1"/>
    <col min="273" max="294" width="6.7109375" bestFit="1" customWidth="1"/>
    <col min="295" max="303" width="6.28515625" bestFit="1" customWidth="1"/>
    <col min="304" max="322" width="7.28515625" bestFit="1" customWidth="1"/>
    <col min="323" max="331" width="6" bestFit="1" customWidth="1"/>
    <col min="332" max="343" width="7" bestFit="1" customWidth="1"/>
    <col min="344" max="344" width="11.28515625" bestFit="1" customWidth="1"/>
  </cols>
  <sheetData>
    <row r="2" spans="1:2" x14ac:dyDescent="0.25">
      <c r="A2" s="50" t="s">
        <v>0</v>
      </c>
      <c r="B2" s="51" t="s">
        <v>1</v>
      </c>
    </row>
    <row r="3" spans="1:2" x14ac:dyDescent="0.25">
      <c r="A3" s="54" t="s">
        <v>2</v>
      </c>
      <c r="B3" s="53">
        <v>333</v>
      </c>
    </row>
    <row r="4" spans="1:2" x14ac:dyDescent="0.25">
      <c r="A4" s="54" t="s">
        <v>3</v>
      </c>
      <c r="B4" s="53">
        <v>392.25</v>
      </c>
    </row>
    <row r="5" spans="1:2" x14ac:dyDescent="0.25">
      <c r="A5" s="54" t="s">
        <v>4</v>
      </c>
      <c r="B5" s="53">
        <v>464.5</v>
      </c>
    </row>
    <row r="6" spans="1:2" x14ac:dyDescent="0.25">
      <c r="A6" s="54" t="s">
        <v>5</v>
      </c>
      <c r="B6" s="53">
        <v>337.5</v>
      </c>
    </row>
    <row r="7" spans="1:2" x14ac:dyDescent="0.25">
      <c r="A7" s="54" t="s">
        <v>6</v>
      </c>
      <c r="B7" s="53">
        <v>375</v>
      </c>
    </row>
    <row r="8" spans="1:2" x14ac:dyDescent="0.25">
      <c r="A8" s="54" t="s">
        <v>7</v>
      </c>
      <c r="B8" s="53">
        <v>600.5</v>
      </c>
    </row>
    <row r="9" spans="1:2" x14ac:dyDescent="0.25">
      <c r="A9" s="54" t="s">
        <v>8</v>
      </c>
      <c r="B9" s="53">
        <v>685.75</v>
      </c>
    </row>
    <row r="10" spans="1:2" x14ac:dyDescent="0.25">
      <c r="A10" s="54" t="s">
        <v>9</v>
      </c>
      <c r="B10" s="53">
        <v>513</v>
      </c>
    </row>
    <row r="11" spans="1:2" x14ac:dyDescent="0.25">
      <c r="A11" s="54" t="s">
        <v>10</v>
      </c>
      <c r="B11" s="53">
        <v>378</v>
      </c>
    </row>
    <row r="12" spans="1:2" x14ac:dyDescent="0.25">
      <c r="A12" s="54" t="s">
        <v>11</v>
      </c>
      <c r="B12" s="53">
        <v>571.5</v>
      </c>
    </row>
    <row r="13" spans="1:2" x14ac:dyDescent="0.25">
      <c r="A13" s="54" t="s">
        <v>12</v>
      </c>
      <c r="B13" s="53">
        <v>491.5</v>
      </c>
    </row>
    <row r="14" spans="1:2" x14ac:dyDescent="0.25">
      <c r="A14" s="54" t="s">
        <v>13</v>
      </c>
      <c r="B14" s="53">
        <v>378.5</v>
      </c>
    </row>
    <row r="15" spans="1:2" x14ac:dyDescent="0.25">
      <c r="A15" s="52" t="s">
        <v>14</v>
      </c>
      <c r="B15" s="53">
        <v>5521</v>
      </c>
    </row>
  </sheetData>
  <conditionalFormatting pivot="1" sqref="B4 B3 B5 B6 B7 B8 B9 B10 B11 B12 B13 B1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5702D-FAFF-48A2-9C3A-F15A4DA4A3D7}">
  <sheetPr>
    <tabColor rgb="FF00B050"/>
  </sheetPr>
  <dimension ref="A1:I997"/>
  <sheetViews>
    <sheetView zoomScaleNormal="100" workbookViewId="0">
      <selection activeCell="A17" sqref="A17:I17"/>
    </sheetView>
  </sheetViews>
  <sheetFormatPr defaultRowHeight="15" x14ac:dyDescent="0.25"/>
  <cols>
    <col min="1" max="1" width="30.7109375" style="109" customWidth="1"/>
    <col min="2" max="2" width="29.140625" customWidth="1"/>
    <col min="3" max="4" width="29.140625" style="29" customWidth="1"/>
    <col min="5" max="9" width="29.140625" customWidth="1"/>
  </cols>
  <sheetData>
    <row r="1" spans="1:9" x14ac:dyDescent="0.25">
      <c r="A1" s="131" t="s">
        <v>83</v>
      </c>
      <c r="B1" s="56" t="s">
        <v>422</v>
      </c>
      <c r="C1" s="132" t="s">
        <v>85</v>
      </c>
      <c r="D1" s="132" t="s">
        <v>86</v>
      </c>
      <c r="E1" s="56" t="s">
        <v>16</v>
      </c>
      <c r="F1" s="56" t="s">
        <v>87</v>
      </c>
      <c r="G1" s="56" t="s">
        <v>419</v>
      </c>
      <c r="H1" s="56" t="s">
        <v>420</v>
      </c>
      <c r="I1" s="56" t="s">
        <v>407</v>
      </c>
    </row>
    <row r="2" spans="1:9" x14ac:dyDescent="0.25">
      <c r="A2" s="133">
        <v>45293</v>
      </c>
      <c r="B2" s="51" t="s">
        <v>414</v>
      </c>
      <c r="C2" s="134">
        <v>0.32291666666666669</v>
      </c>
      <c r="D2" s="134">
        <v>0.58333333333333337</v>
      </c>
      <c r="E2" s="53">
        <f>MOD((D2-C2),1) *24 - F2</f>
        <v>5.75</v>
      </c>
      <c r="F2" s="51">
        <v>0.5</v>
      </c>
      <c r="G2" s="53"/>
      <c r="H2" s="53">
        <f>IF(WEEKDAY(A2, 2)&lt;6, E2-2, E2)</f>
        <v>3.75</v>
      </c>
      <c r="I2" s="51">
        <f t="shared" ref="I2:I65" si="0">IF(G2&lt;&gt;"",G2,H2)</f>
        <v>3.75</v>
      </c>
    </row>
    <row r="3" spans="1:9" x14ac:dyDescent="0.25">
      <c r="A3" s="133">
        <v>45294</v>
      </c>
      <c r="B3" s="51" t="s">
        <v>414</v>
      </c>
      <c r="C3" s="134">
        <v>0.32291666666666669</v>
      </c>
      <c r="D3" s="134">
        <v>0.58333333333333337</v>
      </c>
      <c r="E3" s="53">
        <f t="shared" ref="E3:E66" si="1">MOD((D3-C3),1) *24 - F3</f>
        <v>5.75</v>
      </c>
      <c r="F3" s="51">
        <v>0.5</v>
      </c>
      <c r="G3" s="53"/>
      <c r="H3" s="53">
        <f>IF(WEEKDAY(A3, 2)&lt;6, E3-2, E3)</f>
        <v>3.75</v>
      </c>
      <c r="I3" s="51">
        <f t="shared" si="0"/>
        <v>3.75</v>
      </c>
    </row>
    <row r="4" spans="1:9" x14ac:dyDescent="0.25">
      <c r="A4" s="133">
        <v>45294</v>
      </c>
      <c r="B4" s="51" t="s">
        <v>56</v>
      </c>
      <c r="C4" s="134">
        <v>0.70833333333333337</v>
      </c>
      <c r="D4" s="134">
        <v>0.89583333333333337</v>
      </c>
      <c r="E4" s="53">
        <f t="shared" si="1"/>
        <v>4.5</v>
      </c>
      <c r="F4" s="51"/>
      <c r="G4" s="53">
        <f>IF(WEEKDAY(A4, 2)&lt;6, E4+2, E4)</f>
        <v>6.5</v>
      </c>
      <c r="H4" s="53"/>
      <c r="I4" s="51">
        <f t="shared" si="0"/>
        <v>6.5</v>
      </c>
    </row>
    <row r="5" spans="1:9" x14ac:dyDescent="0.25">
      <c r="A5" s="133">
        <v>45295</v>
      </c>
      <c r="B5" s="51" t="s">
        <v>414</v>
      </c>
      <c r="C5" s="134">
        <v>0.32291666666666669</v>
      </c>
      <c r="D5" s="134">
        <v>0.58333333333333337</v>
      </c>
      <c r="E5" s="53">
        <f t="shared" si="1"/>
        <v>5.75</v>
      </c>
      <c r="F5" s="51">
        <v>0.5</v>
      </c>
      <c r="G5" s="53"/>
      <c r="H5" s="53">
        <f t="shared" ref="H5:H6" si="2">IF(WEEKDAY(A5, 2)&lt;6, E5-2, E5)</f>
        <v>3.75</v>
      </c>
      <c r="I5" s="51">
        <f t="shared" si="0"/>
        <v>3.75</v>
      </c>
    </row>
    <row r="6" spans="1:9" x14ac:dyDescent="0.25">
      <c r="A6" s="133">
        <v>45296</v>
      </c>
      <c r="B6" s="51" t="s">
        <v>414</v>
      </c>
      <c r="C6" s="134">
        <v>0.32291666666666669</v>
      </c>
      <c r="D6" s="134">
        <v>0.58333333333333337</v>
      </c>
      <c r="E6" s="53">
        <f t="shared" si="1"/>
        <v>5.75</v>
      </c>
      <c r="F6" s="51">
        <v>0.5</v>
      </c>
      <c r="G6" s="53"/>
      <c r="H6" s="53">
        <f t="shared" si="2"/>
        <v>3.75</v>
      </c>
      <c r="I6" s="51">
        <f t="shared" si="0"/>
        <v>3.75</v>
      </c>
    </row>
    <row r="7" spans="1:9" x14ac:dyDescent="0.25">
      <c r="A7" s="133">
        <v>45297</v>
      </c>
      <c r="B7" s="51" t="s">
        <v>49</v>
      </c>
      <c r="C7" s="134">
        <v>0.33333333333333331</v>
      </c>
      <c r="D7" s="134">
        <v>0.45833333333333331</v>
      </c>
      <c r="E7" s="53">
        <f t="shared" si="1"/>
        <v>3</v>
      </c>
      <c r="F7" s="51"/>
      <c r="G7" s="53">
        <f t="shared" ref="G7:G11" si="3">IF(WEEKDAY(A7, 2)&lt;6, E7+2, E7)</f>
        <v>3</v>
      </c>
      <c r="H7" s="51"/>
      <c r="I7" s="51">
        <f t="shared" si="0"/>
        <v>3</v>
      </c>
    </row>
    <row r="8" spans="1:9" x14ac:dyDescent="0.25">
      <c r="A8" s="133">
        <v>45297</v>
      </c>
      <c r="B8" s="51" t="s">
        <v>56</v>
      </c>
      <c r="C8" s="134">
        <v>0.33333333333333331</v>
      </c>
      <c r="D8" s="134">
        <v>0.5</v>
      </c>
      <c r="E8" s="53">
        <f t="shared" si="1"/>
        <v>4</v>
      </c>
      <c r="F8" s="51"/>
      <c r="G8" s="53">
        <f t="shared" si="3"/>
        <v>4</v>
      </c>
      <c r="H8" s="53"/>
      <c r="I8" s="51">
        <f t="shared" si="0"/>
        <v>4</v>
      </c>
    </row>
    <row r="9" spans="1:9" x14ac:dyDescent="0.25">
      <c r="A9" s="133">
        <v>45297</v>
      </c>
      <c r="B9" s="51" t="s">
        <v>53</v>
      </c>
      <c r="C9" s="134">
        <v>0.58333333333333337</v>
      </c>
      <c r="D9" s="134">
        <v>2.0833333333333332E-2</v>
      </c>
      <c r="E9" s="53">
        <f t="shared" si="1"/>
        <v>9.5</v>
      </c>
      <c r="F9" s="51">
        <v>1</v>
      </c>
      <c r="G9" s="53">
        <f t="shared" si="3"/>
        <v>9.5</v>
      </c>
      <c r="H9" s="51"/>
      <c r="I9" s="51">
        <f t="shared" si="0"/>
        <v>9.5</v>
      </c>
    </row>
    <row r="10" spans="1:9" x14ac:dyDescent="0.25">
      <c r="A10" s="133">
        <v>45297</v>
      </c>
      <c r="B10" s="51" t="s">
        <v>58</v>
      </c>
      <c r="C10" s="134">
        <v>0.58333333333333337</v>
      </c>
      <c r="D10" s="134">
        <v>0.91666666666666663</v>
      </c>
      <c r="E10" s="53">
        <f t="shared" si="1"/>
        <v>7.4999999999999982</v>
      </c>
      <c r="F10" s="51">
        <v>0.5</v>
      </c>
      <c r="G10" s="53">
        <f t="shared" si="3"/>
        <v>7.4999999999999982</v>
      </c>
      <c r="H10" s="51"/>
      <c r="I10" s="51">
        <f t="shared" si="0"/>
        <v>7.4999999999999982</v>
      </c>
    </row>
    <row r="11" spans="1:9" x14ac:dyDescent="0.25">
      <c r="A11" s="133">
        <v>45298</v>
      </c>
      <c r="B11" s="51" t="s">
        <v>58</v>
      </c>
      <c r="C11" s="134">
        <v>0.41666666666666669</v>
      </c>
      <c r="D11" s="134">
        <v>0.70833333333333337</v>
      </c>
      <c r="E11" s="53">
        <f t="shared" si="1"/>
        <v>6.5</v>
      </c>
      <c r="F11" s="51">
        <v>0.5</v>
      </c>
      <c r="G11" s="53">
        <f t="shared" si="3"/>
        <v>6.5</v>
      </c>
      <c r="H11" s="51"/>
      <c r="I11" s="51">
        <f t="shared" si="0"/>
        <v>6.5</v>
      </c>
    </row>
    <row r="12" spans="1:9" x14ac:dyDescent="0.25">
      <c r="A12" s="133">
        <v>45299</v>
      </c>
      <c r="B12" s="51" t="s">
        <v>414</v>
      </c>
      <c r="C12" s="134">
        <v>0.32291666666666669</v>
      </c>
      <c r="D12" s="134">
        <v>0.58333333333333337</v>
      </c>
      <c r="E12" s="53">
        <f t="shared" si="1"/>
        <v>5.75</v>
      </c>
      <c r="F12" s="51">
        <v>0.5</v>
      </c>
      <c r="G12" s="53"/>
      <c r="H12" s="53">
        <f t="shared" ref="H12:H14" si="4">IF(WEEKDAY(A12, 2)&lt;6, E12-2, E12)</f>
        <v>3.75</v>
      </c>
      <c r="I12" s="51">
        <f t="shared" si="0"/>
        <v>3.75</v>
      </c>
    </row>
    <row r="13" spans="1:9" x14ac:dyDescent="0.25">
      <c r="A13" s="133">
        <v>45300</v>
      </c>
      <c r="B13" s="51" t="s">
        <v>414</v>
      </c>
      <c r="C13" s="134">
        <v>0.32291666666666669</v>
      </c>
      <c r="D13" s="134">
        <v>0.58333333333333337</v>
      </c>
      <c r="E13" s="53">
        <f t="shared" si="1"/>
        <v>5.75</v>
      </c>
      <c r="F13" s="51">
        <v>0.5</v>
      </c>
      <c r="G13" s="53"/>
      <c r="H13" s="53">
        <f t="shared" si="4"/>
        <v>3.75</v>
      </c>
      <c r="I13" s="51">
        <f t="shared" si="0"/>
        <v>3.75</v>
      </c>
    </row>
    <row r="14" spans="1:9" x14ac:dyDescent="0.25">
      <c r="A14" s="133">
        <v>45301</v>
      </c>
      <c r="B14" s="51" t="s">
        <v>414</v>
      </c>
      <c r="C14" s="134">
        <v>0.32291666666666669</v>
      </c>
      <c r="D14" s="134">
        <v>0.58333333333333337</v>
      </c>
      <c r="E14" s="53">
        <f t="shared" si="1"/>
        <v>5.75</v>
      </c>
      <c r="F14" s="51">
        <v>0.5</v>
      </c>
      <c r="G14" s="53"/>
      <c r="H14" s="53">
        <f t="shared" si="4"/>
        <v>3.75</v>
      </c>
      <c r="I14" s="51">
        <f t="shared" si="0"/>
        <v>3.75</v>
      </c>
    </row>
    <row r="15" spans="1:9" x14ac:dyDescent="0.25">
      <c r="A15" s="133">
        <v>45301</v>
      </c>
      <c r="B15" s="51" t="s">
        <v>56</v>
      </c>
      <c r="C15" s="134">
        <v>0.70833333333333337</v>
      </c>
      <c r="D15" s="134">
        <v>0.89583333333333337</v>
      </c>
      <c r="E15" s="53">
        <f t="shared" si="1"/>
        <v>4.5</v>
      </c>
      <c r="F15" s="51"/>
      <c r="G15" s="53">
        <f>IF(WEEKDAY(A15, 2)&lt;6, E15+2, E15)</f>
        <v>6.5</v>
      </c>
      <c r="H15" s="53"/>
      <c r="I15" s="51">
        <f t="shared" si="0"/>
        <v>6.5</v>
      </c>
    </row>
    <row r="16" spans="1:9" x14ac:dyDescent="0.25">
      <c r="A16" s="133">
        <v>45302</v>
      </c>
      <c r="B16" s="51" t="s">
        <v>414</v>
      </c>
      <c r="C16" s="134">
        <v>0.32291666666666669</v>
      </c>
      <c r="D16" s="134">
        <v>0.58333333333333337</v>
      </c>
      <c r="E16" s="53">
        <f t="shared" si="1"/>
        <v>5.75</v>
      </c>
      <c r="F16" s="51">
        <v>0.5</v>
      </c>
      <c r="G16" s="53"/>
      <c r="H16" s="53">
        <f>IF(WEEKDAY(A16, 2)&lt;6, E16-2, E16)</f>
        <v>3.75</v>
      </c>
      <c r="I16" s="51">
        <f t="shared" si="0"/>
        <v>3.75</v>
      </c>
    </row>
    <row r="17" spans="1:9" x14ac:dyDescent="0.25">
      <c r="A17" s="133">
        <v>45302</v>
      </c>
      <c r="B17" s="51" t="s">
        <v>56</v>
      </c>
      <c r="C17" s="134">
        <v>0.75</v>
      </c>
      <c r="D17" s="134">
        <v>0.95833333333333337</v>
      </c>
      <c r="E17" s="53">
        <f t="shared" si="1"/>
        <v>4.5000000000000009</v>
      </c>
      <c r="F17" s="51">
        <v>0.5</v>
      </c>
      <c r="G17" s="53">
        <v>6.5</v>
      </c>
      <c r="H17" s="53"/>
      <c r="I17" s="51">
        <f>IF(G17&lt;&gt;"",G17,H17)</f>
        <v>6.5</v>
      </c>
    </row>
    <row r="18" spans="1:9" x14ac:dyDescent="0.25">
      <c r="A18" s="133">
        <v>45303</v>
      </c>
      <c r="B18" s="51" t="s">
        <v>414</v>
      </c>
      <c r="C18" s="134">
        <v>0.32291666666666669</v>
      </c>
      <c r="D18" s="134">
        <v>0.58333333333333337</v>
      </c>
      <c r="E18" s="53">
        <f t="shared" si="1"/>
        <v>5.75</v>
      </c>
      <c r="F18" s="51">
        <v>0.5</v>
      </c>
      <c r="G18" s="53"/>
      <c r="H18" s="53">
        <f>IF(WEEKDAY(A18, 2)&lt;6, E18-2, E18)</f>
        <v>3.75</v>
      </c>
      <c r="I18" s="51">
        <f t="shared" si="0"/>
        <v>3.75</v>
      </c>
    </row>
    <row r="19" spans="1:9" x14ac:dyDescent="0.25">
      <c r="A19" s="133">
        <v>45303</v>
      </c>
      <c r="B19" s="51" t="s">
        <v>51</v>
      </c>
      <c r="C19" s="134">
        <v>0.58333333333333337</v>
      </c>
      <c r="D19" s="134">
        <v>0</v>
      </c>
      <c r="E19" s="53">
        <f t="shared" si="1"/>
        <v>9</v>
      </c>
      <c r="F19" s="51">
        <v>1</v>
      </c>
      <c r="G19" s="53">
        <f t="shared" ref="G19:G25" si="5">IF(WEEKDAY(A19, 2)&lt;6, E19+2, E19)</f>
        <v>11</v>
      </c>
      <c r="H19" s="51"/>
      <c r="I19" s="51">
        <f t="shared" si="0"/>
        <v>11</v>
      </c>
    </row>
    <row r="20" spans="1:9" x14ac:dyDescent="0.25">
      <c r="A20" s="133">
        <v>45304</v>
      </c>
      <c r="B20" s="51" t="s">
        <v>56</v>
      </c>
      <c r="C20" s="134">
        <v>0.33333333333333331</v>
      </c>
      <c r="D20" s="134">
        <v>0.5</v>
      </c>
      <c r="E20" s="53">
        <f t="shared" si="1"/>
        <v>4</v>
      </c>
      <c r="F20" s="51"/>
      <c r="G20" s="53">
        <f t="shared" si="5"/>
        <v>4</v>
      </c>
      <c r="H20" s="53"/>
      <c r="I20" s="51">
        <f t="shared" si="0"/>
        <v>4</v>
      </c>
    </row>
    <row r="21" spans="1:9" x14ac:dyDescent="0.25">
      <c r="A21" s="133">
        <v>45304</v>
      </c>
      <c r="B21" s="51" t="s">
        <v>53</v>
      </c>
      <c r="C21" s="134">
        <v>0.39583333333333331</v>
      </c>
      <c r="D21" s="134">
        <v>0.72916666666666663</v>
      </c>
      <c r="E21" s="53">
        <f t="shared" si="1"/>
        <v>7.5</v>
      </c>
      <c r="F21" s="51">
        <v>0.5</v>
      </c>
      <c r="G21" s="53">
        <f t="shared" si="5"/>
        <v>7.5</v>
      </c>
      <c r="H21" s="51"/>
      <c r="I21" s="51">
        <f t="shared" si="0"/>
        <v>7.5</v>
      </c>
    </row>
    <row r="22" spans="1:9" x14ac:dyDescent="0.25">
      <c r="A22" s="133">
        <v>45304</v>
      </c>
      <c r="B22" s="51" t="s">
        <v>48</v>
      </c>
      <c r="C22" s="134">
        <v>0.45833333333333331</v>
      </c>
      <c r="D22" s="134">
        <v>0.91666666666666663</v>
      </c>
      <c r="E22" s="53">
        <f t="shared" si="1"/>
        <v>10</v>
      </c>
      <c r="F22" s="51">
        <v>1</v>
      </c>
      <c r="G22" s="53">
        <f t="shared" si="5"/>
        <v>10</v>
      </c>
      <c r="H22" s="51"/>
      <c r="I22" s="51">
        <f t="shared" si="0"/>
        <v>10</v>
      </c>
    </row>
    <row r="23" spans="1:9" x14ac:dyDescent="0.25">
      <c r="A23" s="133">
        <v>45304</v>
      </c>
      <c r="B23" s="51" t="s">
        <v>58</v>
      </c>
      <c r="C23" s="134">
        <v>0.52083333333333337</v>
      </c>
      <c r="D23" s="134">
        <v>0.79166666666666663</v>
      </c>
      <c r="E23" s="53">
        <f t="shared" si="1"/>
        <v>5.9999999999999982</v>
      </c>
      <c r="F23" s="51">
        <v>0.5</v>
      </c>
      <c r="G23" s="53">
        <f t="shared" si="5"/>
        <v>5.9999999999999982</v>
      </c>
      <c r="H23" s="51"/>
      <c r="I23" s="51">
        <f t="shared" si="0"/>
        <v>5.9999999999999982</v>
      </c>
    </row>
    <row r="24" spans="1:9" x14ac:dyDescent="0.25">
      <c r="A24" s="133">
        <v>45305</v>
      </c>
      <c r="B24" s="51" t="s">
        <v>58</v>
      </c>
      <c r="C24" s="134">
        <v>0.33333333333333331</v>
      </c>
      <c r="D24" s="134">
        <v>0.66666666666666663</v>
      </c>
      <c r="E24" s="53">
        <f t="shared" si="1"/>
        <v>7.5</v>
      </c>
      <c r="F24" s="51">
        <v>0.5</v>
      </c>
      <c r="G24" s="53">
        <f t="shared" si="5"/>
        <v>7.5</v>
      </c>
      <c r="H24" s="51"/>
      <c r="I24" s="51">
        <f t="shared" si="0"/>
        <v>7.5</v>
      </c>
    </row>
    <row r="25" spans="1:9" x14ac:dyDescent="0.25">
      <c r="A25" s="133">
        <v>45305</v>
      </c>
      <c r="B25" s="51" t="s">
        <v>53</v>
      </c>
      <c r="C25" s="134">
        <v>0.45833333333333331</v>
      </c>
      <c r="D25" s="134">
        <v>0.75</v>
      </c>
      <c r="E25" s="53">
        <f t="shared" si="1"/>
        <v>6.5</v>
      </c>
      <c r="F25" s="51">
        <v>0.5</v>
      </c>
      <c r="G25" s="53">
        <f t="shared" si="5"/>
        <v>6.5</v>
      </c>
      <c r="H25" s="51"/>
      <c r="I25" s="51">
        <f t="shared" si="0"/>
        <v>6.5</v>
      </c>
    </row>
    <row r="26" spans="1:9" x14ac:dyDescent="0.25">
      <c r="A26" s="133">
        <v>45307</v>
      </c>
      <c r="B26" s="51" t="s">
        <v>414</v>
      </c>
      <c r="C26" s="134">
        <v>0.32291666666666669</v>
      </c>
      <c r="D26" s="134">
        <v>0.58333333333333337</v>
      </c>
      <c r="E26" s="53">
        <f t="shared" si="1"/>
        <v>5.75</v>
      </c>
      <c r="F26" s="51">
        <v>0.5</v>
      </c>
      <c r="G26" s="53"/>
      <c r="H26" s="53">
        <f t="shared" ref="H26:H27" si="6">IF(WEEKDAY(A26, 2)&lt;6, E26-2, E26)</f>
        <v>3.75</v>
      </c>
      <c r="I26" s="51">
        <f t="shared" si="0"/>
        <v>3.75</v>
      </c>
    </row>
    <row r="27" spans="1:9" x14ac:dyDescent="0.25">
      <c r="A27" s="133">
        <v>45308</v>
      </c>
      <c r="B27" s="51" t="s">
        <v>414</v>
      </c>
      <c r="C27" s="134">
        <v>0.32291666666666669</v>
      </c>
      <c r="D27" s="134">
        <v>0.58333333333333337</v>
      </c>
      <c r="E27" s="53">
        <f t="shared" si="1"/>
        <v>5.75</v>
      </c>
      <c r="F27" s="51">
        <v>0.5</v>
      </c>
      <c r="G27" s="53"/>
      <c r="H27" s="53">
        <f t="shared" si="6"/>
        <v>3.75</v>
      </c>
      <c r="I27" s="51">
        <f t="shared" si="0"/>
        <v>3.75</v>
      </c>
    </row>
    <row r="28" spans="1:9" x14ac:dyDescent="0.25">
      <c r="A28" s="133">
        <v>45308</v>
      </c>
      <c r="B28" s="51" t="s">
        <v>58</v>
      </c>
      <c r="C28" s="134">
        <v>0.66666666666666663</v>
      </c>
      <c r="D28" s="134">
        <v>0.89583333333333337</v>
      </c>
      <c r="E28" s="53">
        <f t="shared" si="1"/>
        <v>5.5000000000000018</v>
      </c>
      <c r="F28" s="51"/>
      <c r="G28" s="53">
        <f t="shared" ref="G28:G29" si="7">IF(WEEKDAY(A28, 2)&lt;6, E28+2, E28)</f>
        <v>7.5000000000000018</v>
      </c>
      <c r="H28" s="51"/>
      <c r="I28" s="51">
        <f t="shared" si="0"/>
        <v>7.5000000000000018</v>
      </c>
    </row>
    <row r="29" spans="1:9" x14ac:dyDescent="0.25">
      <c r="A29" s="133">
        <v>45308</v>
      </c>
      <c r="B29" s="51" t="s">
        <v>53</v>
      </c>
      <c r="C29" s="134">
        <v>0.70833333333333337</v>
      </c>
      <c r="D29" s="134">
        <v>0.875</v>
      </c>
      <c r="E29" s="53">
        <f t="shared" si="1"/>
        <v>3.9999999999999991</v>
      </c>
      <c r="F29" s="51"/>
      <c r="G29" s="53">
        <f t="shared" si="7"/>
        <v>5.9999999999999991</v>
      </c>
      <c r="H29" s="51"/>
      <c r="I29" s="51">
        <f t="shared" si="0"/>
        <v>5.9999999999999991</v>
      </c>
    </row>
    <row r="30" spans="1:9" x14ac:dyDescent="0.25">
      <c r="A30" s="133">
        <v>45309</v>
      </c>
      <c r="B30" s="51" t="s">
        <v>414</v>
      </c>
      <c r="C30" s="134">
        <v>0.32291666666666669</v>
      </c>
      <c r="D30" s="134">
        <v>0.58333333333333337</v>
      </c>
      <c r="E30" s="53">
        <f t="shared" si="1"/>
        <v>5.75</v>
      </c>
      <c r="F30" s="51">
        <v>0.5</v>
      </c>
      <c r="G30" s="53"/>
      <c r="H30" s="53">
        <f>IF(WEEKDAY(A30, 2)&lt;6, E30-2, E30)</f>
        <v>3.75</v>
      </c>
      <c r="I30" s="51">
        <f t="shared" si="0"/>
        <v>3.75</v>
      </c>
    </row>
    <row r="31" spans="1:9" x14ac:dyDescent="0.25">
      <c r="A31" s="133">
        <v>45309</v>
      </c>
      <c r="B31" s="51" t="s">
        <v>56</v>
      </c>
      <c r="C31" s="134">
        <v>0.75</v>
      </c>
      <c r="D31" s="134">
        <v>0.9375</v>
      </c>
      <c r="E31" s="53">
        <f t="shared" si="1"/>
        <v>4.5</v>
      </c>
      <c r="F31" s="51"/>
      <c r="G31" s="53">
        <f>IF(WEEKDAY(A31, 2)&lt;6, E31+2, E31)</f>
        <v>6.5</v>
      </c>
      <c r="H31" s="53"/>
      <c r="I31" s="51">
        <f t="shared" si="0"/>
        <v>6.5</v>
      </c>
    </row>
    <row r="32" spans="1:9" x14ac:dyDescent="0.25">
      <c r="A32" s="133">
        <v>45310</v>
      </c>
      <c r="B32" s="51" t="s">
        <v>414</v>
      </c>
      <c r="C32" s="134">
        <v>0.32291666666666669</v>
      </c>
      <c r="D32" s="134">
        <v>0.58333333333333337</v>
      </c>
      <c r="E32" s="53">
        <f t="shared" si="1"/>
        <v>5.75</v>
      </c>
      <c r="F32" s="51">
        <v>0.5</v>
      </c>
      <c r="G32" s="53"/>
      <c r="H32" s="53">
        <f>IF(WEEKDAY(A32, 2)&lt;6, E32-2, E32)</f>
        <v>3.75</v>
      </c>
      <c r="I32" s="51">
        <f t="shared" si="0"/>
        <v>3.75</v>
      </c>
    </row>
    <row r="33" spans="1:9" x14ac:dyDescent="0.25">
      <c r="A33" s="133">
        <v>45311</v>
      </c>
      <c r="B33" s="51" t="s">
        <v>56</v>
      </c>
      <c r="C33" s="134">
        <v>0.33333333333333331</v>
      </c>
      <c r="D33" s="134">
        <v>0.5</v>
      </c>
      <c r="E33" s="53">
        <f t="shared" si="1"/>
        <v>4</v>
      </c>
      <c r="F33" s="51"/>
      <c r="G33" s="53">
        <f t="shared" ref="G33:G36" si="8">IF(WEEKDAY(A33, 2)&lt;6, E33+2, E33)</f>
        <v>4</v>
      </c>
      <c r="H33" s="53"/>
      <c r="I33" s="51">
        <f t="shared" si="0"/>
        <v>4</v>
      </c>
    </row>
    <row r="34" spans="1:9" x14ac:dyDescent="0.25">
      <c r="A34" s="133">
        <v>45311</v>
      </c>
      <c r="B34" s="51" t="s">
        <v>53</v>
      </c>
      <c r="C34" s="134">
        <v>0.45833333333333331</v>
      </c>
      <c r="D34" s="134">
        <v>0.75</v>
      </c>
      <c r="E34" s="53">
        <f t="shared" si="1"/>
        <v>6.5</v>
      </c>
      <c r="F34" s="51">
        <v>0.5</v>
      </c>
      <c r="G34" s="53">
        <f t="shared" si="8"/>
        <v>6.5</v>
      </c>
      <c r="H34" s="51"/>
      <c r="I34" s="51">
        <f t="shared" si="0"/>
        <v>6.5</v>
      </c>
    </row>
    <row r="35" spans="1:9" x14ac:dyDescent="0.25">
      <c r="A35" s="133">
        <v>45311</v>
      </c>
      <c r="B35" s="51" t="s">
        <v>58</v>
      </c>
      <c r="C35" s="134">
        <v>0.54166666666666663</v>
      </c>
      <c r="D35" s="134">
        <v>0.91666666666666663</v>
      </c>
      <c r="E35" s="53">
        <f t="shared" si="1"/>
        <v>8</v>
      </c>
      <c r="F35" s="51">
        <v>1</v>
      </c>
      <c r="G35" s="53">
        <f t="shared" si="8"/>
        <v>8</v>
      </c>
      <c r="H35" s="51"/>
      <c r="I35" s="51">
        <f t="shared" si="0"/>
        <v>8</v>
      </c>
    </row>
    <row r="36" spans="1:9" x14ac:dyDescent="0.25">
      <c r="A36" s="133">
        <v>45312</v>
      </c>
      <c r="B36" s="51" t="s">
        <v>58</v>
      </c>
      <c r="C36" s="134">
        <v>0.29166666666666669</v>
      </c>
      <c r="D36" s="134">
        <v>0.58333333333333337</v>
      </c>
      <c r="E36" s="53">
        <f t="shared" si="1"/>
        <v>6.5</v>
      </c>
      <c r="F36" s="51">
        <v>0.5</v>
      </c>
      <c r="G36" s="53">
        <f t="shared" si="8"/>
        <v>6.5</v>
      </c>
      <c r="H36" s="51"/>
      <c r="I36" s="51">
        <f t="shared" si="0"/>
        <v>6.5</v>
      </c>
    </row>
    <row r="37" spans="1:9" x14ac:dyDescent="0.25">
      <c r="A37" s="133">
        <v>45313</v>
      </c>
      <c r="B37" s="51" t="s">
        <v>414</v>
      </c>
      <c r="C37" s="134">
        <v>0.32291666666666669</v>
      </c>
      <c r="D37" s="134">
        <v>0.58333333333333337</v>
      </c>
      <c r="E37" s="53">
        <f t="shared" si="1"/>
        <v>5.75</v>
      </c>
      <c r="F37" s="51">
        <v>0.5</v>
      </c>
      <c r="G37" s="53"/>
      <c r="H37" s="53">
        <f t="shared" ref="H37:H39" si="9">IF(WEEKDAY(A37, 2)&lt;6, E37-2, E37)</f>
        <v>3.75</v>
      </c>
      <c r="I37" s="51">
        <f t="shared" si="0"/>
        <v>3.75</v>
      </c>
    </row>
    <row r="38" spans="1:9" x14ac:dyDescent="0.25">
      <c r="A38" s="133">
        <v>45314</v>
      </c>
      <c r="B38" s="51" t="s">
        <v>414</v>
      </c>
      <c r="C38" s="134">
        <v>0.32291666666666669</v>
      </c>
      <c r="D38" s="134">
        <v>0.58333333333333337</v>
      </c>
      <c r="E38" s="53">
        <f t="shared" si="1"/>
        <v>5.75</v>
      </c>
      <c r="F38" s="51">
        <v>0.5</v>
      </c>
      <c r="G38" s="53"/>
      <c r="H38" s="53">
        <f t="shared" si="9"/>
        <v>3.75</v>
      </c>
      <c r="I38" s="51">
        <f t="shared" si="0"/>
        <v>3.75</v>
      </c>
    </row>
    <row r="39" spans="1:9" x14ac:dyDescent="0.25">
      <c r="A39" s="133">
        <v>45315</v>
      </c>
      <c r="B39" s="51" t="s">
        <v>414</v>
      </c>
      <c r="C39" s="134">
        <v>0.32291666666666669</v>
      </c>
      <c r="D39" s="134">
        <v>0.58333333333333337</v>
      </c>
      <c r="E39" s="53">
        <f t="shared" si="1"/>
        <v>5.75</v>
      </c>
      <c r="F39" s="51">
        <v>0.5</v>
      </c>
      <c r="G39" s="53"/>
      <c r="H39" s="53">
        <f t="shared" si="9"/>
        <v>3.75</v>
      </c>
      <c r="I39" s="51">
        <f t="shared" si="0"/>
        <v>3.75</v>
      </c>
    </row>
    <row r="40" spans="1:9" x14ac:dyDescent="0.25">
      <c r="A40" s="133">
        <v>45315</v>
      </c>
      <c r="B40" s="51" t="s">
        <v>56</v>
      </c>
      <c r="C40" s="134">
        <v>0.70833333333333337</v>
      </c>
      <c r="D40" s="134">
        <v>0.89583333333333337</v>
      </c>
      <c r="E40" s="53">
        <f t="shared" si="1"/>
        <v>4.5</v>
      </c>
      <c r="F40" s="51"/>
      <c r="G40" s="53">
        <f>IF(WEEKDAY(A40, 2)&lt;6, E40+2, E40)</f>
        <v>6.5</v>
      </c>
      <c r="H40" s="53"/>
      <c r="I40" s="51">
        <f t="shared" si="0"/>
        <v>6.5</v>
      </c>
    </row>
    <row r="41" spans="1:9" x14ac:dyDescent="0.25">
      <c r="A41" s="133">
        <v>45316</v>
      </c>
      <c r="B41" s="51" t="s">
        <v>414</v>
      </c>
      <c r="C41" s="134">
        <v>0.32291666666666669</v>
      </c>
      <c r="D41" s="134">
        <v>0.58333333333333337</v>
      </c>
      <c r="E41" s="53">
        <f t="shared" si="1"/>
        <v>5.75</v>
      </c>
      <c r="F41" s="51">
        <v>0.5</v>
      </c>
      <c r="G41" s="53"/>
      <c r="H41" s="53">
        <f>IF(WEEKDAY(A41, 2)&lt;6, E41-2, E41)</f>
        <v>3.75</v>
      </c>
      <c r="I41" s="51">
        <f t="shared" si="0"/>
        <v>3.75</v>
      </c>
    </row>
    <row r="42" spans="1:9" x14ac:dyDescent="0.25">
      <c r="A42" s="133">
        <v>45316</v>
      </c>
      <c r="B42" s="51" t="s">
        <v>56</v>
      </c>
      <c r="C42" s="134">
        <v>0.75</v>
      </c>
      <c r="D42" s="134">
        <v>0.9375</v>
      </c>
      <c r="E42" s="53">
        <f t="shared" si="1"/>
        <v>4.5</v>
      </c>
      <c r="F42" s="51"/>
      <c r="G42" s="53">
        <f>IF(WEEKDAY(A42, 2)&lt;6, E42+2, E42)</f>
        <v>6.5</v>
      </c>
      <c r="H42" s="53"/>
      <c r="I42" s="51">
        <f t="shared" si="0"/>
        <v>6.5</v>
      </c>
    </row>
    <row r="43" spans="1:9" x14ac:dyDescent="0.25">
      <c r="A43" s="133">
        <v>45317</v>
      </c>
      <c r="B43" s="51" t="s">
        <v>414</v>
      </c>
      <c r="C43" s="134">
        <v>0.32291666666666669</v>
      </c>
      <c r="D43" s="134">
        <v>0.58333333333333337</v>
      </c>
      <c r="E43" s="53">
        <f t="shared" si="1"/>
        <v>5.75</v>
      </c>
      <c r="F43" s="51">
        <v>0.5</v>
      </c>
      <c r="G43" s="53"/>
      <c r="H43" s="53">
        <f>IF(WEEKDAY(A43, 2)&lt;6, E43-2, E43)</f>
        <v>3.75</v>
      </c>
      <c r="I43" s="51">
        <f t="shared" si="0"/>
        <v>3.75</v>
      </c>
    </row>
    <row r="44" spans="1:9" x14ac:dyDescent="0.25">
      <c r="A44" s="133">
        <v>45317</v>
      </c>
      <c r="B44" s="51" t="s">
        <v>53</v>
      </c>
      <c r="C44" s="134">
        <v>0.625</v>
      </c>
      <c r="D44" s="134">
        <v>0.91666666666666663</v>
      </c>
      <c r="E44" s="53">
        <f t="shared" si="1"/>
        <v>6.4999999999999991</v>
      </c>
      <c r="F44" s="51">
        <v>0.5</v>
      </c>
      <c r="G44" s="53">
        <f t="shared" ref="G44:G48" si="10">IF(WEEKDAY(A44, 2)&lt;6, E44+2, E44)</f>
        <v>8.5</v>
      </c>
      <c r="H44" s="51"/>
      <c r="I44" s="51">
        <f t="shared" si="0"/>
        <v>8.5</v>
      </c>
    </row>
    <row r="45" spans="1:9" x14ac:dyDescent="0.25">
      <c r="A45" s="133">
        <v>45317</v>
      </c>
      <c r="B45" s="51" t="s">
        <v>58</v>
      </c>
      <c r="C45" s="134">
        <v>0.65625</v>
      </c>
      <c r="D45" s="134">
        <v>4.1666666666666664E-2</v>
      </c>
      <c r="E45" s="53">
        <f t="shared" si="1"/>
        <v>8.25</v>
      </c>
      <c r="F45" s="51">
        <v>1</v>
      </c>
      <c r="G45" s="53">
        <f t="shared" si="10"/>
        <v>10.25</v>
      </c>
      <c r="H45" s="51"/>
      <c r="I45" s="51">
        <f t="shared" si="0"/>
        <v>10.25</v>
      </c>
    </row>
    <row r="46" spans="1:9" x14ac:dyDescent="0.25">
      <c r="A46" s="133">
        <v>45318</v>
      </c>
      <c r="B46" s="51" t="s">
        <v>56</v>
      </c>
      <c r="C46" s="134">
        <v>0.33333333333333331</v>
      </c>
      <c r="D46" s="134">
        <v>0.5</v>
      </c>
      <c r="E46" s="53">
        <f t="shared" si="1"/>
        <v>4</v>
      </c>
      <c r="F46" s="51"/>
      <c r="G46" s="53">
        <f t="shared" si="10"/>
        <v>4</v>
      </c>
      <c r="H46" s="53"/>
      <c r="I46" s="51">
        <f t="shared" si="0"/>
        <v>4</v>
      </c>
    </row>
    <row r="47" spans="1:9" x14ac:dyDescent="0.25">
      <c r="A47" s="133">
        <v>45318</v>
      </c>
      <c r="B47" s="51" t="s">
        <v>58</v>
      </c>
      <c r="C47" s="134">
        <v>0.54166666666666663</v>
      </c>
      <c r="D47" s="134">
        <v>0.85416666666666663</v>
      </c>
      <c r="E47" s="53">
        <f t="shared" si="1"/>
        <v>7</v>
      </c>
      <c r="F47" s="51">
        <v>0.5</v>
      </c>
      <c r="G47" s="53">
        <f t="shared" si="10"/>
        <v>7</v>
      </c>
      <c r="H47" s="51"/>
      <c r="I47" s="51">
        <f t="shared" si="0"/>
        <v>7</v>
      </c>
    </row>
    <row r="48" spans="1:9" x14ac:dyDescent="0.25">
      <c r="A48" s="133">
        <v>45319</v>
      </c>
      <c r="B48" s="51" t="s">
        <v>58</v>
      </c>
      <c r="C48" s="134">
        <v>0.41666666666666669</v>
      </c>
      <c r="D48" s="134">
        <v>0.70833333333333337</v>
      </c>
      <c r="E48" s="53">
        <f t="shared" si="1"/>
        <v>6.5</v>
      </c>
      <c r="F48" s="51">
        <v>0.5</v>
      </c>
      <c r="G48" s="53">
        <f t="shared" si="10"/>
        <v>6.5</v>
      </c>
      <c r="H48" s="51"/>
      <c r="I48" s="51">
        <f t="shared" si="0"/>
        <v>6.5</v>
      </c>
    </row>
    <row r="49" spans="1:9" x14ac:dyDescent="0.25">
      <c r="A49" s="133">
        <v>45320</v>
      </c>
      <c r="B49" s="51" t="s">
        <v>414</v>
      </c>
      <c r="C49" s="134">
        <v>0.32291666666666669</v>
      </c>
      <c r="D49" s="134">
        <v>0.58333333333333337</v>
      </c>
      <c r="E49" s="53">
        <f t="shared" si="1"/>
        <v>5.75</v>
      </c>
      <c r="F49" s="51">
        <v>0.5</v>
      </c>
      <c r="G49" s="53"/>
      <c r="H49" s="53">
        <f>IF(WEEKDAY(A49, 2)&lt;6, E49-2, E49)</f>
        <v>3.75</v>
      </c>
      <c r="I49" s="51">
        <f t="shared" si="0"/>
        <v>3.75</v>
      </c>
    </row>
    <row r="50" spans="1:9" x14ac:dyDescent="0.25">
      <c r="A50" s="133">
        <v>45320</v>
      </c>
      <c r="B50" s="51" t="s">
        <v>49</v>
      </c>
      <c r="C50" s="134">
        <v>0.6875</v>
      </c>
      <c r="D50" s="134">
        <v>0.85416666666666663</v>
      </c>
      <c r="E50" s="53">
        <f t="shared" si="1"/>
        <v>3.9999999999999991</v>
      </c>
      <c r="F50" s="51"/>
      <c r="G50" s="53">
        <f>IF(WEEKDAY(A50, 2)&lt;6, E50+2, E50)</f>
        <v>5.9999999999999991</v>
      </c>
      <c r="H50" s="51"/>
      <c r="I50" s="51">
        <f t="shared" si="0"/>
        <v>5.9999999999999991</v>
      </c>
    </row>
    <row r="51" spans="1:9" x14ac:dyDescent="0.25">
      <c r="A51" s="133">
        <v>45321</v>
      </c>
      <c r="B51" s="51" t="s">
        <v>414</v>
      </c>
      <c r="C51" s="134">
        <v>0.32291666666666669</v>
      </c>
      <c r="D51" s="134">
        <v>0.58333333333333337</v>
      </c>
      <c r="E51" s="53">
        <f t="shared" si="1"/>
        <v>5.75</v>
      </c>
      <c r="F51" s="51">
        <v>0.5</v>
      </c>
      <c r="G51" s="53"/>
      <c r="H51" s="53">
        <f>IF(WEEKDAY(A51, 2)&lt;6, E51-2, E51)</f>
        <v>3.75</v>
      </c>
      <c r="I51" s="51">
        <f t="shared" si="0"/>
        <v>3.75</v>
      </c>
    </row>
    <row r="52" spans="1:9" x14ac:dyDescent="0.25">
      <c r="A52" s="133">
        <v>45321</v>
      </c>
      <c r="B52" s="51" t="s">
        <v>56</v>
      </c>
      <c r="C52" s="134">
        <v>0.70833333333333337</v>
      </c>
      <c r="D52" s="134">
        <v>0.9375</v>
      </c>
      <c r="E52" s="53">
        <f t="shared" si="1"/>
        <v>5.4999999999999991</v>
      </c>
      <c r="F52" s="51"/>
      <c r="G52" s="53">
        <f>IF(WEEKDAY(A52, 2)&lt;6, E52+2, E52)</f>
        <v>7.4999999999999991</v>
      </c>
      <c r="H52" s="53"/>
      <c r="I52" s="51">
        <f t="shared" si="0"/>
        <v>7.4999999999999991</v>
      </c>
    </row>
    <row r="53" spans="1:9" x14ac:dyDescent="0.25">
      <c r="A53" s="133">
        <v>45322</v>
      </c>
      <c r="B53" s="51" t="s">
        <v>414</v>
      </c>
      <c r="C53" s="134">
        <v>0.32291666666666669</v>
      </c>
      <c r="D53" s="134">
        <v>0.58333333333333337</v>
      </c>
      <c r="E53" s="53">
        <f t="shared" si="1"/>
        <v>5.75</v>
      </c>
      <c r="F53" s="51">
        <v>0.5</v>
      </c>
      <c r="G53" s="53"/>
      <c r="H53" s="53">
        <f>IF(WEEKDAY(A53, 2)&lt;6, E53-2, E53)</f>
        <v>3.75</v>
      </c>
      <c r="I53" s="51">
        <f t="shared" si="0"/>
        <v>3.75</v>
      </c>
    </row>
    <row r="54" spans="1:9" x14ac:dyDescent="0.25">
      <c r="A54" s="133">
        <v>45322</v>
      </c>
      <c r="B54" s="51" t="s">
        <v>56</v>
      </c>
      <c r="C54" s="134">
        <v>0.70833333333333337</v>
      </c>
      <c r="D54" s="134">
        <v>0.89583333333333337</v>
      </c>
      <c r="E54" s="53">
        <f t="shared" si="1"/>
        <v>4.5</v>
      </c>
      <c r="F54" s="51"/>
      <c r="G54" s="53">
        <f>IF(WEEKDAY(A54, 2)&lt;6, E54+2, E54)</f>
        <v>6.5</v>
      </c>
      <c r="H54" s="53"/>
      <c r="I54" s="51">
        <f t="shared" si="0"/>
        <v>6.5</v>
      </c>
    </row>
    <row r="55" spans="1:9" x14ac:dyDescent="0.25">
      <c r="A55" s="133">
        <v>45323</v>
      </c>
      <c r="B55" s="51" t="s">
        <v>414</v>
      </c>
      <c r="C55" s="134">
        <v>0.32291666666666669</v>
      </c>
      <c r="D55" s="134">
        <v>0.58333333333333337</v>
      </c>
      <c r="E55" s="53">
        <f t="shared" si="1"/>
        <v>5.75</v>
      </c>
      <c r="F55" s="51">
        <v>0.5</v>
      </c>
      <c r="G55" s="53"/>
      <c r="H55" s="53">
        <f>IF(WEEKDAY(A55, 2)&lt;6, E55-2, E55)</f>
        <v>3.75</v>
      </c>
      <c r="I55" s="51">
        <f t="shared" si="0"/>
        <v>3.75</v>
      </c>
    </row>
    <row r="56" spans="1:9" x14ac:dyDescent="0.25">
      <c r="A56" s="133">
        <v>45323</v>
      </c>
      <c r="B56" s="51" t="s">
        <v>56</v>
      </c>
      <c r="C56" s="134">
        <v>0.77083333333333337</v>
      </c>
      <c r="D56" s="134">
        <v>0.9375</v>
      </c>
      <c r="E56" s="53">
        <f t="shared" si="1"/>
        <v>3.9999999999999991</v>
      </c>
      <c r="F56" s="51"/>
      <c r="G56" s="53">
        <f>IF(WEEKDAY(A56, 2)&lt;6, E56+2, E56)</f>
        <v>5.9999999999999991</v>
      </c>
      <c r="H56" s="53"/>
      <c r="I56" s="51">
        <f t="shared" si="0"/>
        <v>5.9999999999999991</v>
      </c>
    </row>
    <row r="57" spans="1:9" x14ac:dyDescent="0.25">
      <c r="A57" s="133">
        <v>45324</v>
      </c>
      <c r="B57" s="51" t="s">
        <v>414</v>
      </c>
      <c r="C57" s="134">
        <v>0.32291666666666669</v>
      </c>
      <c r="D57" s="134">
        <v>0.58333333333333337</v>
      </c>
      <c r="E57" s="53">
        <f t="shared" si="1"/>
        <v>5.75</v>
      </c>
      <c r="F57" s="51">
        <v>0.5</v>
      </c>
      <c r="G57" s="53"/>
      <c r="H57" s="53">
        <f t="shared" ref="H57:H60" si="11">IF(WEEKDAY(A57, 2)&lt;6, E57-2, E57)</f>
        <v>3.75</v>
      </c>
      <c r="I57" s="51">
        <f t="shared" si="0"/>
        <v>3.75</v>
      </c>
    </row>
    <row r="58" spans="1:9" x14ac:dyDescent="0.25">
      <c r="A58" s="133">
        <v>45327</v>
      </c>
      <c r="B58" s="51" t="s">
        <v>414</v>
      </c>
      <c r="C58" s="134">
        <v>0.32291666666666669</v>
      </c>
      <c r="D58" s="134">
        <v>0.58333333333333337</v>
      </c>
      <c r="E58" s="53">
        <f t="shared" si="1"/>
        <v>5.75</v>
      </c>
      <c r="F58" s="51">
        <v>0.5</v>
      </c>
      <c r="G58" s="53"/>
      <c r="H58" s="53">
        <f t="shared" si="11"/>
        <v>3.75</v>
      </c>
      <c r="I58" s="51">
        <f t="shared" si="0"/>
        <v>3.75</v>
      </c>
    </row>
    <row r="59" spans="1:9" x14ac:dyDescent="0.25">
      <c r="A59" s="133">
        <v>45328</v>
      </c>
      <c r="B59" s="51" t="s">
        <v>414</v>
      </c>
      <c r="C59" s="134">
        <v>0.32291666666666669</v>
      </c>
      <c r="D59" s="134">
        <v>0.58333333333333337</v>
      </c>
      <c r="E59" s="53">
        <f t="shared" si="1"/>
        <v>5.75</v>
      </c>
      <c r="F59" s="51">
        <v>0.5</v>
      </c>
      <c r="G59" s="53"/>
      <c r="H59" s="53">
        <f t="shared" si="11"/>
        <v>3.75</v>
      </c>
      <c r="I59" s="51">
        <f t="shared" si="0"/>
        <v>3.75</v>
      </c>
    </row>
    <row r="60" spans="1:9" x14ac:dyDescent="0.25">
      <c r="A60" s="133">
        <v>45329</v>
      </c>
      <c r="B60" s="51" t="s">
        <v>414</v>
      </c>
      <c r="C60" s="134">
        <v>0.32291666666666669</v>
      </c>
      <c r="D60" s="134">
        <v>0.58333333333333337</v>
      </c>
      <c r="E60" s="53">
        <f t="shared" si="1"/>
        <v>5.75</v>
      </c>
      <c r="F60" s="51">
        <v>0.5</v>
      </c>
      <c r="G60" s="53"/>
      <c r="H60" s="53">
        <f t="shared" si="11"/>
        <v>3.75</v>
      </c>
      <c r="I60" s="51">
        <f t="shared" si="0"/>
        <v>3.75</v>
      </c>
    </row>
    <row r="61" spans="1:9" x14ac:dyDescent="0.25">
      <c r="A61" s="133">
        <v>45329</v>
      </c>
      <c r="B61" s="51" t="s">
        <v>56</v>
      </c>
      <c r="C61" s="134">
        <v>0.6875</v>
      </c>
      <c r="D61" s="134">
        <v>0.875</v>
      </c>
      <c r="E61" s="53">
        <f t="shared" si="1"/>
        <v>4.5</v>
      </c>
      <c r="F61" s="51"/>
      <c r="G61" s="53">
        <f t="shared" ref="G61:G62" si="12">IF(WEEKDAY(A61, 2)&lt;6, E61+2, E61)</f>
        <v>6.5</v>
      </c>
      <c r="H61" s="53"/>
      <c r="I61" s="51">
        <f t="shared" si="0"/>
        <v>6.5</v>
      </c>
    </row>
    <row r="62" spans="1:9" x14ac:dyDescent="0.25">
      <c r="A62" s="133">
        <v>45329</v>
      </c>
      <c r="B62" s="51" t="s">
        <v>49</v>
      </c>
      <c r="C62" s="134">
        <v>0.70833333333333337</v>
      </c>
      <c r="D62" s="134">
        <v>0.89583333333333337</v>
      </c>
      <c r="E62" s="53">
        <f t="shared" si="1"/>
        <v>4.5</v>
      </c>
      <c r="F62" s="51"/>
      <c r="G62" s="53">
        <f t="shared" si="12"/>
        <v>6.5</v>
      </c>
      <c r="H62" s="51"/>
      <c r="I62" s="51">
        <f t="shared" si="0"/>
        <v>6.5</v>
      </c>
    </row>
    <row r="63" spans="1:9" x14ac:dyDescent="0.25">
      <c r="A63" s="133">
        <v>45330</v>
      </c>
      <c r="B63" s="51" t="s">
        <v>414</v>
      </c>
      <c r="C63" s="134">
        <v>0.32291666666666669</v>
      </c>
      <c r="D63" s="134">
        <v>0.58333333333333337</v>
      </c>
      <c r="E63" s="53">
        <f t="shared" si="1"/>
        <v>5.75</v>
      </c>
      <c r="F63" s="51">
        <v>0.5</v>
      </c>
      <c r="G63" s="53"/>
      <c r="H63" s="53">
        <f>IF(WEEKDAY(A63, 2)&lt;6, E63-2, E63)</f>
        <v>3.75</v>
      </c>
      <c r="I63" s="51">
        <f t="shared" si="0"/>
        <v>3.75</v>
      </c>
    </row>
    <row r="64" spans="1:9" x14ac:dyDescent="0.25">
      <c r="A64" s="133">
        <v>45330</v>
      </c>
      <c r="B64" s="51" t="s">
        <v>56</v>
      </c>
      <c r="C64" s="134">
        <v>0.77083333333333337</v>
      </c>
      <c r="D64" s="134">
        <v>0.91666666666666663</v>
      </c>
      <c r="E64" s="53">
        <f t="shared" si="1"/>
        <v>3.4999999999999982</v>
      </c>
      <c r="F64" s="51"/>
      <c r="G64" s="53">
        <f>IF(WEEKDAY(A64, 2)&lt;6, E64+2, E64)</f>
        <v>5.4999999999999982</v>
      </c>
      <c r="H64" s="53"/>
      <c r="I64" s="51">
        <f t="shared" si="0"/>
        <v>5.4999999999999982</v>
      </c>
    </row>
    <row r="65" spans="1:9" x14ac:dyDescent="0.25">
      <c r="A65" s="133">
        <v>45331</v>
      </c>
      <c r="B65" s="51" t="s">
        <v>414</v>
      </c>
      <c r="C65" s="134">
        <v>0.32291666666666669</v>
      </c>
      <c r="D65" s="134">
        <v>0.58333333333333337</v>
      </c>
      <c r="E65" s="53">
        <f t="shared" si="1"/>
        <v>5.75</v>
      </c>
      <c r="F65" s="51">
        <v>0.5</v>
      </c>
      <c r="G65" s="53"/>
      <c r="H65" s="53">
        <f>IF(WEEKDAY(A65, 2)&lt;6, E65-2, E65)</f>
        <v>3.75</v>
      </c>
      <c r="I65" s="51">
        <f t="shared" si="0"/>
        <v>3.75</v>
      </c>
    </row>
    <row r="66" spans="1:9" x14ac:dyDescent="0.25">
      <c r="A66" s="133">
        <v>45331</v>
      </c>
      <c r="B66" s="51" t="s">
        <v>53</v>
      </c>
      <c r="C66" s="134">
        <v>0.75</v>
      </c>
      <c r="D66" s="134">
        <v>0.91666666666666663</v>
      </c>
      <c r="E66" s="53">
        <f t="shared" si="1"/>
        <v>3.9999999999999991</v>
      </c>
      <c r="F66" s="51"/>
      <c r="G66" s="53">
        <f t="shared" ref="G66:G73" si="13">IF(WEEKDAY(A66, 2)&lt;6, E66+2, E66)</f>
        <v>5.9999999999999991</v>
      </c>
      <c r="H66" s="51"/>
      <c r="I66" s="51">
        <f t="shared" ref="I66:I129" si="14">IF(G66&lt;&gt;"",G66,H66)</f>
        <v>5.9999999999999991</v>
      </c>
    </row>
    <row r="67" spans="1:9" x14ac:dyDescent="0.25">
      <c r="A67" s="133">
        <v>45331</v>
      </c>
      <c r="B67" s="51" t="s">
        <v>58</v>
      </c>
      <c r="C67" s="134">
        <v>0.75</v>
      </c>
      <c r="D67" s="134">
        <v>0.95833333333333337</v>
      </c>
      <c r="E67" s="53">
        <f t="shared" ref="E67:E129" si="15">MOD((D67-C67),1) *24 - F67</f>
        <v>5.0000000000000009</v>
      </c>
      <c r="F67" s="51"/>
      <c r="G67" s="53">
        <f t="shared" si="13"/>
        <v>7.0000000000000009</v>
      </c>
      <c r="H67" s="51"/>
      <c r="I67" s="51">
        <f t="shared" si="14"/>
        <v>7.0000000000000009</v>
      </c>
    </row>
    <row r="68" spans="1:9" x14ac:dyDescent="0.25">
      <c r="A68" s="133">
        <v>45332</v>
      </c>
      <c r="B68" s="51" t="s">
        <v>49</v>
      </c>
      <c r="C68" s="134">
        <v>0.33333333333333331</v>
      </c>
      <c r="D68" s="134">
        <v>0.58333333333333337</v>
      </c>
      <c r="E68" s="53">
        <f t="shared" si="15"/>
        <v>5.5000000000000018</v>
      </c>
      <c r="F68" s="51">
        <v>0.5</v>
      </c>
      <c r="G68" s="53">
        <f t="shared" si="13"/>
        <v>5.5000000000000018</v>
      </c>
      <c r="H68" s="51"/>
      <c r="I68" s="51">
        <f t="shared" si="14"/>
        <v>5.5000000000000018</v>
      </c>
    </row>
    <row r="69" spans="1:9" x14ac:dyDescent="0.25">
      <c r="A69" s="133">
        <v>45332</v>
      </c>
      <c r="B69" s="51" t="s">
        <v>56</v>
      </c>
      <c r="C69" s="134">
        <v>0.33333333333333331</v>
      </c>
      <c r="D69" s="134">
        <v>0.70833333333333337</v>
      </c>
      <c r="E69" s="53">
        <f t="shared" si="15"/>
        <v>8.0000000000000018</v>
      </c>
      <c r="F69" s="51">
        <v>1</v>
      </c>
      <c r="G69" s="53">
        <f t="shared" si="13"/>
        <v>8.0000000000000018</v>
      </c>
      <c r="H69" s="53"/>
      <c r="I69" s="51">
        <f t="shared" si="14"/>
        <v>8.0000000000000018</v>
      </c>
    </row>
    <row r="70" spans="1:9" x14ac:dyDescent="0.25">
      <c r="A70" s="133">
        <v>45332</v>
      </c>
      <c r="B70" s="51" t="s">
        <v>47</v>
      </c>
      <c r="C70" s="134">
        <v>0.33333333333333331</v>
      </c>
      <c r="D70" s="134">
        <v>0.5</v>
      </c>
      <c r="E70" s="53">
        <f t="shared" si="15"/>
        <v>4</v>
      </c>
      <c r="F70" s="51"/>
      <c r="G70" s="53">
        <f t="shared" si="13"/>
        <v>4</v>
      </c>
      <c r="H70" s="51"/>
      <c r="I70" s="51">
        <f t="shared" si="14"/>
        <v>4</v>
      </c>
    </row>
    <row r="71" spans="1:9" x14ac:dyDescent="0.25">
      <c r="A71" s="133">
        <v>45332</v>
      </c>
      <c r="B71" s="51" t="s">
        <v>53</v>
      </c>
      <c r="C71" s="134">
        <v>0.625</v>
      </c>
      <c r="D71" s="134">
        <v>4.1666666666666664E-2</v>
      </c>
      <c r="E71" s="53">
        <f t="shared" si="15"/>
        <v>9</v>
      </c>
      <c r="F71" s="51">
        <v>1</v>
      </c>
      <c r="G71" s="53">
        <f t="shared" si="13"/>
        <v>9</v>
      </c>
      <c r="H71" s="51"/>
      <c r="I71" s="51">
        <f t="shared" si="14"/>
        <v>9</v>
      </c>
    </row>
    <row r="72" spans="1:9" x14ac:dyDescent="0.25">
      <c r="A72" s="133">
        <v>45332</v>
      </c>
      <c r="B72" s="51" t="s">
        <v>58</v>
      </c>
      <c r="C72" s="134">
        <v>0.70833333333333337</v>
      </c>
      <c r="D72" s="134">
        <v>0</v>
      </c>
      <c r="E72" s="53">
        <f t="shared" si="15"/>
        <v>6.4999999999999991</v>
      </c>
      <c r="F72" s="51">
        <v>0.5</v>
      </c>
      <c r="G72" s="53">
        <f t="shared" si="13"/>
        <v>6.4999999999999991</v>
      </c>
      <c r="H72" s="51"/>
      <c r="I72" s="51">
        <f t="shared" si="14"/>
        <v>6.4999999999999991</v>
      </c>
    </row>
    <row r="73" spans="1:9" x14ac:dyDescent="0.25">
      <c r="A73" s="133">
        <v>45333</v>
      </c>
      <c r="B73" s="51" t="s">
        <v>53</v>
      </c>
      <c r="C73" s="134">
        <v>0.3125</v>
      </c>
      <c r="D73" s="134">
        <v>0.79166666666666663</v>
      </c>
      <c r="E73" s="53">
        <f t="shared" si="15"/>
        <v>10.5</v>
      </c>
      <c r="F73" s="51">
        <v>1</v>
      </c>
      <c r="G73" s="53">
        <f t="shared" si="13"/>
        <v>10.5</v>
      </c>
      <c r="H73" s="51"/>
      <c r="I73" s="51">
        <f t="shared" si="14"/>
        <v>10.5</v>
      </c>
    </row>
    <row r="74" spans="1:9" x14ac:dyDescent="0.25">
      <c r="A74" s="133">
        <v>45334</v>
      </c>
      <c r="B74" s="51" t="s">
        <v>414</v>
      </c>
      <c r="C74" s="134">
        <v>0.32291666666666669</v>
      </c>
      <c r="D74" s="134">
        <v>0.58333333333333337</v>
      </c>
      <c r="E74" s="53">
        <f t="shared" si="15"/>
        <v>5.75</v>
      </c>
      <c r="F74" s="51">
        <v>0.5</v>
      </c>
      <c r="G74" s="53"/>
      <c r="H74" s="53">
        <f t="shared" ref="H74:H75" si="16">IF(WEEKDAY(A74, 2)&lt;6, E74-2, E74)</f>
        <v>3.75</v>
      </c>
      <c r="I74" s="51">
        <f t="shared" si="14"/>
        <v>3.75</v>
      </c>
    </row>
    <row r="75" spans="1:9" x14ac:dyDescent="0.25">
      <c r="A75" s="133">
        <v>45335</v>
      </c>
      <c r="B75" s="51" t="s">
        <v>414</v>
      </c>
      <c r="C75" s="134">
        <v>0.32291666666666669</v>
      </c>
      <c r="D75" s="134">
        <v>0.58333333333333337</v>
      </c>
      <c r="E75" s="53">
        <f t="shared" si="15"/>
        <v>5.75</v>
      </c>
      <c r="F75" s="51">
        <v>0.5</v>
      </c>
      <c r="G75" s="53"/>
      <c r="H75" s="53">
        <f t="shared" si="16"/>
        <v>3.75</v>
      </c>
      <c r="I75" s="51">
        <f t="shared" si="14"/>
        <v>3.75</v>
      </c>
    </row>
    <row r="76" spans="1:9" x14ac:dyDescent="0.25">
      <c r="A76" s="133">
        <v>45335</v>
      </c>
      <c r="B76" s="51" t="s">
        <v>44</v>
      </c>
      <c r="C76" s="134">
        <v>0.625</v>
      </c>
      <c r="D76" s="134">
        <v>0.72916666666666663</v>
      </c>
      <c r="E76" s="53">
        <f t="shared" si="15"/>
        <v>2.4999999999999991</v>
      </c>
      <c r="F76" s="51"/>
      <c r="G76" s="53">
        <f>IF(WEEKDAY(A76, 2)&lt;6, E76+2, E76)</f>
        <v>4.4999999999999991</v>
      </c>
      <c r="H76" s="51"/>
      <c r="I76" s="51">
        <f t="shared" si="14"/>
        <v>4.4999999999999991</v>
      </c>
    </row>
    <row r="77" spans="1:9" x14ac:dyDescent="0.25">
      <c r="A77" s="133">
        <v>45336</v>
      </c>
      <c r="B77" s="51" t="s">
        <v>414</v>
      </c>
      <c r="C77" s="134">
        <v>0.32291666666666669</v>
      </c>
      <c r="D77" s="134">
        <v>0.58333333333333337</v>
      </c>
      <c r="E77" s="53">
        <f t="shared" si="15"/>
        <v>5.75</v>
      </c>
      <c r="F77" s="51">
        <v>0.5</v>
      </c>
      <c r="G77" s="53"/>
      <c r="H77" s="53">
        <f>IF(WEEKDAY(A77, 2)&lt;6, E77-2, E77)</f>
        <v>3.75</v>
      </c>
      <c r="I77" s="51">
        <f t="shared" si="14"/>
        <v>3.75</v>
      </c>
    </row>
    <row r="78" spans="1:9" x14ac:dyDescent="0.25">
      <c r="A78" s="133">
        <v>45336</v>
      </c>
      <c r="B78" s="51" t="s">
        <v>49</v>
      </c>
      <c r="C78" s="134">
        <v>0.70833333333333337</v>
      </c>
      <c r="D78" s="134">
        <v>0.89583333333333337</v>
      </c>
      <c r="E78" s="53">
        <f t="shared" si="15"/>
        <v>4.5</v>
      </c>
      <c r="F78" s="51"/>
      <c r="G78" s="53">
        <f>IF(WEEKDAY(A78, 2)&lt;6, E78+2, E78)</f>
        <v>6.5</v>
      </c>
      <c r="H78" s="51"/>
      <c r="I78" s="51">
        <f t="shared" si="14"/>
        <v>6.5</v>
      </c>
    </row>
    <row r="79" spans="1:9" x14ac:dyDescent="0.25">
      <c r="A79" s="133">
        <v>45337</v>
      </c>
      <c r="B79" s="51" t="s">
        <v>414</v>
      </c>
      <c r="C79" s="134">
        <v>0.32291666666666669</v>
      </c>
      <c r="D79" s="134">
        <v>0.58333333333333337</v>
      </c>
      <c r="E79" s="53">
        <f t="shared" si="15"/>
        <v>5.75</v>
      </c>
      <c r="F79" s="51">
        <v>0.5</v>
      </c>
      <c r="G79" s="53"/>
      <c r="H79" s="53">
        <f>IF(WEEKDAY(A79, 2)&lt;6, E79-2, E79)</f>
        <v>3.75</v>
      </c>
      <c r="I79" s="51">
        <f t="shared" si="14"/>
        <v>3.75</v>
      </c>
    </row>
    <row r="80" spans="1:9" x14ac:dyDescent="0.25">
      <c r="A80" s="133">
        <v>45337</v>
      </c>
      <c r="B80" s="51" t="s">
        <v>56</v>
      </c>
      <c r="C80" s="134">
        <v>0.75</v>
      </c>
      <c r="D80" s="134">
        <v>0.91666666666666663</v>
      </c>
      <c r="E80" s="53">
        <f t="shared" si="15"/>
        <v>3.9999999999999991</v>
      </c>
      <c r="F80" s="51"/>
      <c r="G80" s="53">
        <f>IF(WEEKDAY(A80, 2)&lt;6, E80+2, E80)</f>
        <v>5.9999999999999991</v>
      </c>
      <c r="H80" s="53"/>
      <c r="I80" s="51">
        <f t="shared" si="14"/>
        <v>5.9999999999999991</v>
      </c>
    </row>
    <row r="81" spans="1:9" x14ac:dyDescent="0.25">
      <c r="A81" s="133">
        <v>45338</v>
      </c>
      <c r="B81" s="51" t="s">
        <v>414</v>
      </c>
      <c r="C81" s="134">
        <v>0.32291666666666669</v>
      </c>
      <c r="D81" s="134">
        <v>0.58333333333333337</v>
      </c>
      <c r="E81" s="53">
        <f t="shared" si="15"/>
        <v>5.75</v>
      </c>
      <c r="F81" s="51">
        <v>0.5</v>
      </c>
      <c r="G81" s="53"/>
      <c r="H81" s="53">
        <f>IF(WEEKDAY(A81, 2)&lt;6, E81-2, E81)</f>
        <v>3.75</v>
      </c>
      <c r="I81" s="51">
        <f t="shared" si="14"/>
        <v>3.75</v>
      </c>
    </row>
    <row r="82" spans="1:9" x14ac:dyDescent="0.25">
      <c r="A82" s="133">
        <v>45338</v>
      </c>
      <c r="B82" s="51" t="s">
        <v>58</v>
      </c>
      <c r="C82" s="134">
        <v>0.75</v>
      </c>
      <c r="D82" s="134">
        <v>0.95833333333333337</v>
      </c>
      <c r="E82" s="53">
        <f t="shared" si="15"/>
        <v>5.0000000000000009</v>
      </c>
      <c r="F82" s="51"/>
      <c r="G82" s="53">
        <f t="shared" ref="G82:G89" si="17">IF(WEEKDAY(A82, 2)&lt;6, E82+2, E82)</f>
        <v>7.0000000000000009</v>
      </c>
      <c r="H82" s="51"/>
      <c r="I82" s="51">
        <f t="shared" si="14"/>
        <v>7.0000000000000009</v>
      </c>
    </row>
    <row r="83" spans="1:9" x14ac:dyDescent="0.25">
      <c r="A83" s="133">
        <v>45339</v>
      </c>
      <c r="B83" s="51" t="s">
        <v>56</v>
      </c>
      <c r="C83" s="134">
        <v>0.33333333333333331</v>
      </c>
      <c r="D83" s="134">
        <v>0.5</v>
      </c>
      <c r="E83" s="53">
        <f t="shared" si="15"/>
        <v>4</v>
      </c>
      <c r="F83" s="51"/>
      <c r="G83" s="53">
        <f t="shared" si="17"/>
        <v>4</v>
      </c>
      <c r="H83" s="53"/>
      <c r="I83" s="51">
        <f t="shared" si="14"/>
        <v>4</v>
      </c>
    </row>
    <row r="84" spans="1:9" x14ac:dyDescent="0.25">
      <c r="A84" s="133">
        <v>45339</v>
      </c>
      <c r="B84" s="51" t="s">
        <v>49</v>
      </c>
      <c r="C84" s="134">
        <v>0.375</v>
      </c>
      <c r="D84" s="134">
        <v>0.54166666666666663</v>
      </c>
      <c r="E84" s="53">
        <f t="shared" si="15"/>
        <v>3.9999999999999991</v>
      </c>
      <c r="F84" s="51"/>
      <c r="G84" s="53">
        <f t="shared" si="17"/>
        <v>3.9999999999999991</v>
      </c>
      <c r="H84" s="51"/>
      <c r="I84" s="51">
        <f t="shared" si="14"/>
        <v>3.9999999999999991</v>
      </c>
    </row>
    <row r="85" spans="1:9" x14ac:dyDescent="0.25">
      <c r="A85" s="133">
        <v>45339</v>
      </c>
      <c r="B85" s="51" t="s">
        <v>58</v>
      </c>
      <c r="C85" s="134">
        <v>0.5</v>
      </c>
      <c r="D85" s="134">
        <v>0.8125</v>
      </c>
      <c r="E85" s="53">
        <f t="shared" si="15"/>
        <v>7</v>
      </c>
      <c r="F85" s="51">
        <v>0.5</v>
      </c>
      <c r="G85" s="53">
        <f t="shared" si="17"/>
        <v>7</v>
      </c>
      <c r="H85" s="51"/>
      <c r="I85" s="51">
        <f t="shared" si="14"/>
        <v>7</v>
      </c>
    </row>
    <row r="86" spans="1:9" x14ac:dyDescent="0.25">
      <c r="A86" s="133">
        <v>45339</v>
      </c>
      <c r="B86" s="51" t="s">
        <v>46</v>
      </c>
      <c r="C86" s="134">
        <v>0.54166666666666663</v>
      </c>
      <c r="D86" s="134">
        <v>0.83333333333333337</v>
      </c>
      <c r="E86" s="53">
        <f t="shared" si="15"/>
        <v>6.5000000000000018</v>
      </c>
      <c r="F86" s="51">
        <v>0.5</v>
      </c>
      <c r="G86" s="53">
        <f t="shared" si="17"/>
        <v>6.5000000000000018</v>
      </c>
      <c r="H86" s="51"/>
      <c r="I86" s="51">
        <f t="shared" si="14"/>
        <v>6.5000000000000018</v>
      </c>
    </row>
    <row r="87" spans="1:9" x14ac:dyDescent="0.25">
      <c r="A87" s="133">
        <v>45339</v>
      </c>
      <c r="B87" s="51" t="s">
        <v>53</v>
      </c>
      <c r="C87" s="134">
        <v>0.625</v>
      </c>
      <c r="D87" s="134">
        <v>0.95833333333333337</v>
      </c>
      <c r="E87" s="53">
        <f t="shared" si="15"/>
        <v>7.5</v>
      </c>
      <c r="F87" s="51">
        <v>0.5</v>
      </c>
      <c r="G87" s="53">
        <f t="shared" si="17"/>
        <v>7.5</v>
      </c>
      <c r="H87" s="51"/>
      <c r="I87" s="51">
        <f t="shared" si="14"/>
        <v>7.5</v>
      </c>
    </row>
    <row r="88" spans="1:9" x14ac:dyDescent="0.25">
      <c r="A88" s="133">
        <v>45340</v>
      </c>
      <c r="B88" s="51" t="s">
        <v>53</v>
      </c>
      <c r="C88" s="134">
        <v>0.45833333333333331</v>
      </c>
      <c r="D88" s="134">
        <v>0.875</v>
      </c>
      <c r="E88" s="53">
        <f t="shared" si="15"/>
        <v>9</v>
      </c>
      <c r="F88" s="51">
        <v>1</v>
      </c>
      <c r="G88" s="53">
        <f t="shared" si="17"/>
        <v>9</v>
      </c>
      <c r="H88" s="51"/>
      <c r="I88" s="51">
        <f t="shared" si="14"/>
        <v>9</v>
      </c>
    </row>
    <row r="89" spans="1:9" x14ac:dyDescent="0.25">
      <c r="A89" s="133">
        <v>45340</v>
      </c>
      <c r="B89" s="51" t="s">
        <v>58</v>
      </c>
      <c r="C89" s="134">
        <v>0.66666666666666663</v>
      </c>
      <c r="D89" s="134">
        <v>0.85416666666666663</v>
      </c>
      <c r="E89" s="53">
        <f t="shared" si="15"/>
        <v>4.5</v>
      </c>
      <c r="F89" s="51"/>
      <c r="G89" s="53">
        <f t="shared" si="17"/>
        <v>4.5</v>
      </c>
      <c r="H89" s="51"/>
      <c r="I89" s="51">
        <f t="shared" si="14"/>
        <v>4.5</v>
      </c>
    </row>
    <row r="90" spans="1:9" x14ac:dyDescent="0.25">
      <c r="A90" s="133">
        <v>45342</v>
      </c>
      <c r="B90" s="51" t="s">
        <v>414</v>
      </c>
      <c r="C90" s="134">
        <v>0.32291666666666669</v>
      </c>
      <c r="D90" s="134">
        <v>0.58333333333333337</v>
      </c>
      <c r="E90" s="53">
        <f t="shared" si="15"/>
        <v>5.75</v>
      </c>
      <c r="F90" s="51">
        <v>0.5</v>
      </c>
      <c r="G90" s="53"/>
      <c r="H90" s="53">
        <f t="shared" ref="H90:H91" si="18">IF(WEEKDAY(A90, 2)&lt;6, E90-2, E90)</f>
        <v>3.75</v>
      </c>
      <c r="I90" s="51">
        <f t="shared" si="14"/>
        <v>3.75</v>
      </c>
    </row>
    <row r="91" spans="1:9" x14ac:dyDescent="0.25">
      <c r="A91" s="133">
        <v>45343</v>
      </c>
      <c r="B91" s="51" t="s">
        <v>414</v>
      </c>
      <c r="C91" s="134">
        <v>0.32291666666666669</v>
      </c>
      <c r="D91" s="134">
        <v>0.58333333333333337</v>
      </c>
      <c r="E91" s="53">
        <f t="shared" si="15"/>
        <v>5.75</v>
      </c>
      <c r="F91" s="51">
        <v>0.5</v>
      </c>
      <c r="G91" s="53"/>
      <c r="H91" s="53">
        <f t="shared" si="18"/>
        <v>3.75</v>
      </c>
      <c r="I91" s="51">
        <f t="shared" si="14"/>
        <v>3.75</v>
      </c>
    </row>
    <row r="92" spans="1:9" x14ac:dyDescent="0.25">
      <c r="A92" s="133">
        <v>45343</v>
      </c>
      <c r="B92" s="51" t="s">
        <v>49</v>
      </c>
      <c r="C92" s="134">
        <v>0.70833333333333337</v>
      </c>
      <c r="D92" s="134">
        <v>0.89583333333333337</v>
      </c>
      <c r="E92" s="53">
        <f t="shared" si="15"/>
        <v>4.5</v>
      </c>
      <c r="F92" s="51"/>
      <c r="G92" s="53">
        <f>IF(WEEKDAY(A92, 2)&lt;6, E92+2, E92)</f>
        <v>6.5</v>
      </c>
      <c r="H92" s="51"/>
      <c r="I92" s="51">
        <f t="shared" si="14"/>
        <v>6.5</v>
      </c>
    </row>
    <row r="93" spans="1:9" x14ac:dyDescent="0.25">
      <c r="A93" s="133">
        <v>45344</v>
      </c>
      <c r="B93" s="51" t="s">
        <v>414</v>
      </c>
      <c r="C93" s="134">
        <v>0.32291666666666669</v>
      </c>
      <c r="D93" s="134">
        <v>0.58333333333333337</v>
      </c>
      <c r="E93" s="53">
        <f t="shared" si="15"/>
        <v>5.75</v>
      </c>
      <c r="F93" s="51">
        <v>0.5</v>
      </c>
      <c r="G93" s="53"/>
      <c r="H93" s="53">
        <f>IF(WEEKDAY(A93, 2)&lt;6, E93-2, E93)</f>
        <v>3.75</v>
      </c>
      <c r="I93" s="51">
        <f t="shared" si="14"/>
        <v>3.75</v>
      </c>
    </row>
    <row r="94" spans="1:9" x14ac:dyDescent="0.25">
      <c r="A94" s="133">
        <v>45344</v>
      </c>
      <c r="B94" s="51" t="s">
        <v>56</v>
      </c>
      <c r="C94" s="134">
        <v>0.625</v>
      </c>
      <c r="D94" s="134">
        <v>0.95833333333333337</v>
      </c>
      <c r="E94" s="53">
        <f t="shared" si="15"/>
        <v>7</v>
      </c>
      <c r="F94" s="51">
        <v>1</v>
      </c>
      <c r="G94" s="53">
        <f t="shared" ref="G94:G95" si="19">IF(WEEKDAY(A94, 2)&lt;6, E94+2, E94)</f>
        <v>9</v>
      </c>
      <c r="H94" s="53"/>
      <c r="I94" s="51">
        <f t="shared" si="14"/>
        <v>9</v>
      </c>
    </row>
    <row r="95" spans="1:9" x14ac:dyDescent="0.25">
      <c r="A95" s="133">
        <v>45344</v>
      </c>
      <c r="B95" s="51" t="s">
        <v>49</v>
      </c>
      <c r="C95" s="134">
        <v>0.77083333333333337</v>
      </c>
      <c r="D95" s="134">
        <v>0.9375</v>
      </c>
      <c r="E95" s="53">
        <f t="shared" si="15"/>
        <v>3.9999999999999991</v>
      </c>
      <c r="F95" s="51"/>
      <c r="G95" s="53">
        <f t="shared" si="19"/>
        <v>5.9999999999999991</v>
      </c>
      <c r="H95" s="51"/>
      <c r="I95" s="51">
        <f t="shared" si="14"/>
        <v>5.9999999999999991</v>
      </c>
    </row>
    <row r="96" spans="1:9" x14ac:dyDescent="0.25">
      <c r="A96" s="133">
        <v>45345</v>
      </c>
      <c r="B96" s="51" t="s">
        <v>414</v>
      </c>
      <c r="C96" s="134">
        <v>0.32291666666666669</v>
      </c>
      <c r="D96" s="134">
        <v>0.58333333333333337</v>
      </c>
      <c r="E96" s="53">
        <f t="shared" si="15"/>
        <v>5.75</v>
      </c>
      <c r="F96" s="51">
        <v>0.5</v>
      </c>
      <c r="G96" s="53"/>
      <c r="H96" s="53">
        <f>IF(WEEKDAY(A96, 2)&lt;6, E96-2, E96)</f>
        <v>3.75</v>
      </c>
      <c r="I96" s="51">
        <f t="shared" si="14"/>
        <v>3.75</v>
      </c>
    </row>
    <row r="97" spans="1:9" x14ac:dyDescent="0.25">
      <c r="A97" s="133">
        <v>45345</v>
      </c>
      <c r="B97" s="51" t="s">
        <v>58</v>
      </c>
      <c r="C97" s="134">
        <v>0.75</v>
      </c>
      <c r="D97" s="134">
        <v>0.95833333333333337</v>
      </c>
      <c r="E97" s="53">
        <f t="shared" si="15"/>
        <v>5.0000000000000009</v>
      </c>
      <c r="F97" s="51"/>
      <c r="G97" s="53">
        <f t="shared" ref="G97:G101" si="20">IF(WEEKDAY(A97, 2)&lt;6, E97+2, E97)</f>
        <v>7.0000000000000009</v>
      </c>
      <c r="H97" s="51"/>
      <c r="I97" s="51">
        <f t="shared" si="14"/>
        <v>7.0000000000000009</v>
      </c>
    </row>
    <row r="98" spans="1:9" x14ac:dyDescent="0.25">
      <c r="A98" s="133">
        <v>45346</v>
      </c>
      <c r="B98" s="51" t="s">
        <v>56</v>
      </c>
      <c r="C98" s="134">
        <v>0.33333333333333331</v>
      </c>
      <c r="D98" s="134">
        <v>0.5</v>
      </c>
      <c r="E98" s="53">
        <f t="shared" si="15"/>
        <v>4</v>
      </c>
      <c r="F98" s="51"/>
      <c r="G98" s="53">
        <f t="shared" si="20"/>
        <v>4</v>
      </c>
      <c r="H98" s="53"/>
      <c r="I98" s="51">
        <f t="shared" si="14"/>
        <v>4</v>
      </c>
    </row>
    <row r="99" spans="1:9" x14ac:dyDescent="0.25">
      <c r="A99" s="133">
        <v>45346</v>
      </c>
      <c r="B99" s="51" t="s">
        <v>53</v>
      </c>
      <c r="C99" s="134">
        <v>0.39583333333333331</v>
      </c>
      <c r="D99" s="134">
        <v>0.64583333333333337</v>
      </c>
      <c r="E99" s="53">
        <f t="shared" si="15"/>
        <v>5.5000000000000018</v>
      </c>
      <c r="F99" s="51">
        <v>0.5</v>
      </c>
      <c r="G99" s="53">
        <f t="shared" si="20"/>
        <v>5.5000000000000018</v>
      </c>
      <c r="H99" s="51"/>
      <c r="I99" s="51">
        <f t="shared" si="14"/>
        <v>5.5000000000000018</v>
      </c>
    </row>
    <row r="100" spans="1:9" x14ac:dyDescent="0.25">
      <c r="A100" s="133">
        <v>45346</v>
      </c>
      <c r="B100" s="51" t="s">
        <v>58</v>
      </c>
      <c r="C100" s="134">
        <v>0.6875</v>
      </c>
      <c r="D100" s="134">
        <v>0.9375</v>
      </c>
      <c r="E100" s="53">
        <f t="shared" si="15"/>
        <v>5.5</v>
      </c>
      <c r="F100" s="51">
        <v>0.5</v>
      </c>
      <c r="G100" s="53">
        <f t="shared" si="20"/>
        <v>5.5</v>
      </c>
      <c r="H100" s="51"/>
      <c r="I100" s="51">
        <f t="shared" si="14"/>
        <v>5.5</v>
      </c>
    </row>
    <row r="101" spans="1:9" x14ac:dyDescent="0.25">
      <c r="A101" s="133">
        <v>45347</v>
      </c>
      <c r="B101" s="51" t="s">
        <v>53</v>
      </c>
      <c r="C101" s="134">
        <v>0.54166666666666663</v>
      </c>
      <c r="D101" s="134">
        <v>0</v>
      </c>
      <c r="E101" s="53">
        <f t="shared" si="15"/>
        <v>10</v>
      </c>
      <c r="F101" s="51">
        <v>1</v>
      </c>
      <c r="G101" s="53">
        <f t="shared" si="20"/>
        <v>10</v>
      </c>
      <c r="H101" s="51"/>
      <c r="I101" s="51">
        <f t="shared" si="14"/>
        <v>10</v>
      </c>
    </row>
    <row r="102" spans="1:9" x14ac:dyDescent="0.25">
      <c r="A102" s="133">
        <v>45348</v>
      </c>
      <c r="B102" s="51" t="s">
        <v>414</v>
      </c>
      <c r="C102" s="134">
        <v>0.32291666666666669</v>
      </c>
      <c r="D102" s="134">
        <v>0.58333333333333337</v>
      </c>
      <c r="E102" s="53">
        <f t="shared" si="15"/>
        <v>5.75</v>
      </c>
      <c r="F102" s="51">
        <v>0.5</v>
      </c>
      <c r="G102" s="53"/>
      <c r="H102" s="53">
        <f>IF(WEEKDAY(A102, 2)&lt;6, E102-2, E102)</f>
        <v>3.75</v>
      </c>
      <c r="I102" s="51">
        <f t="shared" si="14"/>
        <v>3.75</v>
      </c>
    </row>
    <row r="103" spans="1:9" x14ac:dyDescent="0.25">
      <c r="A103" s="133">
        <v>45348</v>
      </c>
      <c r="B103" s="51" t="s">
        <v>56</v>
      </c>
      <c r="C103" s="134">
        <v>0.72916666666666663</v>
      </c>
      <c r="D103" s="134">
        <v>0.91666666666666663</v>
      </c>
      <c r="E103" s="53">
        <f t="shared" si="15"/>
        <v>4.5</v>
      </c>
      <c r="F103" s="51"/>
      <c r="G103" s="53">
        <f>IF(WEEKDAY(A103, 2)&lt;6, E103+2, E103)</f>
        <v>6.5</v>
      </c>
      <c r="H103" s="53"/>
      <c r="I103" s="51">
        <f t="shared" si="14"/>
        <v>6.5</v>
      </c>
    </row>
    <row r="104" spans="1:9" x14ac:dyDescent="0.25">
      <c r="A104" s="133">
        <v>45349</v>
      </c>
      <c r="B104" s="51" t="s">
        <v>414</v>
      </c>
      <c r="C104" s="134">
        <v>0.32291666666666669</v>
      </c>
      <c r="D104" s="134">
        <v>0.58333333333333337</v>
      </c>
      <c r="E104" s="53">
        <f t="shared" si="15"/>
        <v>5.75</v>
      </c>
      <c r="F104" s="51">
        <v>0.5</v>
      </c>
      <c r="G104" s="53"/>
      <c r="H104" s="53">
        <f>IF(WEEKDAY(A104, 2)&lt;6, E104-2, E104)</f>
        <v>3.75</v>
      </c>
      <c r="I104" s="51">
        <f t="shared" si="14"/>
        <v>3.75</v>
      </c>
    </row>
    <row r="105" spans="1:9" x14ac:dyDescent="0.25">
      <c r="A105" s="133">
        <v>45349</v>
      </c>
      <c r="B105" s="51" t="s">
        <v>44</v>
      </c>
      <c r="C105" s="134">
        <v>0.625</v>
      </c>
      <c r="D105" s="134">
        <v>0.72916666666666663</v>
      </c>
      <c r="E105" s="53">
        <f t="shared" si="15"/>
        <v>2.4999999999999991</v>
      </c>
      <c r="F105" s="51"/>
      <c r="G105" s="53">
        <f>IF(WEEKDAY(A105, 2)&lt;6, E105+2, E105)</f>
        <v>4.4999999999999991</v>
      </c>
      <c r="H105" s="51"/>
      <c r="I105" s="51">
        <f t="shared" si="14"/>
        <v>4.4999999999999991</v>
      </c>
    </row>
    <row r="106" spans="1:9" x14ac:dyDescent="0.25">
      <c r="A106" s="133">
        <v>45350</v>
      </c>
      <c r="B106" s="51" t="s">
        <v>414</v>
      </c>
      <c r="C106" s="134">
        <v>0.32291666666666669</v>
      </c>
      <c r="D106" s="134">
        <v>0.58333333333333337</v>
      </c>
      <c r="E106" s="53">
        <f t="shared" si="15"/>
        <v>5.75</v>
      </c>
      <c r="F106" s="51">
        <v>0.5</v>
      </c>
      <c r="G106" s="53"/>
      <c r="H106" s="53">
        <f>IF(WEEKDAY(A106, 2)&lt;6, E106-2, E106)</f>
        <v>3.75</v>
      </c>
      <c r="I106" s="51">
        <f t="shared" si="14"/>
        <v>3.75</v>
      </c>
    </row>
    <row r="107" spans="1:9" x14ac:dyDescent="0.25">
      <c r="A107" s="133">
        <v>45350</v>
      </c>
      <c r="B107" s="51" t="s">
        <v>49</v>
      </c>
      <c r="C107" s="134">
        <v>0.6875</v>
      </c>
      <c r="D107" s="134">
        <v>0.89583333333333337</v>
      </c>
      <c r="E107" s="53">
        <f t="shared" si="15"/>
        <v>5.0000000000000009</v>
      </c>
      <c r="F107" s="51"/>
      <c r="G107" s="53">
        <f t="shared" ref="G107:G109" si="21">IF(WEEKDAY(A107, 2)&lt;6, E107+2, E107)</f>
        <v>7.0000000000000009</v>
      </c>
      <c r="H107" s="51"/>
      <c r="I107" s="51">
        <f t="shared" si="14"/>
        <v>7.0000000000000009</v>
      </c>
    </row>
    <row r="108" spans="1:9" x14ac:dyDescent="0.25">
      <c r="A108" s="136">
        <v>45351</v>
      </c>
      <c r="B108" s="51" t="s">
        <v>49</v>
      </c>
      <c r="C108" s="134">
        <v>0.70833333333333337</v>
      </c>
      <c r="D108" s="134">
        <v>0.95833333333333337</v>
      </c>
      <c r="E108" s="53">
        <f t="shared" si="15"/>
        <v>5.5</v>
      </c>
      <c r="F108" s="51">
        <v>0.5</v>
      </c>
      <c r="G108" s="53">
        <f t="shared" si="21"/>
        <v>7.5</v>
      </c>
      <c r="H108" s="51"/>
      <c r="I108" s="51">
        <f t="shared" si="14"/>
        <v>7.5</v>
      </c>
    </row>
    <row r="109" spans="1:9" x14ac:dyDescent="0.25">
      <c r="A109" s="136">
        <v>45351</v>
      </c>
      <c r="B109" s="51" t="s">
        <v>56</v>
      </c>
      <c r="C109" s="134">
        <v>0.77083333333333337</v>
      </c>
      <c r="D109" s="134">
        <v>0.9375</v>
      </c>
      <c r="E109" s="53">
        <f t="shared" si="15"/>
        <v>3.9999999999999991</v>
      </c>
      <c r="F109" s="51"/>
      <c r="G109" s="53">
        <f t="shared" si="21"/>
        <v>5.9999999999999991</v>
      </c>
      <c r="H109" s="53"/>
      <c r="I109" s="51">
        <f t="shared" si="14"/>
        <v>5.9999999999999991</v>
      </c>
    </row>
    <row r="110" spans="1:9" x14ac:dyDescent="0.25">
      <c r="A110" s="133">
        <v>45352</v>
      </c>
      <c r="B110" s="51" t="s">
        <v>414</v>
      </c>
      <c r="C110" s="134">
        <v>0.32291666666666669</v>
      </c>
      <c r="D110" s="134">
        <v>0.58333333333333337</v>
      </c>
      <c r="E110" s="53">
        <f t="shared" si="15"/>
        <v>5.75</v>
      </c>
      <c r="F110" s="51">
        <v>0.5</v>
      </c>
      <c r="G110" s="53"/>
      <c r="H110" s="53">
        <f>IF(WEEKDAY(A110, 2)&lt;6, E110-2, E110)</f>
        <v>3.75</v>
      </c>
      <c r="I110" s="51">
        <f t="shared" si="14"/>
        <v>3.75</v>
      </c>
    </row>
    <row r="111" spans="1:9" x14ac:dyDescent="0.25">
      <c r="A111" s="133">
        <v>45352</v>
      </c>
      <c r="B111" s="51" t="s">
        <v>49</v>
      </c>
      <c r="C111" s="134">
        <v>0.6875</v>
      </c>
      <c r="D111" s="134">
        <v>0.97916666666666663</v>
      </c>
      <c r="E111" s="53">
        <f t="shared" si="15"/>
        <v>6.4999999999999991</v>
      </c>
      <c r="F111" s="51">
        <v>0.5</v>
      </c>
      <c r="G111" s="53">
        <f t="shared" ref="G111:G115" si="22">IF(WEEKDAY(A111, 2)&lt;6, E111+2, E111)</f>
        <v>8.5</v>
      </c>
      <c r="H111" s="51"/>
      <c r="I111" s="51">
        <f t="shared" si="14"/>
        <v>8.5</v>
      </c>
    </row>
    <row r="112" spans="1:9" x14ac:dyDescent="0.25">
      <c r="A112" s="133">
        <v>45352</v>
      </c>
      <c r="B112" s="51" t="s">
        <v>56</v>
      </c>
      <c r="C112" s="134">
        <v>0.77083333333333337</v>
      </c>
      <c r="D112" s="134">
        <v>0.95833333333333337</v>
      </c>
      <c r="E112" s="53">
        <f t="shared" si="15"/>
        <v>4.5</v>
      </c>
      <c r="F112" s="51"/>
      <c r="G112" s="53">
        <f t="shared" si="22"/>
        <v>6.5</v>
      </c>
      <c r="H112" s="53"/>
      <c r="I112" s="51">
        <f t="shared" si="14"/>
        <v>6.5</v>
      </c>
    </row>
    <row r="113" spans="1:9" x14ac:dyDescent="0.25">
      <c r="A113" s="133">
        <v>45353</v>
      </c>
      <c r="B113" s="51" t="s">
        <v>56</v>
      </c>
      <c r="C113" s="134">
        <v>0.33333333333333331</v>
      </c>
      <c r="D113" s="134">
        <v>0.5</v>
      </c>
      <c r="E113" s="53">
        <f t="shared" si="15"/>
        <v>4</v>
      </c>
      <c r="F113" s="51"/>
      <c r="G113" s="53">
        <f t="shared" si="22"/>
        <v>4</v>
      </c>
      <c r="H113" s="53"/>
      <c r="I113" s="51">
        <f t="shared" si="14"/>
        <v>4</v>
      </c>
    </row>
    <row r="114" spans="1:9" x14ac:dyDescent="0.25">
      <c r="A114" s="133">
        <v>45353</v>
      </c>
      <c r="B114" s="51" t="s">
        <v>46</v>
      </c>
      <c r="C114" s="134">
        <v>0.45833333333333331</v>
      </c>
      <c r="D114" s="134">
        <v>0.70833333333333337</v>
      </c>
      <c r="E114" s="53">
        <f t="shared" si="15"/>
        <v>5.5000000000000018</v>
      </c>
      <c r="F114" s="51">
        <v>0.5</v>
      </c>
      <c r="G114" s="53">
        <f t="shared" si="22"/>
        <v>5.5000000000000018</v>
      </c>
      <c r="H114" s="51"/>
      <c r="I114" s="51">
        <f t="shared" si="14"/>
        <v>5.5000000000000018</v>
      </c>
    </row>
    <row r="115" spans="1:9" x14ac:dyDescent="0.25">
      <c r="A115" s="133">
        <v>45353</v>
      </c>
      <c r="B115" s="51" t="s">
        <v>58</v>
      </c>
      <c r="C115" s="134">
        <v>0.5</v>
      </c>
      <c r="D115" s="134">
        <v>0.79166666666666663</v>
      </c>
      <c r="E115" s="53">
        <f t="shared" si="15"/>
        <v>6.4999999999999991</v>
      </c>
      <c r="F115" s="51">
        <v>0.5</v>
      </c>
      <c r="G115" s="53">
        <f t="shared" si="22"/>
        <v>6.4999999999999991</v>
      </c>
      <c r="H115" s="51"/>
      <c r="I115" s="51">
        <f t="shared" si="14"/>
        <v>6.4999999999999991</v>
      </c>
    </row>
    <row r="116" spans="1:9" x14ac:dyDescent="0.25">
      <c r="A116" s="133">
        <v>45355</v>
      </c>
      <c r="B116" s="51" t="s">
        <v>414</v>
      </c>
      <c r="C116" s="134">
        <v>0.32291666666666669</v>
      </c>
      <c r="D116" s="134">
        <v>0.58333333333333337</v>
      </c>
      <c r="E116" s="53">
        <f t="shared" si="15"/>
        <v>5.75</v>
      </c>
      <c r="F116" s="51">
        <v>0.5</v>
      </c>
      <c r="G116" s="53"/>
      <c r="H116" s="53">
        <f t="shared" ref="H116:H117" si="23">IF(WEEKDAY(A116, 2)&lt;6, E116-2, E116)</f>
        <v>3.75</v>
      </c>
      <c r="I116" s="51">
        <f t="shared" si="14"/>
        <v>3.75</v>
      </c>
    </row>
    <row r="117" spans="1:9" x14ac:dyDescent="0.25">
      <c r="A117" s="133">
        <v>45356</v>
      </c>
      <c r="B117" s="51" t="s">
        <v>414</v>
      </c>
      <c r="C117" s="134">
        <v>0.32291666666666669</v>
      </c>
      <c r="D117" s="134">
        <v>0.58333333333333337</v>
      </c>
      <c r="E117" s="53">
        <f t="shared" si="15"/>
        <v>5.75</v>
      </c>
      <c r="F117" s="51">
        <v>0.5</v>
      </c>
      <c r="G117" s="53"/>
      <c r="H117" s="53">
        <f t="shared" si="23"/>
        <v>3.75</v>
      </c>
      <c r="I117" s="51">
        <f t="shared" si="14"/>
        <v>3.75</v>
      </c>
    </row>
    <row r="118" spans="1:9" x14ac:dyDescent="0.25">
      <c r="A118" s="133">
        <v>45356</v>
      </c>
      <c r="B118" s="51" t="s">
        <v>56</v>
      </c>
      <c r="C118" s="134">
        <v>0.70833333333333337</v>
      </c>
      <c r="D118" s="134">
        <v>0.875</v>
      </c>
      <c r="E118" s="53">
        <f t="shared" si="15"/>
        <v>3.9999999999999991</v>
      </c>
      <c r="F118" s="51"/>
      <c r="G118" s="53">
        <f>IF(WEEKDAY(A118, 2)&lt;6, E118+2, E118)</f>
        <v>5.9999999999999991</v>
      </c>
      <c r="H118" s="53"/>
      <c r="I118" s="51">
        <f t="shared" si="14"/>
        <v>5.9999999999999991</v>
      </c>
    </row>
    <row r="119" spans="1:9" x14ac:dyDescent="0.25">
      <c r="A119" s="133">
        <v>45357</v>
      </c>
      <c r="B119" s="51" t="s">
        <v>414</v>
      </c>
      <c r="C119" s="134">
        <v>0.375</v>
      </c>
      <c r="D119" s="134">
        <v>0.58333333333333337</v>
      </c>
      <c r="E119" s="53">
        <f t="shared" si="15"/>
        <v>5.0000000000000009</v>
      </c>
      <c r="F119" s="51"/>
      <c r="G119" s="53"/>
      <c r="H119" s="53">
        <f>IF(WEEKDAY(A119, 2)&lt;6, E119-2, E119)</f>
        <v>3.0000000000000009</v>
      </c>
      <c r="I119" s="51">
        <f t="shared" si="14"/>
        <v>3.0000000000000009</v>
      </c>
    </row>
    <row r="120" spans="1:9" x14ac:dyDescent="0.25">
      <c r="A120" s="133">
        <v>45357</v>
      </c>
      <c r="B120" s="51" t="s">
        <v>56</v>
      </c>
      <c r="C120" s="134">
        <v>0.6875</v>
      </c>
      <c r="D120" s="134">
        <v>0.89583333333333337</v>
      </c>
      <c r="E120" s="53">
        <f t="shared" si="15"/>
        <v>5.0000000000000009</v>
      </c>
      <c r="F120" s="51"/>
      <c r="G120" s="53">
        <f>IF(WEEKDAY(A120, 2)&lt;6, E120+2, E120)</f>
        <v>7.0000000000000009</v>
      </c>
      <c r="H120" s="53"/>
      <c r="I120" s="51">
        <f t="shared" si="14"/>
        <v>7.0000000000000009</v>
      </c>
    </row>
    <row r="121" spans="1:9" x14ac:dyDescent="0.25">
      <c r="A121" s="133">
        <v>45358</v>
      </c>
      <c r="B121" s="51" t="s">
        <v>414</v>
      </c>
      <c r="C121" s="134">
        <v>0.32291666666666669</v>
      </c>
      <c r="D121" s="134">
        <v>0.58333333333333337</v>
      </c>
      <c r="E121" s="53">
        <f t="shared" si="15"/>
        <v>5.75</v>
      </c>
      <c r="F121" s="51">
        <v>0.5</v>
      </c>
      <c r="G121" s="53"/>
      <c r="H121" s="53">
        <f>IF(WEEKDAY(A121, 2)&lt;6, E121-2, E121)</f>
        <v>3.75</v>
      </c>
      <c r="I121" s="51">
        <f t="shared" si="14"/>
        <v>3.75</v>
      </c>
    </row>
    <row r="122" spans="1:9" x14ac:dyDescent="0.25">
      <c r="A122" s="133">
        <v>45358</v>
      </c>
      <c r="B122" s="51" t="s">
        <v>56</v>
      </c>
      <c r="C122" s="134">
        <v>0.77083333333333337</v>
      </c>
      <c r="D122" s="134">
        <v>0.9375</v>
      </c>
      <c r="E122" s="53">
        <f t="shared" si="15"/>
        <v>3.9999999999999991</v>
      </c>
      <c r="F122" s="51"/>
      <c r="G122" s="53">
        <f>IF(WEEKDAY(A122, 2)&lt;6, E122+2, E122)</f>
        <v>5.9999999999999991</v>
      </c>
      <c r="H122" s="53"/>
      <c r="I122" s="51">
        <f t="shared" si="14"/>
        <v>5.9999999999999991</v>
      </c>
    </row>
    <row r="123" spans="1:9" x14ac:dyDescent="0.25">
      <c r="A123" s="133">
        <v>45359</v>
      </c>
      <c r="B123" s="51" t="s">
        <v>414</v>
      </c>
      <c r="C123" s="134">
        <v>0.32291666666666669</v>
      </c>
      <c r="D123" s="134">
        <v>0.58333333333333337</v>
      </c>
      <c r="E123" s="53">
        <f t="shared" si="15"/>
        <v>5.75</v>
      </c>
      <c r="F123" s="51">
        <v>0.5</v>
      </c>
      <c r="G123" s="53"/>
      <c r="H123" s="53">
        <f>IF(WEEKDAY(A123, 2)&lt;6, E123-2, E123)</f>
        <v>3.75</v>
      </c>
      <c r="I123" s="51">
        <f t="shared" si="14"/>
        <v>3.75</v>
      </c>
    </row>
    <row r="124" spans="1:9" x14ac:dyDescent="0.25">
      <c r="A124" s="133">
        <v>45359</v>
      </c>
      <c r="B124" s="51" t="s">
        <v>58</v>
      </c>
      <c r="C124" s="134">
        <v>0.75</v>
      </c>
      <c r="D124" s="134">
        <v>0.95833333333333337</v>
      </c>
      <c r="E124" s="53">
        <f t="shared" si="15"/>
        <v>5.0000000000000009</v>
      </c>
      <c r="F124" s="51"/>
      <c r="G124" s="53">
        <f t="shared" ref="G124:G130" si="24">IF(WEEKDAY(A124, 2)&lt;6, E124+2, E124)</f>
        <v>7.0000000000000009</v>
      </c>
      <c r="H124" s="51"/>
      <c r="I124" s="51">
        <f t="shared" si="14"/>
        <v>7.0000000000000009</v>
      </c>
    </row>
    <row r="125" spans="1:9" x14ac:dyDescent="0.25">
      <c r="A125" s="133">
        <v>45360</v>
      </c>
      <c r="B125" s="51" t="s">
        <v>56</v>
      </c>
      <c r="C125" s="134">
        <v>0.33333333333333331</v>
      </c>
      <c r="D125" s="134">
        <v>0.5</v>
      </c>
      <c r="E125" s="53">
        <f t="shared" si="15"/>
        <v>4</v>
      </c>
      <c r="F125" s="51"/>
      <c r="G125" s="53">
        <f t="shared" si="24"/>
        <v>4</v>
      </c>
      <c r="H125" s="53"/>
      <c r="I125" s="51">
        <f t="shared" si="14"/>
        <v>4</v>
      </c>
    </row>
    <row r="126" spans="1:9" x14ac:dyDescent="0.25">
      <c r="A126" s="133">
        <v>45360</v>
      </c>
      <c r="B126" s="51" t="s">
        <v>46</v>
      </c>
      <c r="C126" s="134">
        <v>0.5</v>
      </c>
      <c r="D126" s="134">
        <v>0.79166666666666663</v>
      </c>
      <c r="E126" s="53">
        <f t="shared" si="15"/>
        <v>6.4999999999999991</v>
      </c>
      <c r="F126" s="51">
        <v>0.5</v>
      </c>
      <c r="G126" s="53">
        <f t="shared" si="24"/>
        <v>6.4999999999999991</v>
      </c>
      <c r="H126" s="51"/>
      <c r="I126" s="51">
        <f t="shared" si="14"/>
        <v>6.4999999999999991</v>
      </c>
    </row>
    <row r="127" spans="1:9" x14ac:dyDescent="0.25">
      <c r="A127" s="133">
        <v>45360</v>
      </c>
      <c r="B127" s="51" t="s">
        <v>58</v>
      </c>
      <c r="C127" s="134">
        <v>0.5</v>
      </c>
      <c r="D127" s="134">
        <v>4.1666666666666664E-2</v>
      </c>
      <c r="E127" s="53">
        <f t="shared" si="15"/>
        <v>12.000000000000002</v>
      </c>
      <c r="F127" s="51">
        <v>1</v>
      </c>
      <c r="G127" s="53">
        <f t="shared" si="24"/>
        <v>12.000000000000002</v>
      </c>
      <c r="H127" s="51"/>
      <c r="I127" s="51">
        <f t="shared" si="14"/>
        <v>12.000000000000002</v>
      </c>
    </row>
    <row r="128" spans="1:9" x14ac:dyDescent="0.25">
      <c r="A128" s="133">
        <v>45360</v>
      </c>
      <c r="B128" s="51" t="s">
        <v>53</v>
      </c>
      <c r="C128" s="134">
        <v>0.58333333333333337</v>
      </c>
      <c r="D128" s="134">
        <v>0.83333333333333337</v>
      </c>
      <c r="E128" s="53">
        <f t="shared" si="15"/>
        <v>5.5</v>
      </c>
      <c r="F128" s="51">
        <v>0.5</v>
      </c>
      <c r="G128" s="53">
        <f t="shared" si="24"/>
        <v>5.5</v>
      </c>
      <c r="H128" s="51"/>
      <c r="I128" s="51">
        <f t="shared" si="14"/>
        <v>5.5</v>
      </c>
    </row>
    <row r="129" spans="1:9" x14ac:dyDescent="0.25">
      <c r="A129" s="133">
        <v>45360</v>
      </c>
      <c r="B129" s="51" t="s">
        <v>48</v>
      </c>
      <c r="C129" s="134">
        <v>0.625</v>
      </c>
      <c r="D129" s="134">
        <v>4.1666666666666664E-2</v>
      </c>
      <c r="E129" s="53">
        <f t="shared" si="15"/>
        <v>9</v>
      </c>
      <c r="F129" s="51">
        <v>1</v>
      </c>
      <c r="G129" s="53">
        <f t="shared" si="24"/>
        <v>9</v>
      </c>
      <c r="H129" s="51"/>
      <c r="I129" s="51">
        <f t="shared" si="14"/>
        <v>9</v>
      </c>
    </row>
    <row r="130" spans="1:9" x14ac:dyDescent="0.25">
      <c r="A130" s="137">
        <v>45361</v>
      </c>
      <c r="B130" s="51" t="s">
        <v>58</v>
      </c>
      <c r="C130" s="156">
        <v>0.41666666666666669</v>
      </c>
      <c r="D130" s="156">
        <v>0.85416666666666663</v>
      </c>
      <c r="E130" s="139">
        <v>6</v>
      </c>
      <c r="F130" s="140">
        <v>0.5</v>
      </c>
      <c r="G130" s="53">
        <f t="shared" si="24"/>
        <v>6</v>
      </c>
      <c r="H130" s="51"/>
      <c r="I130" s="51">
        <f t="shared" ref="I130:I193" si="25">IF(G130&lt;&gt;"",G130,H130)</f>
        <v>6</v>
      </c>
    </row>
    <row r="131" spans="1:9" x14ac:dyDescent="0.25">
      <c r="A131" s="133">
        <v>45362</v>
      </c>
      <c r="B131" s="51" t="s">
        <v>414</v>
      </c>
      <c r="C131" s="134">
        <v>0.45833333333333331</v>
      </c>
      <c r="D131" s="134">
        <v>0.58333333333333337</v>
      </c>
      <c r="E131" s="53">
        <f t="shared" ref="E131:E194" si="26">MOD((D131-C131),1) *24 - F131</f>
        <v>3.0000000000000013</v>
      </c>
      <c r="F131" s="51"/>
      <c r="G131" s="53"/>
      <c r="H131" s="53">
        <f>IF(WEEKDAY(A131, 2)&lt;6, E131-2, E131)</f>
        <v>1.0000000000000013</v>
      </c>
      <c r="I131" s="51">
        <f t="shared" si="25"/>
        <v>1.0000000000000013</v>
      </c>
    </row>
    <row r="132" spans="1:9" x14ac:dyDescent="0.25">
      <c r="A132" s="133">
        <v>45362</v>
      </c>
      <c r="B132" s="51" t="s">
        <v>51</v>
      </c>
      <c r="C132" s="134">
        <v>0.6875</v>
      </c>
      <c r="D132" s="134">
        <v>0.91666666666666663</v>
      </c>
      <c r="E132" s="53">
        <f t="shared" si="26"/>
        <v>5.4999999999999991</v>
      </c>
      <c r="F132" s="51"/>
      <c r="G132" s="53">
        <f>IF(WEEKDAY(A132, 2)&lt;6, E132+2, E132)</f>
        <v>7.4999999999999991</v>
      </c>
      <c r="H132" s="51"/>
      <c r="I132" s="51">
        <f t="shared" si="25"/>
        <v>7.4999999999999991</v>
      </c>
    </row>
    <row r="133" spans="1:9" x14ac:dyDescent="0.25">
      <c r="A133" s="133">
        <v>45363</v>
      </c>
      <c r="B133" s="51" t="s">
        <v>414</v>
      </c>
      <c r="C133" s="134">
        <v>0.375</v>
      </c>
      <c r="D133" s="134">
        <v>0.58333333333333337</v>
      </c>
      <c r="E133" s="53">
        <f t="shared" si="26"/>
        <v>5.0000000000000009</v>
      </c>
      <c r="F133" s="51"/>
      <c r="G133" s="53"/>
      <c r="H133" s="53">
        <f>IF(WEEKDAY(A133, 2)&lt;6, E133-2, E133)</f>
        <v>3.0000000000000009</v>
      </c>
      <c r="I133" s="51">
        <f t="shared" si="25"/>
        <v>3.0000000000000009</v>
      </c>
    </row>
    <row r="134" spans="1:9" x14ac:dyDescent="0.25">
      <c r="A134" s="133">
        <v>45364</v>
      </c>
      <c r="B134" s="51" t="s">
        <v>414</v>
      </c>
      <c r="C134" s="134">
        <v>0.32291666666666669</v>
      </c>
      <c r="D134" s="134">
        <v>0.58333333333333337</v>
      </c>
      <c r="E134" s="53">
        <f t="shared" si="26"/>
        <v>5.75</v>
      </c>
      <c r="F134" s="51">
        <v>0.5</v>
      </c>
      <c r="G134" s="53"/>
      <c r="H134" s="53">
        <f>IF(WEEKDAY(A134, 2)&lt;6, E134-2, E134)</f>
        <v>3.75</v>
      </c>
      <c r="I134" s="51">
        <f t="shared" si="25"/>
        <v>3.75</v>
      </c>
    </row>
    <row r="135" spans="1:9" x14ac:dyDescent="0.25">
      <c r="A135" s="133">
        <v>45364</v>
      </c>
      <c r="B135" s="51" t="s">
        <v>49</v>
      </c>
      <c r="C135" s="134">
        <v>0.6875</v>
      </c>
      <c r="D135" s="134">
        <v>0.89583333333333337</v>
      </c>
      <c r="E135" s="53">
        <f t="shared" si="26"/>
        <v>5.0000000000000009</v>
      </c>
      <c r="F135" s="51"/>
      <c r="G135" s="53">
        <f t="shared" ref="G135:G136" si="27">IF(WEEKDAY(A135, 2)&lt;6, E135+2, E135)</f>
        <v>7.0000000000000009</v>
      </c>
      <c r="H135" s="51"/>
      <c r="I135" s="51">
        <f t="shared" si="25"/>
        <v>7.0000000000000009</v>
      </c>
    </row>
    <row r="136" spans="1:9" x14ac:dyDescent="0.25">
      <c r="A136" s="133">
        <v>45365</v>
      </c>
      <c r="B136" s="51" t="s">
        <v>53</v>
      </c>
      <c r="C136" s="134">
        <v>0.29166666666666669</v>
      </c>
      <c r="D136" s="134">
        <v>0.58333333333333337</v>
      </c>
      <c r="E136" s="53">
        <f t="shared" si="26"/>
        <v>7</v>
      </c>
      <c r="F136" s="51"/>
      <c r="G136" s="53">
        <f t="shared" si="27"/>
        <v>9</v>
      </c>
      <c r="H136" s="51"/>
      <c r="I136" s="51">
        <f t="shared" si="25"/>
        <v>9</v>
      </c>
    </row>
    <row r="137" spans="1:9" x14ac:dyDescent="0.25">
      <c r="A137" s="133">
        <v>45365</v>
      </c>
      <c r="B137" s="51" t="s">
        <v>414</v>
      </c>
      <c r="C137" s="134">
        <v>0.32291666666666669</v>
      </c>
      <c r="D137" s="134">
        <v>0.58333333333333337</v>
      </c>
      <c r="E137" s="53">
        <f t="shared" si="26"/>
        <v>5.75</v>
      </c>
      <c r="F137" s="51">
        <v>0.5</v>
      </c>
      <c r="G137" s="53"/>
      <c r="H137" s="53">
        <f>IF(WEEKDAY(A137, 2)&lt;6, E137-2, E137)</f>
        <v>3.75</v>
      </c>
      <c r="I137" s="51">
        <f t="shared" si="25"/>
        <v>3.75</v>
      </c>
    </row>
    <row r="138" spans="1:9" x14ac:dyDescent="0.25">
      <c r="A138" s="133">
        <v>45365</v>
      </c>
      <c r="B138" s="51" t="s">
        <v>53</v>
      </c>
      <c r="C138" s="134">
        <v>0.70833333333333337</v>
      </c>
      <c r="D138" s="134">
        <v>0.8125</v>
      </c>
      <c r="E138" s="53">
        <f t="shared" si="26"/>
        <v>2.4999999999999991</v>
      </c>
      <c r="F138" s="51"/>
      <c r="G138" s="53">
        <f t="shared" ref="G138:G139" si="28">IF(WEEKDAY(A138, 2)&lt;6, E138+2, E138)</f>
        <v>4.4999999999999991</v>
      </c>
      <c r="H138" s="51"/>
      <c r="I138" s="51">
        <f t="shared" si="25"/>
        <v>4.4999999999999991</v>
      </c>
    </row>
    <row r="139" spans="1:9" x14ac:dyDescent="0.25">
      <c r="A139" s="133">
        <v>45365</v>
      </c>
      <c r="B139" s="51" t="s">
        <v>56</v>
      </c>
      <c r="C139" s="134">
        <v>0.77083333333333337</v>
      </c>
      <c r="D139" s="134">
        <v>0.9375</v>
      </c>
      <c r="E139" s="53">
        <f t="shared" si="26"/>
        <v>3.9999999999999991</v>
      </c>
      <c r="F139" s="51"/>
      <c r="G139" s="53">
        <f t="shared" si="28"/>
        <v>5.9999999999999991</v>
      </c>
      <c r="H139" s="53"/>
      <c r="I139" s="51">
        <f t="shared" si="25"/>
        <v>5.9999999999999991</v>
      </c>
    </row>
    <row r="140" spans="1:9" x14ac:dyDescent="0.25">
      <c r="A140" s="133">
        <v>45366</v>
      </c>
      <c r="B140" s="51" t="s">
        <v>414</v>
      </c>
      <c r="C140" s="134">
        <v>0.32291666666666669</v>
      </c>
      <c r="D140" s="134">
        <v>0.58333333333333337</v>
      </c>
      <c r="E140" s="53">
        <f t="shared" si="26"/>
        <v>5.75</v>
      </c>
      <c r="F140" s="51">
        <v>0.5</v>
      </c>
      <c r="G140" s="53"/>
      <c r="H140" s="53">
        <f>IF(WEEKDAY(A140, 2)&lt;6, E140-2, E140)</f>
        <v>3.75</v>
      </c>
      <c r="I140" s="51">
        <f t="shared" si="25"/>
        <v>3.75</v>
      </c>
    </row>
    <row r="141" spans="1:9" x14ac:dyDescent="0.25">
      <c r="A141" s="133">
        <v>45366</v>
      </c>
      <c r="B141" s="51" t="s">
        <v>51</v>
      </c>
      <c r="C141" s="134">
        <v>0.54166666666666663</v>
      </c>
      <c r="D141" s="134">
        <v>0.91666666666666663</v>
      </c>
      <c r="E141" s="53">
        <f t="shared" si="26"/>
        <v>8</v>
      </c>
      <c r="F141" s="51">
        <v>1</v>
      </c>
      <c r="G141" s="53">
        <f t="shared" ref="G141:G148" si="29">IF(WEEKDAY(A141, 2)&lt;6, E141+2, E141)</f>
        <v>10</v>
      </c>
      <c r="H141" s="51"/>
      <c r="I141" s="51">
        <f t="shared" si="25"/>
        <v>10</v>
      </c>
    </row>
    <row r="142" spans="1:9" x14ac:dyDescent="0.25">
      <c r="A142" s="133">
        <v>45366</v>
      </c>
      <c r="B142" s="51" t="s">
        <v>58</v>
      </c>
      <c r="C142" s="134">
        <v>0.75</v>
      </c>
      <c r="D142" s="134">
        <v>0.95833333333333337</v>
      </c>
      <c r="E142" s="53">
        <f t="shared" si="26"/>
        <v>5.0000000000000009</v>
      </c>
      <c r="F142" s="51"/>
      <c r="G142" s="53">
        <f t="shared" si="29"/>
        <v>7.0000000000000009</v>
      </c>
      <c r="H142" s="51"/>
      <c r="I142" s="51">
        <f t="shared" si="25"/>
        <v>7.0000000000000009</v>
      </c>
    </row>
    <row r="143" spans="1:9" x14ac:dyDescent="0.25">
      <c r="A143" s="133">
        <v>45367</v>
      </c>
      <c r="B143" s="51" t="s">
        <v>56</v>
      </c>
      <c r="C143" s="134">
        <v>0.33333333333333331</v>
      </c>
      <c r="D143" s="134">
        <v>0.5</v>
      </c>
      <c r="E143" s="53">
        <f t="shared" si="26"/>
        <v>4</v>
      </c>
      <c r="F143" s="51"/>
      <c r="G143" s="53">
        <f t="shared" si="29"/>
        <v>4</v>
      </c>
      <c r="H143" s="53"/>
      <c r="I143" s="51">
        <f t="shared" si="25"/>
        <v>4</v>
      </c>
    </row>
    <row r="144" spans="1:9" x14ac:dyDescent="0.25">
      <c r="A144" s="133">
        <v>45367</v>
      </c>
      <c r="B144" s="51" t="s">
        <v>53</v>
      </c>
      <c r="C144" s="134">
        <v>0.45833333333333331</v>
      </c>
      <c r="D144" s="134">
        <v>4.1666666666666664E-2</v>
      </c>
      <c r="E144" s="53">
        <f t="shared" si="26"/>
        <v>13</v>
      </c>
      <c r="F144" s="51">
        <v>1</v>
      </c>
      <c r="G144" s="53">
        <f t="shared" si="29"/>
        <v>13</v>
      </c>
      <c r="H144" s="51"/>
      <c r="I144" s="51">
        <f t="shared" si="25"/>
        <v>13</v>
      </c>
    </row>
    <row r="145" spans="1:9" x14ac:dyDescent="0.25">
      <c r="A145" s="133">
        <v>45367</v>
      </c>
      <c r="B145" s="51" t="s">
        <v>48</v>
      </c>
      <c r="C145" s="134">
        <v>0.5</v>
      </c>
      <c r="D145" s="134">
        <v>0.79166666666666663</v>
      </c>
      <c r="E145" s="53">
        <f t="shared" si="26"/>
        <v>6.4999999999999991</v>
      </c>
      <c r="F145" s="51">
        <v>0.5</v>
      </c>
      <c r="G145" s="53">
        <f t="shared" si="29"/>
        <v>6.4999999999999991</v>
      </c>
      <c r="H145" s="51"/>
      <c r="I145" s="51">
        <f t="shared" si="25"/>
        <v>6.4999999999999991</v>
      </c>
    </row>
    <row r="146" spans="1:9" x14ac:dyDescent="0.25">
      <c r="A146" s="133">
        <v>45367</v>
      </c>
      <c r="B146" s="51" t="s">
        <v>58</v>
      </c>
      <c r="C146" s="134">
        <v>0.58333333333333337</v>
      </c>
      <c r="D146" s="134">
        <v>0.95833333333333337</v>
      </c>
      <c r="E146" s="53">
        <f t="shared" si="26"/>
        <v>8</v>
      </c>
      <c r="F146" s="51">
        <v>1</v>
      </c>
      <c r="G146" s="53">
        <f t="shared" si="29"/>
        <v>8</v>
      </c>
      <c r="H146" s="51"/>
      <c r="I146" s="51">
        <f t="shared" si="25"/>
        <v>8</v>
      </c>
    </row>
    <row r="147" spans="1:9" x14ac:dyDescent="0.25">
      <c r="A147" s="133">
        <v>45368</v>
      </c>
      <c r="B147" s="51" t="s">
        <v>58</v>
      </c>
      <c r="C147" s="134">
        <v>0.41666666666666669</v>
      </c>
      <c r="D147" s="134">
        <v>0.91666666666666663</v>
      </c>
      <c r="E147" s="53">
        <f t="shared" si="26"/>
        <v>10.999999999999998</v>
      </c>
      <c r="F147" s="51">
        <v>1</v>
      </c>
      <c r="G147" s="53">
        <f t="shared" si="29"/>
        <v>10.999999999999998</v>
      </c>
      <c r="H147" s="51"/>
      <c r="I147" s="51">
        <f t="shared" si="25"/>
        <v>10.999999999999998</v>
      </c>
    </row>
    <row r="148" spans="1:9" x14ac:dyDescent="0.25">
      <c r="A148" s="133">
        <v>45368</v>
      </c>
      <c r="B148" s="51" t="s">
        <v>53</v>
      </c>
      <c r="C148" s="134">
        <v>0.45833333333333331</v>
      </c>
      <c r="D148" s="134">
        <v>0.875</v>
      </c>
      <c r="E148" s="53">
        <f t="shared" si="26"/>
        <v>9</v>
      </c>
      <c r="F148" s="51">
        <v>1</v>
      </c>
      <c r="G148" s="53">
        <f t="shared" si="29"/>
        <v>9</v>
      </c>
      <c r="H148" s="51"/>
      <c r="I148" s="51">
        <f t="shared" si="25"/>
        <v>9</v>
      </c>
    </row>
    <row r="149" spans="1:9" x14ac:dyDescent="0.25">
      <c r="A149" s="133">
        <v>45369</v>
      </c>
      <c r="B149" s="51" t="s">
        <v>414</v>
      </c>
      <c r="C149" s="134">
        <v>0.32291666666666669</v>
      </c>
      <c r="D149" s="134">
        <v>0.58333333333333337</v>
      </c>
      <c r="E149" s="53">
        <f t="shared" si="26"/>
        <v>5.75</v>
      </c>
      <c r="F149" s="51">
        <v>0.5</v>
      </c>
      <c r="G149" s="53"/>
      <c r="H149" s="53">
        <f t="shared" ref="H149:H151" si="30">IF(WEEKDAY(A149, 2)&lt;6, E149-2, E149)</f>
        <v>3.75</v>
      </c>
      <c r="I149" s="51">
        <f t="shared" si="25"/>
        <v>3.75</v>
      </c>
    </row>
    <row r="150" spans="1:9" x14ac:dyDescent="0.25">
      <c r="A150" s="133">
        <v>45370</v>
      </c>
      <c r="B150" s="51" t="s">
        <v>414</v>
      </c>
      <c r="C150" s="134">
        <v>0.32291666666666669</v>
      </c>
      <c r="D150" s="134">
        <v>0.58333333333333337</v>
      </c>
      <c r="E150" s="53">
        <f t="shared" si="26"/>
        <v>5.75</v>
      </c>
      <c r="F150" s="51">
        <v>0.5</v>
      </c>
      <c r="G150" s="53"/>
      <c r="H150" s="53">
        <f t="shared" si="30"/>
        <v>3.75</v>
      </c>
      <c r="I150" s="51">
        <f t="shared" si="25"/>
        <v>3.75</v>
      </c>
    </row>
    <row r="151" spans="1:9" x14ac:dyDescent="0.25">
      <c r="A151" s="133">
        <v>45371</v>
      </c>
      <c r="B151" s="51" t="s">
        <v>414</v>
      </c>
      <c r="C151" s="134">
        <v>0.32291666666666669</v>
      </c>
      <c r="D151" s="134">
        <v>0.58333333333333337</v>
      </c>
      <c r="E151" s="53">
        <f t="shared" si="26"/>
        <v>5.75</v>
      </c>
      <c r="F151" s="51">
        <v>0.5</v>
      </c>
      <c r="G151" s="53"/>
      <c r="H151" s="53">
        <f t="shared" si="30"/>
        <v>3.75</v>
      </c>
      <c r="I151" s="51">
        <f t="shared" si="25"/>
        <v>3.75</v>
      </c>
    </row>
    <row r="152" spans="1:9" x14ac:dyDescent="0.25">
      <c r="A152" s="133">
        <v>45371</v>
      </c>
      <c r="B152" s="51" t="s">
        <v>53</v>
      </c>
      <c r="C152" s="134">
        <v>0.70833333333333337</v>
      </c>
      <c r="D152" s="134">
        <v>0.91666666666666663</v>
      </c>
      <c r="E152" s="53">
        <f t="shared" si="26"/>
        <v>4.9999999999999982</v>
      </c>
      <c r="F152" s="51"/>
      <c r="G152" s="53">
        <f>IF(WEEKDAY(A152, 2)&lt;6, E152+2, E152)</f>
        <v>6.9999999999999982</v>
      </c>
      <c r="H152" s="51"/>
      <c r="I152" s="51">
        <f t="shared" si="25"/>
        <v>6.9999999999999982</v>
      </c>
    </row>
    <row r="153" spans="1:9" x14ac:dyDescent="0.25">
      <c r="A153" s="133">
        <v>45372</v>
      </c>
      <c r="B153" s="51" t="s">
        <v>414</v>
      </c>
      <c r="C153" s="134">
        <v>0.32291666666666669</v>
      </c>
      <c r="D153" s="134">
        <v>0.58333333333333337</v>
      </c>
      <c r="E153" s="53">
        <f t="shared" si="26"/>
        <v>5.75</v>
      </c>
      <c r="F153" s="51">
        <v>0.5</v>
      </c>
      <c r="G153" s="53"/>
      <c r="H153" s="53">
        <f>IF(WEEKDAY(A153, 2)&lt;6, E153-2, E153)</f>
        <v>3.75</v>
      </c>
      <c r="I153" s="51">
        <f t="shared" si="25"/>
        <v>3.75</v>
      </c>
    </row>
    <row r="154" spans="1:9" x14ac:dyDescent="0.25">
      <c r="A154" s="133">
        <v>45372</v>
      </c>
      <c r="B154" s="51" t="s">
        <v>49</v>
      </c>
      <c r="C154" s="134">
        <v>0.6875</v>
      </c>
      <c r="D154" s="134">
        <v>0.77083333333333337</v>
      </c>
      <c r="E154" s="53">
        <f t="shared" si="26"/>
        <v>2.0000000000000009</v>
      </c>
      <c r="F154" s="51"/>
      <c r="G154" s="53">
        <f t="shared" ref="G154:G155" si="31">IF(WEEKDAY(A154, 2)&lt;6, E154+2, E154)</f>
        <v>4.0000000000000009</v>
      </c>
      <c r="H154" s="51"/>
      <c r="I154" s="51">
        <f t="shared" si="25"/>
        <v>4.0000000000000009</v>
      </c>
    </row>
    <row r="155" spans="1:9" x14ac:dyDescent="0.25">
      <c r="A155" s="133">
        <v>45372</v>
      </c>
      <c r="B155" s="51" t="s">
        <v>56</v>
      </c>
      <c r="C155" s="134">
        <v>0.77083333333333337</v>
      </c>
      <c r="D155" s="134">
        <v>0.9375</v>
      </c>
      <c r="E155" s="53">
        <f t="shared" si="26"/>
        <v>3.9999999999999991</v>
      </c>
      <c r="F155" s="51"/>
      <c r="G155" s="53">
        <f t="shared" si="31"/>
        <v>5.9999999999999991</v>
      </c>
      <c r="H155" s="53"/>
      <c r="I155" s="51">
        <f t="shared" si="25"/>
        <v>5.9999999999999991</v>
      </c>
    </row>
    <row r="156" spans="1:9" x14ac:dyDescent="0.25">
      <c r="A156" s="133">
        <v>45373</v>
      </c>
      <c r="B156" s="51" t="s">
        <v>414</v>
      </c>
      <c r="C156" s="134">
        <v>0.32291666666666669</v>
      </c>
      <c r="D156" s="134">
        <v>0.58333333333333337</v>
      </c>
      <c r="E156" s="53">
        <f t="shared" si="26"/>
        <v>5.75</v>
      </c>
      <c r="F156" s="51">
        <v>0.5</v>
      </c>
      <c r="G156" s="53"/>
      <c r="H156" s="53">
        <f>IF(WEEKDAY(A156, 2)&lt;6, E156-2, E156)</f>
        <v>3.75</v>
      </c>
      <c r="I156" s="51">
        <f t="shared" si="25"/>
        <v>3.75</v>
      </c>
    </row>
    <row r="157" spans="1:9" x14ac:dyDescent="0.25">
      <c r="A157" s="133">
        <v>45373</v>
      </c>
      <c r="B157" s="51" t="s">
        <v>58</v>
      </c>
      <c r="C157" s="134">
        <v>0.75</v>
      </c>
      <c r="D157" s="134">
        <v>0.95833333333333337</v>
      </c>
      <c r="E157" s="53">
        <f t="shared" si="26"/>
        <v>5.0000000000000009</v>
      </c>
      <c r="F157" s="51"/>
      <c r="G157" s="53">
        <f t="shared" ref="G157:G161" si="32">IF(WEEKDAY(A157, 2)&lt;6, E157+2, E157)</f>
        <v>7.0000000000000009</v>
      </c>
      <c r="H157" s="51"/>
      <c r="I157" s="51">
        <f t="shared" si="25"/>
        <v>7.0000000000000009</v>
      </c>
    </row>
    <row r="158" spans="1:9" x14ac:dyDescent="0.25">
      <c r="A158" s="133">
        <v>45374</v>
      </c>
      <c r="B158" s="51" t="s">
        <v>56</v>
      </c>
      <c r="C158" s="134">
        <v>0.33333333333333331</v>
      </c>
      <c r="D158" s="134">
        <v>0.5</v>
      </c>
      <c r="E158" s="53">
        <f t="shared" si="26"/>
        <v>4</v>
      </c>
      <c r="F158" s="51"/>
      <c r="G158" s="53">
        <f t="shared" si="32"/>
        <v>4</v>
      </c>
      <c r="H158" s="53"/>
      <c r="I158" s="51">
        <f t="shared" si="25"/>
        <v>4</v>
      </c>
    </row>
    <row r="159" spans="1:9" x14ac:dyDescent="0.25">
      <c r="A159" s="133">
        <v>45374</v>
      </c>
      <c r="B159" s="51" t="s">
        <v>46</v>
      </c>
      <c r="C159" s="134">
        <v>0.60416666666666663</v>
      </c>
      <c r="D159" s="134">
        <v>0.85416666666666663</v>
      </c>
      <c r="E159" s="53">
        <f t="shared" si="26"/>
        <v>5.5</v>
      </c>
      <c r="F159" s="51">
        <v>0.5</v>
      </c>
      <c r="G159" s="53">
        <f t="shared" si="32"/>
        <v>5.5</v>
      </c>
      <c r="H159" s="51"/>
      <c r="I159" s="51">
        <f t="shared" si="25"/>
        <v>5.5</v>
      </c>
    </row>
    <row r="160" spans="1:9" x14ac:dyDescent="0.25">
      <c r="A160" s="133">
        <v>45374</v>
      </c>
      <c r="B160" s="51" t="s">
        <v>58</v>
      </c>
      <c r="C160" s="134">
        <v>0.75</v>
      </c>
      <c r="D160" s="134">
        <v>0.95833333333333337</v>
      </c>
      <c r="E160" s="53">
        <f t="shared" si="26"/>
        <v>5.0000000000000009</v>
      </c>
      <c r="F160" s="51"/>
      <c r="G160" s="53">
        <f t="shared" si="32"/>
        <v>5.0000000000000009</v>
      </c>
      <c r="H160" s="51"/>
      <c r="I160" s="51">
        <f t="shared" si="25"/>
        <v>5.0000000000000009</v>
      </c>
    </row>
    <row r="161" spans="1:9" x14ac:dyDescent="0.25">
      <c r="A161" s="133">
        <v>45375</v>
      </c>
      <c r="B161" s="51" t="s">
        <v>53</v>
      </c>
      <c r="C161" s="134">
        <v>0.33333333333333331</v>
      </c>
      <c r="D161" s="134">
        <v>0.66666666666666663</v>
      </c>
      <c r="E161" s="53">
        <f t="shared" si="26"/>
        <v>8</v>
      </c>
      <c r="F161" s="51"/>
      <c r="G161" s="53">
        <f t="shared" si="32"/>
        <v>8</v>
      </c>
      <c r="H161" s="51"/>
      <c r="I161" s="51">
        <f t="shared" si="25"/>
        <v>8</v>
      </c>
    </row>
    <row r="162" spans="1:9" x14ac:dyDescent="0.25">
      <c r="A162" s="133">
        <v>45376</v>
      </c>
      <c r="B162" s="51" t="s">
        <v>414</v>
      </c>
      <c r="C162" s="134">
        <v>0.32291666666666669</v>
      </c>
      <c r="D162" s="134">
        <v>0.58333333333333337</v>
      </c>
      <c r="E162" s="53">
        <f t="shared" si="26"/>
        <v>5.75</v>
      </c>
      <c r="F162" s="51">
        <v>0.5</v>
      </c>
      <c r="G162" s="53"/>
      <c r="H162" s="53">
        <f t="shared" ref="H162:H163" si="33">IF(WEEKDAY(A162, 2)&lt;6, E162-2, E162)</f>
        <v>3.75</v>
      </c>
      <c r="I162" s="51">
        <f t="shared" si="25"/>
        <v>3.75</v>
      </c>
    </row>
    <row r="163" spans="1:9" x14ac:dyDescent="0.25">
      <c r="A163" s="133">
        <v>45377</v>
      </c>
      <c r="B163" s="51" t="s">
        <v>414</v>
      </c>
      <c r="C163" s="134">
        <v>0.32291666666666669</v>
      </c>
      <c r="D163" s="134">
        <v>0.58333333333333337</v>
      </c>
      <c r="E163" s="53">
        <f t="shared" si="26"/>
        <v>5.75</v>
      </c>
      <c r="F163" s="51">
        <v>0.5</v>
      </c>
      <c r="G163" s="53"/>
      <c r="H163" s="53">
        <f t="shared" si="33"/>
        <v>3.75</v>
      </c>
      <c r="I163" s="51">
        <f t="shared" si="25"/>
        <v>3.75</v>
      </c>
    </row>
    <row r="164" spans="1:9" x14ac:dyDescent="0.25">
      <c r="A164" s="133">
        <v>45377</v>
      </c>
      <c r="B164" s="51" t="s">
        <v>56</v>
      </c>
      <c r="C164" s="134">
        <v>0.70833333333333337</v>
      </c>
      <c r="D164" s="134">
        <v>0.875</v>
      </c>
      <c r="E164" s="53">
        <f t="shared" si="26"/>
        <v>3.9999999999999991</v>
      </c>
      <c r="F164" s="51"/>
      <c r="G164" s="53">
        <f>IF(WEEKDAY(A164, 2)&lt;6, E164+2, E164)</f>
        <v>5.9999999999999991</v>
      </c>
      <c r="H164" s="53"/>
      <c r="I164" s="51">
        <f t="shared" si="25"/>
        <v>5.9999999999999991</v>
      </c>
    </row>
    <row r="165" spans="1:9" x14ac:dyDescent="0.25">
      <c r="A165" s="133">
        <v>45378</v>
      </c>
      <c r="B165" s="51" t="s">
        <v>414</v>
      </c>
      <c r="C165" s="134">
        <v>0.32291666666666669</v>
      </c>
      <c r="D165" s="134">
        <v>0.58333333333333337</v>
      </c>
      <c r="E165" s="53">
        <f t="shared" si="26"/>
        <v>5.75</v>
      </c>
      <c r="F165" s="51">
        <v>0.5</v>
      </c>
      <c r="G165" s="53"/>
      <c r="H165" s="53">
        <f>IF(WEEKDAY(A165, 2)&lt;6, E165-2, E165)</f>
        <v>3.75</v>
      </c>
      <c r="I165" s="51">
        <f t="shared" si="25"/>
        <v>3.75</v>
      </c>
    </row>
    <row r="166" spans="1:9" x14ac:dyDescent="0.25">
      <c r="A166" s="133">
        <v>45378</v>
      </c>
      <c r="B166" s="51" t="s">
        <v>49</v>
      </c>
      <c r="C166" s="134">
        <v>0.70833333333333337</v>
      </c>
      <c r="D166" s="134">
        <v>0.89583333333333337</v>
      </c>
      <c r="E166" s="53">
        <f t="shared" si="26"/>
        <v>4.5</v>
      </c>
      <c r="F166" s="51"/>
      <c r="G166" s="53">
        <f>IF(WEEKDAY(A166, 2)&lt;6, E166+2, E166)</f>
        <v>6.5</v>
      </c>
      <c r="H166" s="51"/>
      <c r="I166" s="51">
        <f t="shared" si="25"/>
        <v>6.5</v>
      </c>
    </row>
    <row r="167" spans="1:9" x14ac:dyDescent="0.25">
      <c r="A167" s="133">
        <v>45379</v>
      </c>
      <c r="B167" s="51" t="s">
        <v>414</v>
      </c>
      <c r="C167" s="134">
        <v>0.32291666666666669</v>
      </c>
      <c r="D167" s="134">
        <v>0.58333333333333337</v>
      </c>
      <c r="E167" s="53">
        <f t="shared" si="26"/>
        <v>5.75</v>
      </c>
      <c r="F167" s="51">
        <v>0.5</v>
      </c>
      <c r="G167" s="53"/>
      <c r="H167" s="53">
        <f>IF(WEEKDAY(A167, 2)&lt;6, E167-2, E167)</f>
        <v>3.75</v>
      </c>
      <c r="I167" s="51">
        <f t="shared" si="25"/>
        <v>3.75</v>
      </c>
    </row>
    <row r="168" spans="1:9" x14ac:dyDescent="0.25">
      <c r="A168" s="133">
        <v>45379</v>
      </c>
      <c r="B168" s="51" t="s">
        <v>53</v>
      </c>
      <c r="C168" s="134">
        <v>0.6875</v>
      </c>
      <c r="D168" s="134">
        <v>0</v>
      </c>
      <c r="E168" s="53">
        <f t="shared" si="26"/>
        <v>7</v>
      </c>
      <c r="F168" s="51">
        <v>0.5</v>
      </c>
      <c r="G168" s="53">
        <f t="shared" ref="G168:G169" si="34">IF(WEEKDAY(A168, 2)&lt;6, E168+2, E168)</f>
        <v>9</v>
      </c>
      <c r="H168" s="51"/>
      <c r="I168" s="51">
        <f t="shared" si="25"/>
        <v>9</v>
      </c>
    </row>
    <row r="169" spans="1:9" x14ac:dyDescent="0.25">
      <c r="A169" s="133">
        <v>45379</v>
      </c>
      <c r="B169" s="51" t="s">
        <v>56</v>
      </c>
      <c r="C169" s="134">
        <v>0.77083333333333337</v>
      </c>
      <c r="D169" s="134">
        <v>0.9375</v>
      </c>
      <c r="E169" s="53">
        <f t="shared" si="26"/>
        <v>3.9999999999999991</v>
      </c>
      <c r="F169" s="51"/>
      <c r="G169" s="53">
        <f t="shared" si="34"/>
        <v>5.9999999999999991</v>
      </c>
      <c r="H169" s="53"/>
      <c r="I169" s="51">
        <f t="shared" si="25"/>
        <v>5.9999999999999991</v>
      </c>
    </row>
    <row r="170" spans="1:9" x14ac:dyDescent="0.25">
      <c r="A170" s="133">
        <v>45380</v>
      </c>
      <c r="B170" s="51" t="s">
        <v>414</v>
      </c>
      <c r="C170" s="134">
        <v>0.32291666666666669</v>
      </c>
      <c r="D170" s="134">
        <v>0.58333333333333337</v>
      </c>
      <c r="E170" s="53">
        <f t="shared" si="26"/>
        <v>5.75</v>
      </c>
      <c r="F170" s="51">
        <v>0.5</v>
      </c>
      <c r="G170" s="53"/>
      <c r="H170" s="53">
        <f>IF(WEEKDAY(A170, 2)&lt;6, E170-2, E170)</f>
        <v>3.75</v>
      </c>
      <c r="I170" s="51">
        <f t="shared" si="25"/>
        <v>3.75</v>
      </c>
    </row>
    <row r="171" spans="1:9" x14ac:dyDescent="0.25">
      <c r="A171" s="133">
        <v>45380</v>
      </c>
      <c r="B171" s="51" t="s">
        <v>58</v>
      </c>
      <c r="C171" s="134">
        <v>0.6875</v>
      </c>
      <c r="D171" s="134">
        <v>0.95833333333333337</v>
      </c>
      <c r="E171" s="53">
        <f t="shared" si="26"/>
        <v>6.0000000000000009</v>
      </c>
      <c r="F171" s="51">
        <v>0.5</v>
      </c>
      <c r="G171" s="53">
        <f t="shared" ref="G171:G175" si="35">IF(WEEKDAY(A171, 2)&lt;6, E171+2, E171)</f>
        <v>8</v>
      </c>
      <c r="H171" s="51"/>
      <c r="I171" s="51">
        <f t="shared" si="25"/>
        <v>8</v>
      </c>
    </row>
    <row r="172" spans="1:9" x14ac:dyDescent="0.25">
      <c r="A172" s="133">
        <v>45381</v>
      </c>
      <c r="B172" s="51" t="s">
        <v>56</v>
      </c>
      <c r="C172" s="134">
        <v>0.33333333333333331</v>
      </c>
      <c r="D172" s="134">
        <v>0.5</v>
      </c>
      <c r="E172" s="53">
        <f t="shared" si="26"/>
        <v>4</v>
      </c>
      <c r="F172" s="51"/>
      <c r="G172" s="53">
        <f t="shared" si="35"/>
        <v>4</v>
      </c>
      <c r="H172" s="53"/>
      <c r="I172" s="51">
        <f t="shared" si="25"/>
        <v>4</v>
      </c>
    </row>
    <row r="173" spans="1:9" x14ac:dyDescent="0.25">
      <c r="A173" s="133">
        <v>45381</v>
      </c>
      <c r="B173" s="51" t="s">
        <v>48</v>
      </c>
      <c r="C173" s="134">
        <v>0.45833333333333331</v>
      </c>
      <c r="D173" s="134">
        <v>0.70833333333333337</v>
      </c>
      <c r="E173" s="53">
        <f t="shared" si="26"/>
        <v>5.5000000000000018</v>
      </c>
      <c r="F173" s="51">
        <v>0.5</v>
      </c>
      <c r="G173" s="53">
        <f t="shared" si="35"/>
        <v>5.5000000000000018</v>
      </c>
      <c r="H173" s="51"/>
      <c r="I173" s="51">
        <f t="shared" si="25"/>
        <v>5.5000000000000018</v>
      </c>
    </row>
    <row r="174" spans="1:9" x14ac:dyDescent="0.25">
      <c r="A174" s="133">
        <v>45381</v>
      </c>
      <c r="B174" s="51" t="s">
        <v>58</v>
      </c>
      <c r="C174" s="134">
        <v>0.5</v>
      </c>
      <c r="D174" s="134">
        <v>0.91666666666666663</v>
      </c>
      <c r="E174" s="53">
        <f t="shared" si="26"/>
        <v>9</v>
      </c>
      <c r="F174" s="51">
        <v>1</v>
      </c>
      <c r="G174" s="53">
        <f t="shared" si="35"/>
        <v>9</v>
      </c>
      <c r="H174" s="51"/>
      <c r="I174" s="51">
        <f t="shared" si="25"/>
        <v>9</v>
      </c>
    </row>
    <row r="175" spans="1:9" x14ac:dyDescent="0.25">
      <c r="A175" s="133">
        <v>45384</v>
      </c>
      <c r="B175" s="51" t="s">
        <v>56</v>
      </c>
      <c r="C175" s="134">
        <v>0.375</v>
      </c>
      <c r="D175" s="134">
        <v>0.5625</v>
      </c>
      <c r="E175" s="53">
        <f t="shared" si="26"/>
        <v>4.5</v>
      </c>
      <c r="F175" s="51"/>
      <c r="G175" s="53">
        <f t="shared" si="35"/>
        <v>6.5</v>
      </c>
      <c r="H175" s="53"/>
      <c r="I175" s="51">
        <f t="shared" si="25"/>
        <v>6.5</v>
      </c>
    </row>
    <row r="176" spans="1:9" x14ac:dyDescent="0.25">
      <c r="A176" s="133">
        <v>45385</v>
      </c>
      <c r="B176" s="51" t="s">
        <v>414</v>
      </c>
      <c r="C176" s="134">
        <v>0.33333333333333331</v>
      </c>
      <c r="D176" s="134">
        <v>0.58333333333333337</v>
      </c>
      <c r="E176" s="53">
        <f t="shared" si="26"/>
        <v>5.5000000000000018</v>
      </c>
      <c r="F176" s="51">
        <v>0.5</v>
      </c>
      <c r="G176" s="53"/>
      <c r="H176" s="53">
        <f>IF(WEEKDAY(A176, 2)&lt;6, E176-2, E176)</f>
        <v>3.5000000000000018</v>
      </c>
      <c r="I176" s="51">
        <f t="shared" si="25"/>
        <v>3.5000000000000018</v>
      </c>
    </row>
    <row r="177" spans="1:9" x14ac:dyDescent="0.25">
      <c r="A177" s="133">
        <v>45385</v>
      </c>
      <c r="B177" s="51" t="s">
        <v>56</v>
      </c>
      <c r="C177" s="134">
        <v>0.66666666666666663</v>
      </c>
      <c r="D177" s="134">
        <v>0.875</v>
      </c>
      <c r="E177" s="53">
        <f t="shared" si="26"/>
        <v>5.0000000000000009</v>
      </c>
      <c r="F177" s="51"/>
      <c r="G177" s="53">
        <f>IF(WEEKDAY(A177, 2)&lt;6, E177+2, E177)</f>
        <v>7.0000000000000009</v>
      </c>
      <c r="H177" s="53"/>
      <c r="I177" s="51">
        <f t="shared" si="25"/>
        <v>7.0000000000000009</v>
      </c>
    </row>
    <row r="178" spans="1:9" x14ac:dyDescent="0.25">
      <c r="A178" s="133">
        <v>45386</v>
      </c>
      <c r="B178" s="51" t="s">
        <v>414</v>
      </c>
      <c r="C178" s="134">
        <v>0.33333333333333331</v>
      </c>
      <c r="D178" s="134">
        <v>0.58333333333333337</v>
      </c>
      <c r="E178" s="53">
        <f t="shared" si="26"/>
        <v>5.5000000000000018</v>
      </c>
      <c r="F178" s="51">
        <v>0.5</v>
      </c>
      <c r="G178" s="53"/>
      <c r="H178" s="53">
        <f>IF(WEEKDAY(A178, 2)&lt;6, E178-2, E178)</f>
        <v>3.5000000000000018</v>
      </c>
      <c r="I178" s="51">
        <f t="shared" si="25"/>
        <v>3.5000000000000018</v>
      </c>
    </row>
    <row r="179" spans="1:9" x14ac:dyDescent="0.25">
      <c r="A179" s="133">
        <v>45386</v>
      </c>
      <c r="B179" s="51" t="s">
        <v>56</v>
      </c>
      <c r="C179" s="134">
        <v>0.75</v>
      </c>
      <c r="D179" s="134">
        <v>0.9375</v>
      </c>
      <c r="E179" s="53">
        <f t="shared" si="26"/>
        <v>4.5</v>
      </c>
      <c r="F179" s="51"/>
      <c r="G179" s="53">
        <f>IF(WEEKDAY(A179, 2)&lt;6, E179+2, E179)</f>
        <v>6.5</v>
      </c>
      <c r="H179" s="53"/>
      <c r="I179" s="51">
        <f t="shared" si="25"/>
        <v>6.5</v>
      </c>
    </row>
    <row r="180" spans="1:9" x14ac:dyDescent="0.25">
      <c r="A180" s="133">
        <v>45387</v>
      </c>
      <c r="B180" s="51" t="s">
        <v>414</v>
      </c>
      <c r="C180" s="134">
        <v>0.33333333333333331</v>
      </c>
      <c r="D180" s="134">
        <v>0.58333333333333337</v>
      </c>
      <c r="E180" s="53">
        <f t="shared" si="26"/>
        <v>5.5000000000000018</v>
      </c>
      <c r="F180" s="51">
        <v>0.5</v>
      </c>
      <c r="G180" s="53"/>
      <c r="H180" s="53">
        <f>IF(WEEKDAY(A180, 2)&lt;6, E180-2, E180)</f>
        <v>3.5000000000000018</v>
      </c>
      <c r="I180" s="51">
        <f t="shared" si="25"/>
        <v>3.5000000000000018</v>
      </c>
    </row>
    <row r="181" spans="1:9" x14ac:dyDescent="0.25">
      <c r="A181" s="133">
        <v>45387</v>
      </c>
      <c r="B181" s="51" t="s">
        <v>53</v>
      </c>
      <c r="C181" s="134">
        <v>0.64583333333333337</v>
      </c>
      <c r="D181" s="134">
        <v>0.97916666666666663</v>
      </c>
      <c r="E181" s="53">
        <f t="shared" si="26"/>
        <v>7.4999999999999982</v>
      </c>
      <c r="F181" s="51">
        <v>0.5</v>
      </c>
      <c r="G181" s="53">
        <f t="shared" ref="G181:G188" si="36">IF(WEEKDAY(A181, 2)&lt;6, E181+2, E181)</f>
        <v>9.4999999999999982</v>
      </c>
      <c r="H181" s="51"/>
      <c r="I181" s="51">
        <f t="shared" si="25"/>
        <v>9.4999999999999982</v>
      </c>
    </row>
    <row r="182" spans="1:9" x14ac:dyDescent="0.25">
      <c r="A182" s="133">
        <v>45387</v>
      </c>
      <c r="B182" s="51" t="s">
        <v>58</v>
      </c>
      <c r="C182" s="134">
        <v>0.75</v>
      </c>
      <c r="D182" s="134">
        <v>0.95833333333333337</v>
      </c>
      <c r="E182" s="53">
        <f t="shared" si="26"/>
        <v>5.0000000000000009</v>
      </c>
      <c r="F182" s="51"/>
      <c r="G182" s="53">
        <f t="shared" si="36"/>
        <v>7.0000000000000009</v>
      </c>
      <c r="H182" s="51"/>
      <c r="I182" s="51">
        <f t="shared" si="25"/>
        <v>7.0000000000000009</v>
      </c>
    </row>
    <row r="183" spans="1:9" x14ac:dyDescent="0.25">
      <c r="A183" s="133">
        <v>45388</v>
      </c>
      <c r="B183" s="51" t="s">
        <v>56</v>
      </c>
      <c r="C183" s="134">
        <v>0.33333333333333331</v>
      </c>
      <c r="D183" s="134">
        <v>0.52083333333333337</v>
      </c>
      <c r="E183" s="53">
        <f t="shared" si="26"/>
        <v>4.5000000000000018</v>
      </c>
      <c r="F183" s="51"/>
      <c r="G183" s="53">
        <f t="shared" si="36"/>
        <v>4.5000000000000018</v>
      </c>
      <c r="H183" s="53"/>
      <c r="I183" s="51">
        <f t="shared" si="25"/>
        <v>4.5000000000000018</v>
      </c>
    </row>
    <row r="184" spans="1:9" x14ac:dyDescent="0.25">
      <c r="A184" s="133">
        <v>45388</v>
      </c>
      <c r="B184" s="51" t="s">
        <v>49</v>
      </c>
      <c r="C184" s="134">
        <v>0.33333333333333331</v>
      </c>
      <c r="D184" s="134">
        <v>0.45833333333333331</v>
      </c>
      <c r="E184" s="53">
        <f t="shared" si="26"/>
        <v>3</v>
      </c>
      <c r="F184" s="51"/>
      <c r="G184" s="53">
        <f t="shared" si="36"/>
        <v>3</v>
      </c>
      <c r="H184" s="51"/>
      <c r="I184" s="51">
        <f t="shared" si="25"/>
        <v>3</v>
      </c>
    </row>
    <row r="185" spans="1:9" x14ac:dyDescent="0.25">
      <c r="A185" s="133">
        <v>45388</v>
      </c>
      <c r="B185" s="51" t="s">
        <v>58</v>
      </c>
      <c r="C185" s="134">
        <v>0.52083333333333337</v>
      </c>
      <c r="D185" s="134">
        <v>0.83333333333333337</v>
      </c>
      <c r="E185" s="53">
        <f t="shared" si="26"/>
        <v>7</v>
      </c>
      <c r="F185" s="51">
        <v>0.5</v>
      </c>
      <c r="G185" s="53">
        <f t="shared" si="36"/>
        <v>7</v>
      </c>
      <c r="H185" s="51"/>
      <c r="I185" s="51">
        <f t="shared" si="25"/>
        <v>7</v>
      </c>
    </row>
    <row r="186" spans="1:9" x14ac:dyDescent="0.25">
      <c r="A186" s="133">
        <v>45388</v>
      </c>
      <c r="B186" s="51" t="s">
        <v>48</v>
      </c>
      <c r="C186" s="134">
        <v>0.58333333333333337</v>
      </c>
      <c r="D186" s="134">
        <v>0</v>
      </c>
      <c r="E186" s="53">
        <f t="shared" si="26"/>
        <v>9</v>
      </c>
      <c r="F186" s="51">
        <v>1</v>
      </c>
      <c r="G186" s="53">
        <f t="shared" si="36"/>
        <v>9</v>
      </c>
      <c r="H186" s="51"/>
      <c r="I186" s="51">
        <f t="shared" si="25"/>
        <v>9</v>
      </c>
    </row>
    <row r="187" spans="1:9" x14ac:dyDescent="0.25">
      <c r="A187" s="133">
        <v>45388</v>
      </c>
      <c r="B187" s="51" t="s">
        <v>53</v>
      </c>
      <c r="C187" s="134">
        <v>0.625</v>
      </c>
      <c r="D187" s="134">
        <v>2.0833333333333332E-2</v>
      </c>
      <c r="E187" s="53">
        <f t="shared" si="26"/>
        <v>8.5</v>
      </c>
      <c r="F187" s="51">
        <v>1</v>
      </c>
      <c r="G187" s="53">
        <f t="shared" si="36"/>
        <v>8.5</v>
      </c>
      <c r="H187" s="51"/>
      <c r="I187" s="51">
        <f t="shared" si="25"/>
        <v>8.5</v>
      </c>
    </row>
    <row r="188" spans="1:9" x14ac:dyDescent="0.25">
      <c r="A188" s="133">
        <v>45389</v>
      </c>
      <c r="B188" s="51" t="s">
        <v>46</v>
      </c>
      <c r="C188" s="134">
        <v>0.66666666666666663</v>
      </c>
      <c r="D188" s="134">
        <v>0.91666666666666663</v>
      </c>
      <c r="E188" s="53">
        <f t="shared" si="26"/>
        <v>5.5</v>
      </c>
      <c r="F188" s="51">
        <v>0.5</v>
      </c>
      <c r="G188" s="53">
        <f t="shared" si="36"/>
        <v>5.5</v>
      </c>
      <c r="H188" s="51"/>
      <c r="I188" s="51">
        <f t="shared" si="25"/>
        <v>5.5</v>
      </c>
    </row>
    <row r="189" spans="1:9" x14ac:dyDescent="0.25">
      <c r="A189" s="133">
        <v>45390</v>
      </c>
      <c r="B189" s="51" t="s">
        <v>414</v>
      </c>
      <c r="C189" s="134">
        <v>0.33333333333333331</v>
      </c>
      <c r="D189" s="134">
        <v>0.58333333333333337</v>
      </c>
      <c r="E189" s="53">
        <f t="shared" si="26"/>
        <v>5.5000000000000018</v>
      </c>
      <c r="F189" s="51">
        <v>0.5</v>
      </c>
      <c r="G189" s="53"/>
      <c r="H189" s="53">
        <f>IF(WEEKDAY(A189, 2)&lt;6, E189-2, E189)</f>
        <v>3.5000000000000018</v>
      </c>
      <c r="I189" s="51">
        <f t="shared" si="25"/>
        <v>3.5000000000000018</v>
      </c>
    </row>
    <row r="190" spans="1:9" x14ac:dyDescent="0.25">
      <c r="A190" s="133">
        <v>45391</v>
      </c>
      <c r="B190" s="51" t="s">
        <v>56</v>
      </c>
      <c r="C190" s="134">
        <v>0.33333333333333331</v>
      </c>
      <c r="D190" s="134">
        <v>0.5625</v>
      </c>
      <c r="E190" s="53">
        <f t="shared" si="26"/>
        <v>5.5</v>
      </c>
      <c r="F190" s="51"/>
      <c r="G190" s="53">
        <f>IF(WEEKDAY(A190, 2)&lt;6, E190+2, E190)</f>
        <v>7.5</v>
      </c>
      <c r="H190" s="53"/>
      <c r="I190" s="51">
        <f t="shared" si="25"/>
        <v>7.5</v>
      </c>
    </row>
    <row r="191" spans="1:9" x14ac:dyDescent="0.25">
      <c r="A191" s="133">
        <v>45392</v>
      </c>
      <c r="B191" s="51" t="s">
        <v>414</v>
      </c>
      <c r="C191" s="134">
        <v>0.33333333333333331</v>
      </c>
      <c r="D191" s="134">
        <v>0.58333333333333337</v>
      </c>
      <c r="E191" s="53">
        <f t="shared" si="26"/>
        <v>5.5000000000000018</v>
      </c>
      <c r="F191" s="51">
        <v>0.5</v>
      </c>
      <c r="G191" s="53"/>
      <c r="H191" s="53">
        <f>IF(WEEKDAY(A191, 2)&lt;6, E191-2, E191)</f>
        <v>3.5000000000000018</v>
      </c>
      <c r="I191" s="51">
        <f t="shared" si="25"/>
        <v>3.5000000000000018</v>
      </c>
    </row>
    <row r="192" spans="1:9" x14ac:dyDescent="0.25">
      <c r="A192" s="133">
        <v>45392</v>
      </c>
      <c r="B192" s="51" t="s">
        <v>49</v>
      </c>
      <c r="C192" s="134">
        <v>0.6875</v>
      </c>
      <c r="D192" s="134">
        <v>0.89583333333333337</v>
      </c>
      <c r="E192" s="53">
        <f t="shared" si="26"/>
        <v>5.0000000000000009</v>
      </c>
      <c r="F192" s="51"/>
      <c r="G192" s="53">
        <f>IF(WEEKDAY(A192, 2)&lt;6, E192+2, E192)</f>
        <v>7.0000000000000009</v>
      </c>
      <c r="H192" s="51"/>
      <c r="I192" s="51">
        <f t="shared" si="25"/>
        <v>7.0000000000000009</v>
      </c>
    </row>
    <row r="193" spans="1:9" x14ac:dyDescent="0.25">
      <c r="A193" s="133">
        <v>45393</v>
      </c>
      <c r="B193" s="51" t="s">
        <v>414</v>
      </c>
      <c r="C193" s="134">
        <v>0.33333333333333331</v>
      </c>
      <c r="D193" s="134">
        <v>0.58333333333333337</v>
      </c>
      <c r="E193" s="53">
        <f t="shared" si="26"/>
        <v>5.5000000000000018</v>
      </c>
      <c r="F193" s="51">
        <v>0.5</v>
      </c>
      <c r="G193" s="53"/>
      <c r="H193" s="53">
        <f>IF(WEEKDAY(A193, 2)&lt;6, E193-2, E193)</f>
        <v>3.5000000000000018</v>
      </c>
      <c r="I193" s="51">
        <f t="shared" si="25"/>
        <v>3.5000000000000018</v>
      </c>
    </row>
    <row r="194" spans="1:9" x14ac:dyDescent="0.25">
      <c r="A194" s="133">
        <v>45393</v>
      </c>
      <c r="B194" s="51" t="s">
        <v>56</v>
      </c>
      <c r="C194" s="134">
        <v>0.75</v>
      </c>
      <c r="D194" s="134">
        <v>0.9375</v>
      </c>
      <c r="E194" s="53">
        <f t="shared" si="26"/>
        <v>4.5</v>
      </c>
      <c r="F194" s="51"/>
      <c r="G194" s="53">
        <f>IF(WEEKDAY(A194, 2)&lt;6, E194+2, E194)</f>
        <v>6.5</v>
      </c>
      <c r="H194" s="53"/>
      <c r="I194" s="51">
        <f t="shared" ref="I194:I257" si="37">IF(G194&lt;&gt;"",G194,H194)</f>
        <v>6.5</v>
      </c>
    </row>
    <row r="195" spans="1:9" x14ac:dyDescent="0.25">
      <c r="A195" s="133">
        <v>45394</v>
      </c>
      <c r="B195" s="51" t="s">
        <v>414</v>
      </c>
      <c r="C195" s="134">
        <v>0.33333333333333331</v>
      </c>
      <c r="D195" s="134">
        <v>0.58333333333333337</v>
      </c>
      <c r="E195" s="53">
        <f t="shared" ref="E195:E258" si="38">MOD((D195-C195),1) *24 - F195</f>
        <v>5.5000000000000018</v>
      </c>
      <c r="F195" s="51">
        <v>0.5</v>
      </c>
      <c r="G195" s="53"/>
      <c r="H195" s="53">
        <f>IF(WEEKDAY(A195, 2)&lt;6, E195-2, E195)</f>
        <v>3.5000000000000018</v>
      </c>
      <c r="I195" s="51">
        <f t="shared" si="37"/>
        <v>3.5000000000000018</v>
      </c>
    </row>
    <row r="196" spans="1:9" x14ac:dyDescent="0.25">
      <c r="A196" s="133">
        <v>45394</v>
      </c>
      <c r="B196" s="51" t="s">
        <v>53</v>
      </c>
      <c r="C196" s="134">
        <v>0.70833333333333337</v>
      </c>
      <c r="D196" s="134">
        <v>4.1666666666666664E-2</v>
      </c>
      <c r="E196" s="53">
        <f t="shared" si="38"/>
        <v>7.4999999999999982</v>
      </c>
      <c r="F196" s="51">
        <v>0.5</v>
      </c>
      <c r="G196" s="53">
        <f t="shared" ref="G196:G202" si="39">IF(WEEKDAY(A196, 2)&lt;6, E196+2, E196)</f>
        <v>9.4999999999999982</v>
      </c>
      <c r="H196" s="51"/>
      <c r="I196" s="51">
        <f t="shared" si="37"/>
        <v>9.4999999999999982</v>
      </c>
    </row>
    <row r="197" spans="1:9" x14ac:dyDescent="0.25">
      <c r="A197" s="133">
        <v>45394</v>
      </c>
      <c r="B197" s="51" t="s">
        <v>58</v>
      </c>
      <c r="C197" s="134">
        <v>0.75</v>
      </c>
      <c r="D197" s="134">
        <v>0.95833333333333337</v>
      </c>
      <c r="E197" s="53">
        <f t="shared" si="38"/>
        <v>5.0000000000000009</v>
      </c>
      <c r="F197" s="51"/>
      <c r="G197" s="53">
        <f t="shared" si="39"/>
        <v>7.0000000000000009</v>
      </c>
      <c r="H197" s="51"/>
      <c r="I197" s="51">
        <f t="shared" si="37"/>
        <v>7.0000000000000009</v>
      </c>
    </row>
    <row r="198" spans="1:9" x14ac:dyDescent="0.25">
      <c r="A198" s="133">
        <v>45395</v>
      </c>
      <c r="B198" s="51" t="s">
        <v>58</v>
      </c>
      <c r="C198" s="134">
        <v>0.25</v>
      </c>
      <c r="D198" s="134">
        <v>0.52083333333333337</v>
      </c>
      <c r="E198" s="53">
        <f t="shared" si="38"/>
        <v>6.0000000000000009</v>
      </c>
      <c r="F198" s="51">
        <v>0.5</v>
      </c>
      <c r="G198" s="53">
        <f t="shared" si="39"/>
        <v>6.0000000000000009</v>
      </c>
      <c r="H198" s="51"/>
      <c r="I198" s="51">
        <f t="shared" si="37"/>
        <v>6.0000000000000009</v>
      </c>
    </row>
    <row r="199" spans="1:9" x14ac:dyDescent="0.25">
      <c r="A199" s="133">
        <v>45395</v>
      </c>
      <c r="B199" s="51" t="s">
        <v>56</v>
      </c>
      <c r="C199" s="134">
        <v>0.52083333333333337</v>
      </c>
      <c r="D199" s="134">
        <v>0.77083333333333337</v>
      </c>
      <c r="E199" s="53">
        <f t="shared" si="38"/>
        <v>5.5</v>
      </c>
      <c r="F199" s="51">
        <v>0.5</v>
      </c>
      <c r="G199" s="53">
        <f t="shared" si="39"/>
        <v>5.5</v>
      </c>
      <c r="H199" s="53"/>
      <c r="I199" s="51">
        <f t="shared" si="37"/>
        <v>5.5</v>
      </c>
    </row>
    <row r="200" spans="1:9" x14ac:dyDescent="0.25">
      <c r="A200" s="133">
        <v>45395</v>
      </c>
      <c r="B200" s="51" t="s">
        <v>46</v>
      </c>
      <c r="C200" s="134">
        <v>0.54166666666666663</v>
      </c>
      <c r="D200" s="134">
        <v>0.75</v>
      </c>
      <c r="E200" s="53">
        <f t="shared" si="38"/>
        <v>5.0000000000000009</v>
      </c>
      <c r="F200" s="51"/>
      <c r="G200" s="53">
        <f t="shared" si="39"/>
        <v>5.0000000000000009</v>
      </c>
      <c r="H200" s="51"/>
      <c r="I200" s="51">
        <f t="shared" si="37"/>
        <v>5.0000000000000009</v>
      </c>
    </row>
    <row r="201" spans="1:9" x14ac:dyDescent="0.25">
      <c r="A201" s="133">
        <v>45395</v>
      </c>
      <c r="B201" s="51" t="s">
        <v>53</v>
      </c>
      <c r="C201" s="134">
        <v>0.54166666666666663</v>
      </c>
      <c r="D201" s="134">
        <v>0.79166666666666663</v>
      </c>
      <c r="E201" s="53">
        <f t="shared" si="38"/>
        <v>5.5</v>
      </c>
      <c r="F201" s="51">
        <v>0.5</v>
      </c>
      <c r="G201" s="53">
        <f t="shared" si="39"/>
        <v>5.5</v>
      </c>
      <c r="H201" s="51"/>
      <c r="I201" s="51">
        <f t="shared" si="37"/>
        <v>5.5</v>
      </c>
    </row>
    <row r="202" spans="1:9" x14ac:dyDescent="0.25">
      <c r="A202" s="133">
        <v>45396</v>
      </c>
      <c r="B202" s="51" t="s">
        <v>53</v>
      </c>
      <c r="C202" s="134">
        <v>0.45833333333333331</v>
      </c>
      <c r="D202" s="134">
        <v>0.72916666666666663</v>
      </c>
      <c r="E202" s="53">
        <f t="shared" si="38"/>
        <v>6</v>
      </c>
      <c r="F202" s="51">
        <v>0.5</v>
      </c>
      <c r="G202" s="53">
        <f t="shared" si="39"/>
        <v>6</v>
      </c>
      <c r="H202" s="51"/>
      <c r="I202" s="51">
        <f t="shared" si="37"/>
        <v>6</v>
      </c>
    </row>
    <row r="203" spans="1:9" x14ac:dyDescent="0.25">
      <c r="A203" s="133">
        <v>45398</v>
      </c>
      <c r="B203" s="51" t="s">
        <v>414</v>
      </c>
      <c r="C203" s="134">
        <v>0.33333333333333331</v>
      </c>
      <c r="D203" s="134">
        <v>0.58333333333333337</v>
      </c>
      <c r="E203" s="53">
        <f t="shared" si="38"/>
        <v>5.5000000000000018</v>
      </c>
      <c r="F203" s="51">
        <v>0.5</v>
      </c>
      <c r="G203" s="53"/>
      <c r="H203" s="53">
        <f t="shared" ref="H203:H204" si="40">IF(WEEKDAY(A203, 2)&lt;6, E203-2, E203)</f>
        <v>3.5000000000000018</v>
      </c>
      <c r="I203" s="51">
        <f t="shared" si="37"/>
        <v>3.5000000000000018</v>
      </c>
    </row>
    <row r="204" spans="1:9" x14ac:dyDescent="0.25">
      <c r="A204" s="133">
        <v>45399</v>
      </c>
      <c r="B204" s="51" t="s">
        <v>414</v>
      </c>
      <c r="C204" s="134">
        <v>0.33333333333333331</v>
      </c>
      <c r="D204" s="134">
        <v>0.58333333333333337</v>
      </c>
      <c r="E204" s="53">
        <f t="shared" si="38"/>
        <v>5.5000000000000018</v>
      </c>
      <c r="F204" s="51">
        <v>0.5</v>
      </c>
      <c r="G204" s="53"/>
      <c r="H204" s="53">
        <f t="shared" si="40"/>
        <v>3.5000000000000018</v>
      </c>
      <c r="I204" s="51">
        <f t="shared" si="37"/>
        <v>3.5000000000000018</v>
      </c>
    </row>
    <row r="205" spans="1:9" x14ac:dyDescent="0.25">
      <c r="A205" s="133">
        <v>45399</v>
      </c>
      <c r="B205" s="51" t="s">
        <v>49</v>
      </c>
      <c r="C205" s="134">
        <v>0.6875</v>
      </c>
      <c r="D205" s="134">
        <v>0.875</v>
      </c>
      <c r="E205" s="53">
        <f t="shared" si="38"/>
        <v>4.5</v>
      </c>
      <c r="F205" s="51"/>
      <c r="G205" s="53">
        <f t="shared" ref="G205:G206" si="41">IF(WEEKDAY(A205, 2)&lt;6, E205+2, E205)</f>
        <v>6.5</v>
      </c>
      <c r="H205" s="51"/>
      <c r="I205" s="51">
        <f t="shared" si="37"/>
        <v>6.5</v>
      </c>
    </row>
    <row r="206" spans="1:9" x14ac:dyDescent="0.25">
      <c r="A206" s="133">
        <v>45399</v>
      </c>
      <c r="B206" s="51" t="s">
        <v>58</v>
      </c>
      <c r="C206" s="134">
        <v>0.70833333333333337</v>
      </c>
      <c r="D206" s="134">
        <v>0.875</v>
      </c>
      <c r="E206" s="53">
        <f t="shared" si="38"/>
        <v>3.9999999999999991</v>
      </c>
      <c r="F206" s="51"/>
      <c r="G206" s="53">
        <f t="shared" si="41"/>
        <v>5.9999999999999991</v>
      </c>
      <c r="H206" s="51"/>
      <c r="I206" s="51">
        <f t="shared" si="37"/>
        <v>5.9999999999999991</v>
      </c>
    </row>
    <row r="207" spans="1:9" x14ac:dyDescent="0.25">
      <c r="A207" s="133">
        <v>45400</v>
      </c>
      <c r="B207" s="51" t="s">
        <v>414</v>
      </c>
      <c r="C207" s="134">
        <v>0.45833333333333331</v>
      </c>
      <c r="D207" s="134">
        <v>0.58333333333333337</v>
      </c>
      <c r="E207" s="53">
        <f t="shared" si="38"/>
        <v>3.0000000000000013</v>
      </c>
      <c r="F207" s="51"/>
      <c r="G207" s="53"/>
      <c r="H207" s="53">
        <f>IF(WEEKDAY(A207, 2)&lt;6, E207-2, E207)</f>
        <v>1.0000000000000013</v>
      </c>
      <c r="I207" s="51">
        <f t="shared" si="37"/>
        <v>1.0000000000000013</v>
      </c>
    </row>
    <row r="208" spans="1:9" x14ac:dyDescent="0.25">
      <c r="A208" s="133">
        <v>45400</v>
      </c>
      <c r="B208" s="51" t="s">
        <v>56</v>
      </c>
      <c r="C208" s="134">
        <v>0.77083333333333337</v>
      </c>
      <c r="D208" s="134">
        <v>0.9375</v>
      </c>
      <c r="E208" s="53">
        <f t="shared" si="38"/>
        <v>3.9999999999999991</v>
      </c>
      <c r="F208" s="51"/>
      <c r="G208" s="53">
        <f>IF(WEEKDAY(A208, 2)&lt;6, E208+2, E208)</f>
        <v>5.9999999999999991</v>
      </c>
      <c r="H208" s="53"/>
      <c r="I208" s="51">
        <f t="shared" si="37"/>
        <v>5.9999999999999991</v>
      </c>
    </row>
    <row r="209" spans="1:9" x14ac:dyDescent="0.25">
      <c r="A209" s="133">
        <v>45401</v>
      </c>
      <c r="B209" s="51" t="s">
        <v>414</v>
      </c>
      <c r="C209" s="134">
        <v>0.33333333333333331</v>
      </c>
      <c r="D209" s="134">
        <v>0.58333333333333337</v>
      </c>
      <c r="E209" s="53">
        <f t="shared" si="38"/>
        <v>5.5000000000000018</v>
      </c>
      <c r="F209" s="51">
        <v>0.5</v>
      </c>
      <c r="G209" s="53"/>
      <c r="H209" s="53">
        <f>IF(WEEKDAY(A209, 2)&lt;6, E209-2, E209)</f>
        <v>3.5000000000000018</v>
      </c>
      <c r="I209" s="51">
        <f t="shared" si="37"/>
        <v>3.5000000000000018</v>
      </c>
    </row>
    <row r="210" spans="1:9" x14ac:dyDescent="0.25">
      <c r="A210" s="133">
        <v>45401</v>
      </c>
      <c r="B210" s="51" t="s">
        <v>56</v>
      </c>
      <c r="C210" s="134">
        <v>0.75</v>
      </c>
      <c r="D210" s="134">
        <v>0.95833333333333337</v>
      </c>
      <c r="E210" s="53">
        <f t="shared" si="38"/>
        <v>5.0000000000000009</v>
      </c>
      <c r="F210" s="51"/>
      <c r="G210" s="53">
        <f t="shared" ref="G210:G215" si="42">IF(WEEKDAY(A210, 2)&lt;6, E210+2, E210)</f>
        <v>7.0000000000000009</v>
      </c>
      <c r="H210" s="53"/>
      <c r="I210" s="51">
        <f t="shared" si="37"/>
        <v>7.0000000000000009</v>
      </c>
    </row>
    <row r="211" spans="1:9" x14ac:dyDescent="0.25">
      <c r="A211" s="133">
        <v>45402</v>
      </c>
      <c r="B211" s="51" t="s">
        <v>56</v>
      </c>
      <c r="C211" s="134">
        <v>0.33333333333333331</v>
      </c>
      <c r="D211" s="134">
        <v>0.5</v>
      </c>
      <c r="E211" s="53">
        <f t="shared" si="38"/>
        <v>4</v>
      </c>
      <c r="F211" s="51"/>
      <c r="G211" s="53">
        <f t="shared" si="42"/>
        <v>4</v>
      </c>
      <c r="H211" s="53"/>
      <c r="I211" s="51">
        <f t="shared" si="37"/>
        <v>4</v>
      </c>
    </row>
    <row r="212" spans="1:9" x14ac:dyDescent="0.25">
      <c r="A212" s="133">
        <v>45402</v>
      </c>
      <c r="B212" s="51" t="s">
        <v>46</v>
      </c>
      <c r="C212" s="134">
        <v>0.41666666666666669</v>
      </c>
      <c r="D212" s="134">
        <v>0.66666666666666663</v>
      </c>
      <c r="E212" s="53">
        <f t="shared" si="38"/>
        <v>5.4999999999999982</v>
      </c>
      <c r="F212" s="51">
        <v>0.5</v>
      </c>
      <c r="G212" s="53">
        <f t="shared" si="42"/>
        <v>5.4999999999999982</v>
      </c>
      <c r="H212" s="51"/>
      <c r="I212" s="51">
        <f t="shared" si="37"/>
        <v>5.4999999999999982</v>
      </c>
    </row>
    <row r="213" spans="1:9" x14ac:dyDescent="0.25">
      <c r="A213" s="133">
        <v>45402</v>
      </c>
      <c r="B213" s="51" t="s">
        <v>53</v>
      </c>
      <c r="C213" s="134">
        <v>0.52083333333333337</v>
      </c>
      <c r="D213" s="134">
        <v>0.75</v>
      </c>
      <c r="E213" s="53">
        <f t="shared" si="38"/>
        <v>5.4999999999999991</v>
      </c>
      <c r="F213" s="51"/>
      <c r="G213" s="53">
        <f t="shared" si="42"/>
        <v>5.4999999999999991</v>
      </c>
      <c r="H213" s="51"/>
      <c r="I213" s="51">
        <f t="shared" si="37"/>
        <v>5.4999999999999991</v>
      </c>
    </row>
    <row r="214" spans="1:9" x14ac:dyDescent="0.25">
      <c r="A214" s="133">
        <v>45403</v>
      </c>
      <c r="B214" s="51" t="s">
        <v>53</v>
      </c>
      <c r="C214" s="134">
        <v>0.29166666666666669</v>
      </c>
      <c r="D214" s="134">
        <v>0.70833333333333337</v>
      </c>
      <c r="E214" s="53">
        <f t="shared" si="38"/>
        <v>9</v>
      </c>
      <c r="F214" s="51">
        <v>1</v>
      </c>
      <c r="G214" s="53">
        <f t="shared" si="42"/>
        <v>9</v>
      </c>
      <c r="H214" s="51"/>
      <c r="I214" s="51">
        <f t="shared" si="37"/>
        <v>9</v>
      </c>
    </row>
    <row r="215" spans="1:9" x14ac:dyDescent="0.25">
      <c r="A215" s="133">
        <v>45403</v>
      </c>
      <c r="B215" s="51" t="s">
        <v>58</v>
      </c>
      <c r="C215" s="134">
        <v>0.41666666666666669</v>
      </c>
      <c r="D215" s="134">
        <v>0.625</v>
      </c>
      <c r="E215" s="53">
        <f t="shared" si="38"/>
        <v>5</v>
      </c>
      <c r="F215" s="51"/>
      <c r="G215" s="53">
        <f t="shared" si="42"/>
        <v>5</v>
      </c>
      <c r="H215" s="51"/>
      <c r="I215" s="51">
        <f t="shared" si="37"/>
        <v>5</v>
      </c>
    </row>
    <row r="216" spans="1:9" x14ac:dyDescent="0.25">
      <c r="A216" s="133">
        <v>45404</v>
      </c>
      <c r="B216" s="51" t="s">
        <v>414</v>
      </c>
      <c r="C216" s="134">
        <v>0.33333333333333331</v>
      </c>
      <c r="D216" s="134">
        <v>0.58333333333333337</v>
      </c>
      <c r="E216" s="53">
        <f t="shared" si="38"/>
        <v>5.5000000000000018</v>
      </c>
      <c r="F216" s="51">
        <v>0.5</v>
      </c>
      <c r="G216" s="53"/>
      <c r="H216" s="53">
        <f t="shared" ref="H216:H218" si="43">IF(WEEKDAY(A216, 2)&lt;6, E216-2, E216)</f>
        <v>3.5000000000000018</v>
      </c>
      <c r="I216" s="51">
        <f t="shared" si="37"/>
        <v>3.5000000000000018</v>
      </c>
    </row>
    <row r="217" spans="1:9" x14ac:dyDescent="0.25">
      <c r="A217" s="133">
        <v>45405</v>
      </c>
      <c r="B217" s="51" t="s">
        <v>414</v>
      </c>
      <c r="C217" s="134">
        <v>0.33333333333333331</v>
      </c>
      <c r="D217" s="134">
        <v>0.58333333333333337</v>
      </c>
      <c r="E217" s="53">
        <f t="shared" si="38"/>
        <v>5.5000000000000018</v>
      </c>
      <c r="F217" s="51">
        <v>0.5</v>
      </c>
      <c r="G217" s="53"/>
      <c r="H217" s="53">
        <f t="shared" si="43"/>
        <v>3.5000000000000018</v>
      </c>
      <c r="I217" s="51">
        <f t="shared" si="37"/>
        <v>3.5000000000000018</v>
      </c>
    </row>
    <row r="218" spans="1:9" x14ac:dyDescent="0.25">
      <c r="A218" s="133">
        <v>45406</v>
      </c>
      <c r="B218" s="51" t="s">
        <v>414</v>
      </c>
      <c r="C218" s="134">
        <v>0.33333333333333331</v>
      </c>
      <c r="D218" s="134">
        <v>0.58333333333333337</v>
      </c>
      <c r="E218" s="53">
        <f t="shared" si="38"/>
        <v>5.5000000000000018</v>
      </c>
      <c r="F218" s="51">
        <v>0.5</v>
      </c>
      <c r="G218" s="53"/>
      <c r="H218" s="53">
        <f t="shared" si="43"/>
        <v>3.5000000000000018</v>
      </c>
      <c r="I218" s="51">
        <f t="shared" si="37"/>
        <v>3.5000000000000018</v>
      </c>
    </row>
    <row r="219" spans="1:9" x14ac:dyDescent="0.25">
      <c r="A219" s="133">
        <v>45406</v>
      </c>
      <c r="B219" s="51" t="s">
        <v>49</v>
      </c>
      <c r="C219" s="134">
        <v>0.6875</v>
      </c>
      <c r="D219" s="134">
        <v>0.875</v>
      </c>
      <c r="E219" s="53">
        <f t="shared" si="38"/>
        <v>4.5</v>
      </c>
      <c r="F219" s="51"/>
      <c r="G219" s="53">
        <f>IF(WEEKDAY(A219, 2)&lt;6, E219+2, E219)</f>
        <v>6.5</v>
      </c>
      <c r="H219" s="51"/>
      <c r="I219" s="51">
        <f t="shared" si="37"/>
        <v>6.5</v>
      </c>
    </row>
    <row r="220" spans="1:9" x14ac:dyDescent="0.25">
      <c r="A220" s="133">
        <v>45407</v>
      </c>
      <c r="B220" s="51" t="s">
        <v>414</v>
      </c>
      <c r="C220" s="134">
        <v>0.33333333333333331</v>
      </c>
      <c r="D220" s="134">
        <v>0.58333333333333337</v>
      </c>
      <c r="E220" s="53">
        <f t="shared" si="38"/>
        <v>5.5000000000000018</v>
      </c>
      <c r="F220" s="51">
        <v>0.5</v>
      </c>
      <c r="G220" s="53"/>
      <c r="H220" s="53">
        <f>IF(WEEKDAY(A220, 2)&lt;6, E220-2, E220)</f>
        <v>3.5000000000000018</v>
      </c>
      <c r="I220" s="51">
        <f t="shared" si="37"/>
        <v>3.5000000000000018</v>
      </c>
    </row>
    <row r="221" spans="1:9" x14ac:dyDescent="0.25">
      <c r="A221" s="133">
        <v>45407</v>
      </c>
      <c r="B221" s="51" t="s">
        <v>56</v>
      </c>
      <c r="C221" s="134">
        <v>0.77083333333333337</v>
      </c>
      <c r="D221" s="134">
        <v>0.9375</v>
      </c>
      <c r="E221" s="53">
        <f t="shared" si="38"/>
        <v>3.9999999999999991</v>
      </c>
      <c r="F221" s="51"/>
      <c r="G221" s="53">
        <f>IF(WEEKDAY(A221, 2)&lt;6, E221+2, E221)</f>
        <v>5.9999999999999991</v>
      </c>
      <c r="H221" s="53"/>
      <c r="I221" s="51">
        <f t="shared" si="37"/>
        <v>5.9999999999999991</v>
      </c>
    </row>
    <row r="222" spans="1:9" x14ac:dyDescent="0.25">
      <c r="A222" s="133">
        <v>45408</v>
      </c>
      <c r="B222" s="51" t="s">
        <v>414</v>
      </c>
      <c r="C222" s="134">
        <v>0.375</v>
      </c>
      <c r="D222" s="134">
        <v>0.58333333333333337</v>
      </c>
      <c r="E222" s="53">
        <f t="shared" si="38"/>
        <v>5.0000000000000009</v>
      </c>
      <c r="F222" s="51"/>
      <c r="G222" s="53"/>
      <c r="H222" s="53">
        <f>IF(WEEKDAY(A222, 2)&lt;6, E222-2, E222)</f>
        <v>3.0000000000000009</v>
      </c>
      <c r="I222" s="51">
        <f t="shared" si="37"/>
        <v>3.0000000000000009</v>
      </c>
    </row>
    <row r="223" spans="1:9" x14ac:dyDescent="0.25">
      <c r="A223" s="133">
        <v>45408</v>
      </c>
      <c r="B223" s="51" t="s">
        <v>56</v>
      </c>
      <c r="C223" s="134">
        <v>0.75</v>
      </c>
      <c r="D223" s="134">
        <v>0.95833333333333337</v>
      </c>
      <c r="E223" s="53">
        <f t="shared" si="38"/>
        <v>5.0000000000000009</v>
      </c>
      <c r="F223" s="51"/>
      <c r="G223" s="53">
        <f t="shared" ref="G223:G230" si="44">IF(WEEKDAY(A223, 2)&lt;6, E223+2, E223)</f>
        <v>7.0000000000000009</v>
      </c>
      <c r="H223" s="53"/>
      <c r="I223" s="51">
        <f t="shared" si="37"/>
        <v>7.0000000000000009</v>
      </c>
    </row>
    <row r="224" spans="1:9" x14ac:dyDescent="0.25">
      <c r="A224" s="133">
        <v>45409</v>
      </c>
      <c r="B224" s="51" t="s">
        <v>53</v>
      </c>
      <c r="C224" s="134">
        <v>0.35416666666666669</v>
      </c>
      <c r="D224" s="134">
        <v>0.625</v>
      </c>
      <c r="E224" s="53">
        <f t="shared" si="38"/>
        <v>6</v>
      </c>
      <c r="F224" s="51">
        <v>0.5</v>
      </c>
      <c r="G224" s="53">
        <f t="shared" si="44"/>
        <v>6</v>
      </c>
      <c r="H224" s="51"/>
      <c r="I224" s="51">
        <f t="shared" si="37"/>
        <v>6</v>
      </c>
    </row>
    <row r="225" spans="1:9" x14ac:dyDescent="0.25">
      <c r="A225" s="133">
        <v>45409</v>
      </c>
      <c r="B225" s="51" t="s">
        <v>56</v>
      </c>
      <c r="C225" s="134">
        <v>0.375</v>
      </c>
      <c r="D225" s="134">
        <v>0.54166666666666663</v>
      </c>
      <c r="E225" s="53">
        <f t="shared" si="38"/>
        <v>3.9999999999999991</v>
      </c>
      <c r="F225" s="51"/>
      <c r="G225" s="53">
        <f t="shared" si="44"/>
        <v>3.9999999999999991</v>
      </c>
      <c r="H225" s="53"/>
      <c r="I225" s="51">
        <f t="shared" si="37"/>
        <v>3.9999999999999991</v>
      </c>
    </row>
    <row r="226" spans="1:9" x14ac:dyDescent="0.25">
      <c r="A226" s="133">
        <v>45409</v>
      </c>
      <c r="B226" s="51" t="s">
        <v>46</v>
      </c>
      <c r="C226" s="134">
        <v>0.375</v>
      </c>
      <c r="D226" s="134">
        <v>0.70833333333333337</v>
      </c>
      <c r="E226" s="53">
        <f t="shared" si="38"/>
        <v>7.5</v>
      </c>
      <c r="F226" s="51">
        <v>0.5</v>
      </c>
      <c r="G226" s="53">
        <f t="shared" si="44"/>
        <v>7.5</v>
      </c>
      <c r="H226" s="51"/>
      <c r="I226" s="51">
        <f t="shared" si="37"/>
        <v>7.5</v>
      </c>
    </row>
    <row r="227" spans="1:9" x14ac:dyDescent="0.25">
      <c r="A227" s="133">
        <v>45409</v>
      </c>
      <c r="B227" s="51" t="s">
        <v>56</v>
      </c>
      <c r="C227" s="134">
        <v>0.5</v>
      </c>
      <c r="D227" s="134">
        <v>0.75</v>
      </c>
      <c r="E227" s="53">
        <f t="shared" si="38"/>
        <v>5.5</v>
      </c>
      <c r="F227" s="51">
        <v>0.5</v>
      </c>
      <c r="G227" s="53">
        <f t="shared" si="44"/>
        <v>5.5</v>
      </c>
      <c r="H227" s="53"/>
      <c r="I227" s="51">
        <f t="shared" si="37"/>
        <v>5.5</v>
      </c>
    </row>
    <row r="228" spans="1:9" x14ac:dyDescent="0.25">
      <c r="A228" s="133">
        <v>45409</v>
      </c>
      <c r="B228" s="51" t="s">
        <v>48</v>
      </c>
      <c r="C228" s="134">
        <v>0.625</v>
      </c>
      <c r="D228" s="134">
        <v>0.75</v>
      </c>
      <c r="E228" s="53">
        <f t="shared" si="38"/>
        <v>3</v>
      </c>
      <c r="F228" s="51"/>
      <c r="G228" s="53">
        <f t="shared" si="44"/>
        <v>3</v>
      </c>
      <c r="H228" s="51"/>
      <c r="I228" s="51">
        <f t="shared" si="37"/>
        <v>3</v>
      </c>
    </row>
    <row r="229" spans="1:9" x14ac:dyDescent="0.25">
      <c r="A229" s="133">
        <v>45410</v>
      </c>
      <c r="B229" s="51" t="s">
        <v>53</v>
      </c>
      <c r="C229" s="134">
        <v>0.5</v>
      </c>
      <c r="D229" s="134">
        <v>0.79166666666666663</v>
      </c>
      <c r="E229" s="53">
        <f t="shared" si="38"/>
        <v>6.4999999999999991</v>
      </c>
      <c r="F229" s="51">
        <v>0.5</v>
      </c>
      <c r="G229" s="53">
        <f t="shared" si="44"/>
        <v>6.4999999999999991</v>
      </c>
      <c r="H229" s="51"/>
      <c r="I229" s="51">
        <f t="shared" si="37"/>
        <v>6.4999999999999991</v>
      </c>
    </row>
    <row r="230" spans="1:9" x14ac:dyDescent="0.25">
      <c r="A230" s="133">
        <v>45410</v>
      </c>
      <c r="B230" s="51" t="s">
        <v>58</v>
      </c>
      <c r="C230" s="134">
        <v>0.625</v>
      </c>
      <c r="D230" s="134">
        <v>0.83333333333333337</v>
      </c>
      <c r="E230" s="53">
        <f t="shared" si="38"/>
        <v>5.0000000000000009</v>
      </c>
      <c r="F230" s="51"/>
      <c r="G230" s="53">
        <f t="shared" si="44"/>
        <v>5.0000000000000009</v>
      </c>
      <c r="H230" s="51"/>
      <c r="I230" s="51">
        <f t="shared" si="37"/>
        <v>5.0000000000000009</v>
      </c>
    </row>
    <row r="231" spans="1:9" x14ac:dyDescent="0.25">
      <c r="A231" s="133">
        <v>45411</v>
      </c>
      <c r="B231" s="51" t="s">
        <v>414</v>
      </c>
      <c r="C231" s="134">
        <v>0.33333333333333331</v>
      </c>
      <c r="D231" s="134">
        <v>0.58333333333333337</v>
      </c>
      <c r="E231" s="53">
        <f t="shared" si="38"/>
        <v>5.5000000000000018</v>
      </c>
      <c r="F231" s="51">
        <v>0.5</v>
      </c>
      <c r="G231" s="53"/>
      <c r="H231" s="53">
        <f>IF(WEEKDAY(A231, 2)&lt;6, E231-2, E231)</f>
        <v>3.5000000000000018</v>
      </c>
      <c r="I231" s="51">
        <f t="shared" si="37"/>
        <v>3.5000000000000018</v>
      </c>
    </row>
    <row r="232" spans="1:9" x14ac:dyDescent="0.25">
      <c r="A232" s="133">
        <v>45412</v>
      </c>
      <c r="B232" s="51" t="s">
        <v>56</v>
      </c>
      <c r="C232" s="134">
        <v>0.33333333333333331</v>
      </c>
      <c r="D232" s="134">
        <v>0.54166666666666663</v>
      </c>
      <c r="E232" s="53">
        <f t="shared" si="38"/>
        <v>5</v>
      </c>
      <c r="F232" s="51"/>
      <c r="G232" s="53">
        <f>IF(WEEKDAY(A232, 2)&lt;6, E232+2, E232)</f>
        <v>7</v>
      </c>
      <c r="H232" s="53"/>
      <c r="I232" s="51">
        <f t="shared" si="37"/>
        <v>7</v>
      </c>
    </row>
    <row r="233" spans="1:9" x14ac:dyDescent="0.25">
      <c r="A233" s="133">
        <v>45413</v>
      </c>
      <c r="B233" s="51" t="s">
        <v>414</v>
      </c>
      <c r="C233" s="134">
        <v>0.33333333333333331</v>
      </c>
      <c r="D233" s="134">
        <v>0.58333333333333337</v>
      </c>
      <c r="E233" s="53">
        <f t="shared" si="38"/>
        <v>5.5000000000000018</v>
      </c>
      <c r="F233" s="51">
        <v>0.5</v>
      </c>
      <c r="G233" s="53"/>
      <c r="H233" s="53">
        <f>IF(WEEKDAY(A233, 2)&lt;6, E233-2, E233)</f>
        <v>3.5000000000000018</v>
      </c>
      <c r="I233" s="51">
        <f t="shared" si="37"/>
        <v>3.5000000000000018</v>
      </c>
    </row>
    <row r="234" spans="1:9" x14ac:dyDescent="0.25">
      <c r="A234" s="133">
        <v>45413</v>
      </c>
      <c r="B234" s="51" t="s">
        <v>49</v>
      </c>
      <c r="C234" s="134">
        <v>0.6875</v>
      </c>
      <c r="D234" s="134">
        <v>0.875</v>
      </c>
      <c r="E234" s="53">
        <f t="shared" si="38"/>
        <v>4.5</v>
      </c>
      <c r="F234" s="51"/>
      <c r="G234" s="53">
        <f t="shared" ref="G234:G235" si="45">IF(WEEKDAY(A234, 2)&lt;6, E234+2, E234)</f>
        <v>6.5</v>
      </c>
      <c r="H234" s="51"/>
      <c r="I234" s="51">
        <f t="shared" si="37"/>
        <v>6.5</v>
      </c>
    </row>
    <row r="235" spans="1:9" x14ac:dyDescent="0.25">
      <c r="A235" s="133">
        <v>45414</v>
      </c>
      <c r="B235" s="51" t="s">
        <v>56</v>
      </c>
      <c r="C235" s="134">
        <v>0.77083333333333337</v>
      </c>
      <c r="D235" s="134">
        <v>0.9375</v>
      </c>
      <c r="E235" s="53">
        <f t="shared" si="38"/>
        <v>3.9999999999999991</v>
      </c>
      <c r="F235" s="51"/>
      <c r="G235" s="53">
        <f t="shared" si="45"/>
        <v>5.9999999999999991</v>
      </c>
      <c r="H235" s="53"/>
      <c r="I235" s="51">
        <f t="shared" si="37"/>
        <v>5.9999999999999991</v>
      </c>
    </row>
    <row r="236" spans="1:9" x14ac:dyDescent="0.25">
      <c r="A236" s="133">
        <v>45414</v>
      </c>
      <c r="B236" s="51" t="s">
        <v>414</v>
      </c>
      <c r="C236" s="134">
        <v>0.33333333333333331</v>
      </c>
      <c r="D236" s="134">
        <v>0.58333333333333337</v>
      </c>
      <c r="E236" s="53">
        <f t="shared" si="38"/>
        <v>5.5000000000000018</v>
      </c>
      <c r="F236" s="51">
        <v>0.5</v>
      </c>
      <c r="G236" s="53"/>
      <c r="H236" s="53">
        <f t="shared" ref="H236:H237" si="46">IF(WEEKDAY(A236, 2)&lt;6, E236-2, E236)</f>
        <v>3.5000000000000018</v>
      </c>
      <c r="I236" s="51">
        <f t="shared" si="37"/>
        <v>3.5000000000000018</v>
      </c>
    </row>
    <row r="237" spans="1:9" x14ac:dyDescent="0.25">
      <c r="A237" s="133">
        <v>45415</v>
      </c>
      <c r="B237" s="51" t="s">
        <v>414</v>
      </c>
      <c r="C237" s="134">
        <v>0.33333333333333331</v>
      </c>
      <c r="D237" s="134">
        <v>0.58333333333333337</v>
      </c>
      <c r="E237" s="53">
        <f t="shared" si="38"/>
        <v>5.5000000000000018</v>
      </c>
      <c r="F237" s="51">
        <v>0.5</v>
      </c>
      <c r="G237" s="53"/>
      <c r="H237" s="53">
        <f t="shared" si="46"/>
        <v>3.5000000000000018</v>
      </c>
      <c r="I237" s="51">
        <f t="shared" si="37"/>
        <v>3.5000000000000018</v>
      </c>
    </row>
    <row r="238" spans="1:9" x14ac:dyDescent="0.25">
      <c r="A238" s="133">
        <v>45416</v>
      </c>
      <c r="B238" s="51" t="s">
        <v>56</v>
      </c>
      <c r="C238" s="134">
        <v>0.52083333333333337</v>
      </c>
      <c r="D238" s="134">
        <v>0.75</v>
      </c>
      <c r="E238" s="53">
        <f t="shared" si="38"/>
        <v>5.4999999999999991</v>
      </c>
      <c r="F238" s="51"/>
      <c r="G238" s="53">
        <f t="shared" ref="G238:G240" si="47">IF(WEEKDAY(A238, 2)&lt;6, E238+2, E238)</f>
        <v>5.4999999999999991</v>
      </c>
      <c r="H238" s="53"/>
      <c r="I238" s="51">
        <f t="shared" si="37"/>
        <v>5.4999999999999991</v>
      </c>
    </row>
    <row r="239" spans="1:9" x14ac:dyDescent="0.25">
      <c r="A239" s="133">
        <v>45416</v>
      </c>
      <c r="B239" s="51" t="s">
        <v>58</v>
      </c>
      <c r="C239" s="134">
        <v>0.625</v>
      </c>
      <c r="D239" s="134">
        <v>0.875</v>
      </c>
      <c r="E239" s="53">
        <f t="shared" si="38"/>
        <v>5.5</v>
      </c>
      <c r="F239" s="51">
        <v>0.5</v>
      </c>
      <c r="G239" s="53">
        <f t="shared" si="47"/>
        <v>5.5</v>
      </c>
      <c r="H239" s="51"/>
      <c r="I239" s="51">
        <f t="shared" si="37"/>
        <v>5.5</v>
      </c>
    </row>
    <row r="240" spans="1:9" x14ac:dyDescent="0.25">
      <c r="A240" s="133">
        <v>45416</v>
      </c>
      <c r="B240" s="51" t="s">
        <v>53</v>
      </c>
      <c r="C240" s="134">
        <v>0.625</v>
      </c>
      <c r="D240" s="134">
        <v>0.83333333333333337</v>
      </c>
      <c r="E240" s="53">
        <f t="shared" si="38"/>
        <v>5.0000000000000009</v>
      </c>
      <c r="F240" s="51"/>
      <c r="G240" s="53">
        <f t="shared" si="47"/>
        <v>5.0000000000000009</v>
      </c>
      <c r="H240" s="51"/>
      <c r="I240" s="51">
        <f t="shared" si="37"/>
        <v>5.0000000000000009</v>
      </c>
    </row>
    <row r="241" spans="1:9" x14ac:dyDescent="0.25">
      <c r="A241" s="133">
        <v>45418</v>
      </c>
      <c r="B241" s="51" t="s">
        <v>414</v>
      </c>
      <c r="C241" s="134">
        <v>0.33333333333333331</v>
      </c>
      <c r="D241" s="134">
        <v>0.58333333333333337</v>
      </c>
      <c r="E241" s="53">
        <f t="shared" si="38"/>
        <v>5.5000000000000018</v>
      </c>
      <c r="F241" s="51">
        <v>0.5</v>
      </c>
      <c r="G241" s="53"/>
      <c r="H241" s="53">
        <f>IF(WEEKDAY(A241, 2)&lt;6, E241-2, E241)</f>
        <v>3.5000000000000018</v>
      </c>
      <c r="I241" s="51">
        <f t="shared" si="37"/>
        <v>3.5000000000000018</v>
      </c>
    </row>
    <row r="242" spans="1:9" x14ac:dyDescent="0.25">
      <c r="A242" s="133">
        <v>45419</v>
      </c>
      <c r="B242" s="51" t="s">
        <v>56</v>
      </c>
      <c r="C242" s="134">
        <v>0.375</v>
      </c>
      <c r="D242" s="134">
        <v>0.5625</v>
      </c>
      <c r="E242" s="53">
        <f t="shared" si="38"/>
        <v>4.5</v>
      </c>
      <c r="F242" s="51"/>
      <c r="G242" s="53">
        <f t="shared" ref="G242:G246" si="48">IF(WEEKDAY(A242, 2)&lt;6, E242+2, E242)</f>
        <v>6.5</v>
      </c>
      <c r="H242" s="53"/>
      <c r="I242" s="51">
        <f t="shared" si="37"/>
        <v>6.5</v>
      </c>
    </row>
    <row r="243" spans="1:9" x14ac:dyDescent="0.25">
      <c r="A243" s="133">
        <v>45420</v>
      </c>
      <c r="B243" s="51" t="s">
        <v>56</v>
      </c>
      <c r="C243" s="134">
        <v>0.33333333333333331</v>
      </c>
      <c r="D243" s="134">
        <v>0.54166666666666663</v>
      </c>
      <c r="E243" s="53">
        <f t="shared" si="38"/>
        <v>5</v>
      </c>
      <c r="F243" s="51"/>
      <c r="G243" s="53">
        <f t="shared" si="48"/>
        <v>7</v>
      </c>
      <c r="H243" s="53"/>
      <c r="I243" s="51">
        <f t="shared" si="37"/>
        <v>7</v>
      </c>
    </row>
    <row r="244" spans="1:9" x14ac:dyDescent="0.25">
      <c r="A244" s="133">
        <v>45420</v>
      </c>
      <c r="B244" s="51" t="s">
        <v>56</v>
      </c>
      <c r="C244" s="134">
        <v>0.66666666666666663</v>
      </c>
      <c r="D244" s="134">
        <v>0.72916666666666663</v>
      </c>
      <c r="E244" s="53">
        <f t="shared" si="38"/>
        <v>1.5</v>
      </c>
      <c r="F244" s="51"/>
      <c r="G244" s="53">
        <f t="shared" si="48"/>
        <v>3.5</v>
      </c>
      <c r="H244" s="53"/>
      <c r="I244" s="51">
        <f t="shared" si="37"/>
        <v>3.5</v>
      </c>
    </row>
    <row r="245" spans="1:9" x14ac:dyDescent="0.25">
      <c r="A245" s="133">
        <v>45420</v>
      </c>
      <c r="B245" s="51" t="s">
        <v>49</v>
      </c>
      <c r="C245" s="134">
        <v>0.6875</v>
      </c>
      <c r="D245" s="134">
        <v>0.875</v>
      </c>
      <c r="E245" s="53">
        <f t="shared" si="38"/>
        <v>4.5</v>
      </c>
      <c r="F245" s="51"/>
      <c r="G245" s="53">
        <f t="shared" si="48"/>
        <v>6.5</v>
      </c>
      <c r="H245" s="51"/>
      <c r="I245" s="51">
        <f t="shared" si="37"/>
        <v>6.5</v>
      </c>
    </row>
    <row r="246" spans="1:9" x14ac:dyDescent="0.25">
      <c r="A246" s="133">
        <v>45421</v>
      </c>
      <c r="B246" s="51" t="s">
        <v>49</v>
      </c>
      <c r="C246" s="134">
        <v>0.77083333333333337</v>
      </c>
      <c r="D246" s="134">
        <v>0.95833333333333337</v>
      </c>
      <c r="E246" s="53">
        <f t="shared" si="38"/>
        <v>4.5</v>
      </c>
      <c r="F246" s="51"/>
      <c r="G246" s="53">
        <f t="shared" si="48"/>
        <v>6.5</v>
      </c>
      <c r="H246" s="51"/>
      <c r="I246" s="51">
        <f t="shared" si="37"/>
        <v>6.5</v>
      </c>
    </row>
    <row r="247" spans="1:9" x14ac:dyDescent="0.25">
      <c r="A247" s="133">
        <v>45421</v>
      </c>
      <c r="B247" s="51" t="s">
        <v>414</v>
      </c>
      <c r="C247" s="134">
        <v>0.33333333333333331</v>
      </c>
      <c r="D247" s="134">
        <v>0.58333333333333337</v>
      </c>
      <c r="E247" s="53">
        <f t="shared" si="38"/>
        <v>5.5000000000000018</v>
      </c>
      <c r="F247" s="51">
        <v>0.5</v>
      </c>
      <c r="G247" s="53"/>
      <c r="H247" s="53">
        <f>IF(WEEKDAY(A247, 2)&lt;6, E247-2, E247)</f>
        <v>3.5000000000000018</v>
      </c>
      <c r="I247" s="51">
        <f t="shared" si="37"/>
        <v>3.5000000000000018</v>
      </c>
    </row>
    <row r="248" spans="1:9" x14ac:dyDescent="0.25">
      <c r="A248" s="133">
        <v>45421</v>
      </c>
      <c r="B248" s="51" t="s">
        <v>56</v>
      </c>
      <c r="C248" s="134">
        <v>0.77083333333333337</v>
      </c>
      <c r="D248" s="134">
        <v>0.9375</v>
      </c>
      <c r="E248" s="53">
        <f t="shared" si="38"/>
        <v>3.9999999999999991</v>
      </c>
      <c r="F248" s="51"/>
      <c r="G248" s="53">
        <f t="shared" ref="G248:G249" si="49">IF(WEEKDAY(A248, 2)&lt;6, E248+2, E248)</f>
        <v>5.9999999999999991</v>
      </c>
      <c r="H248" s="53"/>
      <c r="I248" s="51">
        <f t="shared" si="37"/>
        <v>5.9999999999999991</v>
      </c>
    </row>
    <row r="249" spans="1:9" x14ac:dyDescent="0.25">
      <c r="A249" s="133">
        <v>45422</v>
      </c>
      <c r="B249" s="51" t="s">
        <v>49</v>
      </c>
      <c r="C249" s="134">
        <v>0.75</v>
      </c>
      <c r="D249" s="134">
        <v>0.97916666666666663</v>
      </c>
      <c r="E249" s="53">
        <f t="shared" si="38"/>
        <v>4.9999999999999991</v>
      </c>
      <c r="F249" s="51">
        <v>0.5</v>
      </c>
      <c r="G249" s="53">
        <f t="shared" si="49"/>
        <v>6.9999999999999991</v>
      </c>
      <c r="H249" s="51"/>
      <c r="I249" s="51">
        <f t="shared" si="37"/>
        <v>6.9999999999999991</v>
      </c>
    </row>
    <row r="250" spans="1:9" x14ac:dyDescent="0.25">
      <c r="A250" s="133">
        <v>45422</v>
      </c>
      <c r="B250" s="51" t="s">
        <v>414</v>
      </c>
      <c r="C250" s="134">
        <v>0.33333333333333331</v>
      </c>
      <c r="D250" s="134">
        <v>0.58333333333333337</v>
      </c>
      <c r="E250" s="53">
        <f t="shared" si="38"/>
        <v>5.5000000000000018</v>
      </c>
      <c r="F250" s="51">
        <v>0.5</v>
      </c>
      <c r="G250" s="53"/>
      <c r="H250" s="53">
        <f>IF(WEEKDAY(A250, 2)&lt;6, E250-2, E250)</f>
        <v>3.5000000000000018</v>
      </c>
      <c r="I250" s="51">
        <f t="shared" si="37"/>
        <v>3.5000000000000018</v>
      </c>
    </row>
    <row r="251" spans="1:9" x14ac:dyDescent="0.25">
      <c r="A251" s="133">
        <v>45423</v>
      </c>
      <c r="B251" s="51" t="s">
        <v>53</v>
      </c>
      <c r="C251" s="134">
        <v>0.52083333333333337</v>
      </c>
      <c r="D251" s="134">
        <v>0.6875</v>
      </c>
      <c r="E251" s="53">
        <f t="shared" si="38"/>
        <v>3.9999999999999991</v>
      </c>
      <c r="F251" s="51"/>
      <c r="G251" s="53">
        <f t="shared" ref="G251:G255" si="50">IF(WEEKDAY(A251, 2)&lt;6, E251+2, E251)</f>
        <v>3.9999999999999991</v>
      </c>
      <c r="H251" s="51"/>
      <c r="I251" s="51">
        <f t="shared" si="37"/>
        <v>3.9999999999999991</v>
      </c>
    </row>
    <row r="252" spans="1:9" x14ac:dyDescent="0.25">
      <c r="A252" s="133">
        <v>45423</v>
      </c>
      <c r="B252" s="51" t="s">
        <v>58</v>
      </c>
      <c r="C252" s="134">
        <v>0.58333333333333337</v>
      </c>
      <c r="D252" s="134">
        <v>0.85416666666666663</v>
      </c>
      <c r="E252" s="53">
        <f t="shared" si="38"/>
        <v>5.9999999999999982</v>
      </c>
      <c r="F252" s="51">
        <v>0.5</v>
      </c>
      <c r="G252" s="53">
        <f t="shared" si="50"/>
        <v>5.9999999999999982</v>
      </c>
      <c r="H252" s="51"/>
      <c r="I252" s="51">
        <f t="shared" si="37"/>
        <v>5.9999999999999982</v>
      </c>
    </row>
    <row r="253" spans="1:9" x14ac:dyDescent="0.25">
      <c r="A253" s="133">
        <v>45423</v>
      </c>
      <c r="B253" s="51" t="s">
        <v>53</v>
      </c>
      <c r="C253" s="134">
        <v>0.3125</v>
      </c>
      <c r="D253" s="134">
        <v>0.52083333333333337</v>
      </c>
      <c r="E253" s="53">
        <f t="shared" si="38"/>
        <v>5.0000000000000009</v>
      </c>
      <c r="F253" s="51"/>
      <c r="G253" s="53">
        <f t="shared" si="50"/>
        <v>5.0000000000000009</v>
      </c>
      <c r="H253" s="51"/>
      <c r="I253" s="51">
        <f t="shared" si="37"/>
        <v>5.0000000000000009</v>
      </c>
    </row>
    <row r="254" spans="1:9" x14ac:dyDescent="0.25">
      <c r="A254" s="133">
        <v>45423</v>
      </c>
      <c r="B254" s="51" t="s">
        <v>46</v>
      </c>
      <c r="C254" s="134">
        <v>0.41666666666666669</v>
      </c>
      <c r="D254" s="134">
        <v>0.70833333333333337</v>
      </c>
      <c r="E254" s="53">
        <f t="shared" si="38"/>
        <v>6.5</v>
      </c>
      <c r="F254" s="51">
        <v>0.5</v>
      </c>
      <c r="G254" s="53">
        <f t="shared" si="50"/>
        <v>6.5</v>
      </c>
      <c r="H254" s="51"/>
      <c r="I254" s="51">
        <f t="shared" si="37"/>
        <v>6.5</v>
      </c>
    </row>
    <row r="255" spans="1:9" x14ac:dyDescent="0.25">
      <c r="A255" s="133">
        <v>45424</v>
      </c>
      <c r="B255" s="51" t="s">
        <v>49</v>
      </c>
      <c r="C255" s="134">
        <v>0.625</v>
      </c>
      <c r="D255" s="134">
        <v>0.79166666666666663</v>
      </c>
      <c r="E255" s="53">
        <f t="shared" si="38"/>
        <v>3.9999999999999991</v>
      </c>
      <c r="F255" s="51"/>
      <c r="G255" s="53">
        <f t="shared" si="50"/>
        <v>3.9999999999999991</v>
      </c>
      <c r="H255" s="51"/>
      <c r="I255" s="51">
        <f t="shared" si="37"/>
        <v>3.9999999999999991</v>
      </c>
    </row>
    <row r="256" spans="1:9" x14ac:dyDescent="0.25">
      <c r="A256" s="133">
        <v>45425</v>
      </c>
      <c r="B256" s="51" t="s">
        <v>414</v>
      </c>
      <c r="C256" s="134">
        <v>0.33333333333333331</v>
      </c>
      <c r="D256" s="134">
        <v>0.58333333333333337</v>
      </c>
      <c r="E256" s="53">
        <f t="shared" si="38"/>
        <v>5.5000000000000018</v>
      </c>
      <c r="F256" s="51">
        <v>0.5</v>
      </c>
      <c r="G256" s="53"/>
      <c r="H256" s="53">
        <f t="shared" ref="H256:H258" si="51">IF(WEEKDAY(A256, 2)&lt;6, E256-2, E256)</f>
        <v>3.5000000000000018</v>
      </c>
      <c r="I256" s="51">
        <f t="shared" si="37"/>
        <v>3.5000000000000018</v>
      </c>
    </row>
    <row r="257" spans="1:9" x14ac:dyDescent="0.25">
      <c r="A257" s="133">
        <v>45426</v>
      </c>
      <c r="B257" s="51" t="s">
        <v>414</v>
      </c>
      <c r="C257" s="134">
        <v>0.33333333333333331</v>
      </c>
      <c r="D257" s="134">
        <v>0.58333333333333337</v>
      </c>
      <c r="E257" s="53">
        <f t="shared" si="38"/>
        <v>5.5000000000000018</v>
      </c>
      <c r="F257" s="51">
        <v>0.5</v>
      </c>
      <c r="G257" s="53"/>
      <c r="H257" s="53">
        <f t="shared" si="51"/>
        <v>3.5000000000000018</v>
      </c>
      <c r="I257" s="51">
        <f t="shared" si="37"/>
        <v>3.5000000000000018</v>
      </c>
    </row>
    <row r="258" spans="1:9" x14ac:dyDescent="0.25">
      <c r="A258" s="133">
        <v>45427</v>
      </c>
      <c r="B258" s="51" t="s">
        <v>414</v>
      </c>
      <c r="C258" s="134">
        <v>0.33333333333333331</v>
      </c>
      <c r="D258" s="134">
        <v>0.58333333333333337</v>
      </c>
      <c r="E258" s="53">
        <f t="shared" si="38"/>
        <v>5.5000000000000018</v>
      </c>
      <c r="F258" s="51">
        <v>0.5</v>
      </c>
      <c r="G258" s="53"/>
      <c r="H258" s="53">
        <f t="shared" si="51"/>
        <v>3.5000000000000018</v>
      </c>
      <c r="I258" s="51">
        <f t="shared" ref="I258:I321" si="52">IF(G258&lt;&gt;"",G258,H258)</f>
        <v>3.5000000000000018</v>
      </c>
    </row>
    <row r="259" spans="1:9" x14ac:dyDescent="0.25">
      <c r="A259" s="133">
        <v>45427</v>
      </c>
      <c r="B259" s="51" t="s">
        <v>56</v>
      </c>
      <c r="C259" s="134">
        <v>0.66666666666666663</v>
      </c>
      <c r="D259" s="134">
        <v>0.875</v>
      </c>
      <c r="E259" s="53">
        <f t="shared" ref="E259:E322" si="53">MOD((D259-C259),1) *24 - F259</f>
        <v>5.0000000000000009</v>
      </c>
      <c r="F259" s="51"/>
      <c r="G259" s="53">
        <f t="shared" ref="G259:G260" si="54">IF(WEEKDAY(A259, 2)&lt;6, E259+2, E259)</f>
        <v>7.0000000000000009</v>
      </c>
      <c r="H259" s="53"/>
      <c r="I259" s="51">
        <f t="shared" si="52"/>
        <v>7.0000000000000009</v>
      </c>
    </row>
    <row r="260" spans="1:9" x14ac:dyDescent="0.25">
      <c r="A260" s="133">
        <v>45427</v>
      </c>
      <c r="B260" s="51" t="s">
        <v>49</v>
      </c>
      <c r="C260" s="134">
        <v>0.6875</v>
      </c>
      <c r="D260" s="134">
        <v>0.875</v>
      </c>
      <c r="E260" s="53">
        <f t="shared" si="53"/>
        <v>4.5</v>
      </c>
      <c r="F260" s="51"/>
      <c r="G260" s="53">
        <f t="shared" si="54"/>
        <v>6.5</v>
      </c>
      <c r="H260" s="51"/>
      <c r="I260" s="51">
        <f t="shared" si="52"/>
        <v>6.5</v>
      </c>
    </row>
    <row r="261" spans="1:9" x14ac:dyDescent="0.25">
      <c r="A261" s="133">
        <v>45428</v>
      </c>
      <c r="B261" s="51" t="s">
        <v>414</v>
      </c>
      <c r="C261" s="134">
        <v>0.33333333333333331</v>
      </c>
      <c r="D261" s="134">
        <v>0.58333333333333337</v>
      </c>
      <c r="E261" s="53">
        <f t="shared" si="53"/>
        <v>5.5000000000000018</v>
      </c>
      <c r="F261" s="51">
        <v>0.5</v>
      </c>
      <c r="G261" s="53"/>
      <c r="H261" s="53">
        <f>IF(WEEKDAY(A261, 2)&lt;6, E261-2, E261)</f>
        <v>3.5000000000000018</v>
      </c>
      <c r="I261" s="51">
        <f t="shared" si="52"/>
        <v>3.5000000000000018</v>
      </c>
    </row>
    <row r="262" spans="1:9" x14ac:dyDescent="0.25">
      <c r="A262" s="133">
        <v>45428</v>
      </c>
      <c r="B262" s="51" t="s">
        <v>89</v>
      </c>
      <c r="C262" s="134">
        <v>0.29166666666666669</v>
      </c>
      <c r="D262" s="134">
        <v>0.45833333333333331</v>
      </c>
      <c r="E262" s="53">
        <f t="shared" si="53"/>
        <v>3.9999999999999991</v>
      </c>
      <c r="F262" s="51"/>
      <c r="G262" s="53">
        <f t="shared" ref="G262:G264" si="55">IF(WEEKDAY(A262, 2)&lt;6, E262+2, E262)</f>
        <v>5.9999999999999991</v>
      </c>
      <c r="H262" s="51"/>
      <c r="I262" s="51">
        <f t="shared" si="52"/>
        <v>5.9999999999999991</v>
      </c>
    </row>
    <row r="263" spans="1:9" x14ac:dyDescent="0.25">
      <c r="A263" s="133">
        <v>45428</v>
      </c>
      <c r="B263" s="51" t="s">
        <v>56</v>
      </c>
      <c r="C263" s="134">
        <v>0.75</v>
      </c>
      <c r="D263" s="134">
        <v>0.95833333333333337</v>
      </c>
      <c r="E263" s="53">
        <f t="shared" si="53"/>
        <v>5.0000000000000009</v>
      </c>
      <c r="F263" s="51"/>
      <c r="G263" s="53">
        <f t="shared" si="55"/>
        <v>7.0000000000000009</v>
      </c>
      <c r="H263" s="53"/>
      <c r="I263" s="51">
        <f t="shared" si="52"/>
        <v>7.0000000000000009</v>
      </c>
    </row>
    <row r="264" spans="1:9" x14ac:dyDescent="0.25">
      <c r="A264" s="133">
        <v>45428</v>
      </c>
      <c r="B264" s="51" t="s">
        <v>44</v>
      </c>
      <c r="C264" s="134">
        <v>0.79166666666666663</v>
      </c>
      <c r="D264" s="134">
        <v>0.91666666666666663</v>
      </c>
      <c r="E264" s="53">
        <f t="shared" si="53"/>
        <v>3</v>
      </c>
      <c r="F264" s="51"/>
      <c r="G264" s="53">
        <f t="shared" si="55"/>
        <v>5</v>
      </c>
      <c r="H264" s="51"/>
      <c r="I264" s="51">
        <f t="shared" si="52"/>
        <v>5</v>
      </c>
    </row>
    <row r="265" spans="1:9" x14ac:dyDescent="0.25">
      <c r="A265" s="133">
        <v>45429</v>
      </c>
      <c r="B265" s="51" t="s">
        <v>414</v>
      </c>
      <c r="C265" s="134">
        <v>0.375</v>
      </c>
      <c r="D265" s="134">
        <v>0.58333333333333337</v>
      </c>
      <c r="E265" s="53">
        <f t="shared" si="53"/>
        <v>5.0000000000000009</v>
      </c>
      <c r="F265" s="51"/>
      <c r="G265" s="53"/>
      <c r="H265" s="53">
        <f>IF(WEEKDAY(A265, 2)&lt;6, E265-2, E265)</f>
        <v>3.0000000000000009</v>
      </c>
      <c r="I265" s="51">
        <f t="shared" si="52"/>
        <v>3.0000000000000009</v>
      </c>
    </row>
    <row r="266" spans="1:9" x14ac:dyDescent="0.25">
      <c r="A266" s="133">
        <v>45430</v>
      </c>
      <c r="B266" s="51" t="s">
        <v>58</v>
      </c>
      <c r="C266" s="134">
        <v>0.64583333333333337</v>
      </c>
      <c r="D266" s="134">
        <v>0.9375</v>
      </c>
      <c r="E266" s="53">
        <f t="shared" si="53"/>
        <v>6.4999999999999991</v>
      </c>
      <c r="F266" s="51">
        <v>0.5</v>
      </c>
      <c r="G266" s="53">
        <f t="shared" ref="G266:G269" si="56">IF(WEEKDAY(A266, 2)&lt;6, E266+2, E266)</f>
        <v>6.4999999999999991</v>
      </c>
      <c r="H266" s="51"/>
      <c r="I266" s="51">
        <f t="shared" si="52"/>
        <v>6.4999999999999991</v>
      </c>
    </row>
    <row r="267" spans="1:9" x14ac:dyDescent="0.25">
      <c r="A267" s="133">
        <v>45430</v>
      </c>
      <c r="B267" s="51" t="s">
        <v>56</v>
      </c>
      <c r="C267" s="134">
        <v>0.33333333333333331</v>
      </c>
      <c r="D267" s="134">
        <v>0.52083333333333337</v>
      </c>
      <c r="E267" s="53">
        <f t="shared" si="53"/>
        <v>4.5000000000000018</v>
      </c>
      <c r="F267" s="51"/>
      <c r="G267" s="53">
        <f t="shared" si="56"/>
        <v>4.5000000000000018</v>
      </c>
      <c r="H267" s="53"/>
      <c r="I267" s="51">
        <f t="shared" si="52"/>
        <v>4.5000000000000018</v>
      </c>
    </row>
    <row r="268" spans="1:9" x14ac:dyDescent="0.25">
      <c r="A268" s="133">
        <v>45431</v>
      </c>
      <c r="B268" s="51" t="s">
        <v>48</v>
      </c>
      <c r="C268" s="134">
        <v>0.58333333333333337</v>
      </c>
      <c r="D268" s="134">
        <v>0.79166666666666663</v>
      </c>
      <c r="E268" s="53">
        <f t="shared" si="53"/>
        <v>4.9999999999999982</v>
      </c>
      <c r="F268" s="51"/>
      <c r="G268" s="53">
        <f t="shared" si="56"/>
        <v>4.9999999999999982</v>
      </c>
      <c r="H268" s="51"/>
      <c r="I268" s="51">
        <f t="shared" si="52"/>
        <v>4.9999999999999982</v>
      </c>
    </row>
    <row r="269" spans="1:9" x14ac:dyDescent="0.25">
      <c r="A269" s="133">
        <v>45431</v>
      </c>
      <c r="B269" s="51" t="s">
        <v>58</v>
      </c>
      <c r="C269" s="134">
        <v>0.625</v>
      </c>
      <c r="D269" s="134">
        <v>0.9375</v>
      </c>
      <c r="E269" s="53">
        <f t="shared" si="53"/>
        <v>7</v>
      </c>
      <c r="F269" s="51">
        <v>0.5</v>
      </c>
      <c r="G269" s="53">
        <f t="shared" si="56"/>
        <v>7</v>
      </c>
      <c r="H269" s="51"/>
      <c r="I269" s="51">
        <f t="shared" si="52"/>
        <v>7</v>
      </c>
    </row>
    <row r="270" spans="1:9" x14ac:dyDescent="0.25">
      <c r="A270" s="133">
        <v>45432</v>
      </c>
      <c r="B270" s="51" t="s">
        <v>414</v>
      </c>
      <c r="C270" s="134">
        <v>0.33333333333333331</v>
      </c>
      <c r="D270" s="134">
        <v>0.58333333333333337</v>
      </c>
      <c r="E270" s="53">
        <f t="shared" si="53"/>
        <v>5.5000000000000018</v>
      </c>
      <c r="F270" s="51">
        <v>0.5</v>
      </c>
      <c r="G270" s="53"/>
      <c r="H270" s="53">
        <f>IF(WEEKDAY(A270, 2)&lt;6, E270-2, E270)</f>
        <v>3.5000000000000018</v>
      </c>
      <c r="I270" s="51">
        <f t="shared" si="52"/>
        <v>3.5000000000000018</v>
      </c>
    </row>
    <row r="271" spans="1:9" x14ac:dyDescent="0.25">
      <c r="A271" s="133">
        <v>45432</v>
      </c>
      <c r="B271" s="51" t="s">
        <v>58</v>
      </c>
      <c r="C271" s="134">
        <v>0.75</v>
      </c>
      <c r="D271" s="134">
        <v>0.89583333333333337</v>
      </c>
      <c r="E271" s="53">
        <f t="shared" si="53"/>
        <v>3.5000000000000009</v>
      </c>
      <c r="F271" s="51"/>
      <c r="G271" s="53">
        <f>IF(WEEKDAY(A271, 2)&lt;6, E271+2, E271)</f>
        <v>5.5000000000000009</v>
      </c>
      <c r="H271" s="51"/>
      <c r="I271" s="51">
        <f t="shared" si="52"/>
        <v>5.5000000000000009</v>
      </c>
    </row>
    <row r="272" spans="1:9" x14ac:dyDescent="0.25">
      <c r="A272" s="133">
        <v>45433</v>
      </c>
      <c r="B272" s="51" t="s">
        <v>414</v>
      </c>
      <c r="C272" s="134">
        <v>0.33333333333333331</v>
      </c>
      <c r="D272" s="134">
        <v>0.58333333333333337</v>
      </c>
      <c r="E272" s="53">
        <f t="shared" si="53"/>
        <v>5.5000000000000018</v>
      </c>
      <c r="F272" s="51">
        <v>0.5</v>
      </c>
      <c r="G272" s="53"/>
      <c r="H272" s="53">
        <f>IF(WEEKDAY(A272, 2)&lt;6, E272-2, E272)</f>
        <v>3.5000000000000018</v>
      </c>
      <c r="I272" s="51">
        <f t="shared" si="52"/>
        <v>3.5000000000000018</v>
      </c>
    </row>
    <row r="273" spans="1:9" x14ac:dyDescent="0.25">
      <c r="A273" s="133">
        <v>45434</v>
      </c>
      <c r="B273" s="51" t="s">
        <v>56</v>
      </c>
      <c r="C273" s="134">
        <v>0.6875</v>
      </c>
      <c r="D273" s="134">
        <v>0.875</v>
      </c>
      <c r="E273" s="53">
        <f t="shared" si="53"/>
        <v>4.5</v>
      </c>
      <c r="F273" s="51"/>
      <c r="G273" s="53">
        <f t="shared" ref="G273:G274" si="57">IF(WEEKDAY(A273, 2)&lt;6, E273+2, E273)</f>
        <v>6.5</v>
      </c>
      <c r="H273" s="53"/>
      <c r="I273" s="51">
        <f t="shared" si="52"/>
        <v>6.5</v>
      </c>
    </row>
    <row r="274" spans="1:9" x14ac:dyDescent="0.25">
      <c r="A274" s="133">
        <v>45434</v>
      </c>
      <c r="B274" s="51" t="s">
        <v>56</v>
      </c>
      <c r="C274" s="134">
        <v>0.33333333333333331</v>
      </c>
      <c r="D274" s="134">
        <v>0.54166666666666663</v>
      </c>
      <c r="E274" s="53">
        <f t="shared" si="53"/>
        <v>5</v>
      </c>
      <c r="F274" s="51"/>
      <c r="G274" s="53">
        <f t="shared" si="57"/>
        <v>7</v>
      </c>
      <c r="H274" s="53"/>
      <c r="I274" s="51">
        <f t="shared" si="52"/>
        <v>7</v>
      </c>
    </row>
    <row r="275" spans="1:9" x14ac:dyDescent="0.25">
      <c r="A275" s="133">
        <v>45435</v>
      </c>
      <c r="B275" s="51" t="s">
        <v>414</v>
      </c>
      <c r="C275" s="134">
        <v>0.33333333333333331</v>
      </c>
      <c r="D275" s="134">
        <v>0.58333333333333337</v>
      </c>
      <c r="E275" s="53">
        <f t="shared" si="53"/>
        <v>5.5000000000000018</v>
      </c>
      <c r="F275" s="51">
        <v>0.5</v>
      </c>
      <c r="G275" s="53"/>
      <c r="H275" s="53">
        <f>IF(WEEKDAY(A275, 2)&lt;6, E275-2, E275)</f>
        <v>3.5000000000000018</v>
      </c>
      <c r="I275" s="51">
        <f t="shared" si="52"/>
        <v>3.5000000000000018</v>
      </c>
    </row>
    <row r="276" spans="1:9" x14ac:dyDescent="0.25">
      <c r="A276" s="133">
        <v>45435</v>
      </c>
      <c r="B276" s="51" t="s">
        <v>56</v>
      </c>
      <c r="C276" s="134">
        <v>0.77083333333333337</v>
      </c>
      <c r="D276" s="134">
        <v>0.9375</v>
      </c>
      <c r="E276" s="53">
        <f t="shared" si="53"/>
        <v>3.9999999999999991</v>
      </c>
      <c r="F276" s="51"/>
      <c r="G276" s="53">
        <f t="shared" ref="G276:G277" si="58">IF(WEEKDAY(A276, 2)&lt;6, E276+2, E276)</f>
        <v>5.9999999999999991</v>
      </c>
      <c r="H276" s="53"/>
      <c r="I276" s="51">
        <f t="shared" si="52"/>
        <v>5.9999999999999991</v>
      </c>
    </row>
    <row r="277" spans="1:9" x14ac:dyDescent="0.25">
      <c r="A277" s="133">
        <v>45435</v>
      </c>
      <c r="B277" s="51" t="s">
        <v>51</v>
      </c>
      <c r="C277" s="134">
        <v>0.70833333333333337</v>
      </c>
      <c r="D277" s="134">
        <v>0.91666666666666663</v>
      </c>
      <c r="E277" s="53">
        <f t="shared" si="53"/>
        <v>4.4999999999999982</v>
      </c>
      <c r="F277" s="51">
        <v>0.5</v>
      </c>
      <c r="G277" s="53">
        <f t="shared" si="58"/>
        <v>6.4999999999999982</v>
      </c>
      <c r="H277" s="51"/>
      <c r="I277" s="51">
        <f t="shared" si="52"/>
        <v>6.4999999999999982</v>
      </c>
    </row>
    <row r="278" spans="1:9" x14ac:dyDescent="0.25">
      <c r="A278" s="133">
        <v>45436</v>
      </c>
      <c r="B278" s="51" t="s">
        <v>414</v>
      </c>
      <c r="C278" s="134">
        <v>0.33333333333333331</v>
      </c>
      <c r="D278" s="134">
        <v>0.58333333333333337</v>
      </c>
      <c r="E278" s="53">
        <f t="shared" si="53"/>
        <v>5.5000000000000018</v>
      </c>
      <c r="F278" s="51">
        <v>0.5</v>
      </c>
      <c r="G278" s="53"/>
      <c r="H278" s="53">
        <f>IF(WEEKDAY(A278, 2)&lt;6, E278-2, E278)</f>
        <v>3.5000000000000018</v>
      </c>
      <c r="I278" s="51">
        <f t="shared" si="52"/>
        <v>3.5000000000000018</v>
      </c>
    </row>
    <row r="279" spans="1:9" x14ac:dyDescent="0.25">
      <c r="A279" s="133">
        <v>45436</v>
      </c>
      <c r="B279" s="51" t="s">
        <v>51</v>
      </c>
      <c r="C279" s="134">
        <v>0.77083333333333337</v>
      </c>
      <c r="D279" s="134">
        <v>0.97916666666666663</v>
      </c>
      <c r="E279" s="53">
        <f t="shared" si="53"/>
        <v>4.9999999999999982</v>
      </c>
      <c r="F279" s="51"/>
      <c r="G279" s="53">
        <f t="shared" ref="G279:G283" si="59">IF(WEEKDAY(A279, 2)&lt;6, E279+2, E279)</f>
        <v>6.9999999999999982</v>
      </c>
      <c r="H279" s="51"/>
      <c r="I279" s="51">
        <f t="shared" si="52"/>
        <v>6.9999999999999982</v>
      </c>
    </row>
    <row r="280" spans="1:9" x14ac:dyDescent="0.25">
      <c r="A280" s="133">
        <v>45437</v>
      </c>
      <c r="B280" s="51" t="s">
        <v>58</v>
      </c>
      <c r="C280" s="134">
        <v>0.5</v>
      </c>
      <c r="D280" s="134">
        <v>0.89583333333333337</v>
      </c>
      <c r="E280" s="53">
        <f t="shared" si="53"/>
        <v>8.5</v>
      </c>
      <c r="F280" s="51">
        <v>1</v>
      </c>
      <c r="G280" s="53">
        <f t="shared" si="59"/>
        <v>8.5</v>
      </c>
      <c r="H280" s="51"/>
      <c r="I280" s="51">
        <f t="shared" si="52"/>
        <v>8.5</v>
      </c>
    </row>
    <row r="281" spans="1:9" x14ac:dyDescent="0.25">
      <c r="A281" s="133">
        <v>45437</v>
      </c>
      <c r="B281" s="51" t="s">
        <v>53</v>
      </c>
      <c r="C281" s="134">
        <v>0.79166666666666663</v>
      </c>
      <c r="D281" s="134">
        <v>0.875</v>
      </c>
      <c r="E281" s="53">
        <f t="shared" si="53"/>
        <v>2.0000000000000009</v>
      </c>
      <c r="F281" s="51"/>
      <c r="G281" s="53">
        <f t="shared" si="59"/>
        <v>2.0000000000000009</v>
      </c>
      <c r="H281" s="51"/>
      <c r="I281" s="51">
        <f t="shared" si="52"/>
        <v>2.0000000000000009</v>
      </c>
    </row>
    <row r="282" spans="1:9" x14ac:dyDescent="0.25">
      <c r="A282" s="133">
        <v>45437</v>
      </c>
      <c r="B282" s="51" t="s">
        <v>46</v>
      </c>
      <c r="C282" s="134">
        <v>0.52083333333333337</v>
      </c>
      <c r="D282" s="134">
        <v>0.79166666666666663</v>
      </c>
      <c r="E282" s="53">
        <f t="shared" si="53"/>
        <v>5.9999999999999982</v>
      </c>
      <c r="F282" s="51">
        <v>0.5</v>
      </c>
      <c r="G282" s="53">
        <f t="shared" si="59"/>
        <v>5.9999999999999982</v>
      </c>
      <c r="H282" s="51"/>
      <c r="I282" s="51">
        <f t="shared" si="52"/>
        <v>5.9999999999999982</v>
      </c>
    </row>
    <row r="283" spans="1:9" x14ac:dyDescent="0.25">
      <c r="A283" s="133">
        <v>45438</v>
      </c>
      <c r="B283" s="51" t="s">
        <v>51</v>
      </c>
      <c r="C283" s="134">
        <v>0.66666666666666663</v>
      </c>
      <c r="D283" s="134">
        <v>0.95833333333333337</v>
      </c>
      <c r="E283" s="53">
        <f t="shared" si="53"/>
        <v>6.5000000000000018</v>
      </c>
      <c r="F283" s="51">
        <v>0.5</v>
      </c>
      <c r="G283" s="53">
        <f t="shared" si="59"/>
        <v>6.5000000000000018</v>
      </c>
      <c r="H283" s="51"/>
      <c r="I283" s="51">
        <f t="shared" si="52"/>
        <v>6.5000000000000018</v>
      </c>
    </row>
    <row r="284" spans="1:9" x14ac:dyDescent="0.25">
      <c r="A284" s="133">
        <v>45440</v>
      </c>
      <c r="B284" s="51" t="s">
        <v>414</v>
      </c>
      <c r="C284" s="134">
        <v>0.33333333333333331</v>
      </c>
      <c r="D284" s="134">
        <v>0.58333333333333337</v>
      </c>
      <c r="E284" s="53">
        <f t="shared" si="53"/>
        <v>5.5000000000000018</v>
      </c>
      <c r="F284" s="51">
        <v>0.5</v>
      </c>
      <c r="G284" s="53"/>
      <c r="H284" s="53">
        <f>IF(WEEKDAY(A284, 2)&lt;6, E284-2, E284)</f>
        <v>3.5000000000000018</v>
      </c>
      <c r="I284" s="51">
        <f t="shared" si="52"/>
        <v>3.5000000000000018</v>
      </c>
    </row>
    <row r="285" spans="1:9" x14ac:dyDescent="0.25">
      <c r="A285" s="133">
        <v>45441</v>
      </c>
      <c r="B285" s="51" t="s">
        <v>49</v>
      </c>
      <c r="C285" s="134">
        <v>0.6875</v>
      </c>
      <c r="D285" s="134">
        <v>0.875</v>
      </c>
      <c r="E285" s="53">
        <f t="shared" si="53"/>
        <v>4.5</v>
      </c>
      <c r="F285" s="51"/>
      <c r="G285" s="53">
        <f t="shared" ref="G285:G288" si="60">IF(WEEKDAY(A285, 2)&lt;6, E285+2, E285)</f>
        <v>6.5</v>
      </c>
      <c r="H285" s="51"/>
      <c r="I285" s="51">
        <f t="shared" si="52"/>
        <v>6.5</v>
      </c>
    </row>
    <row r="286" spans="1:9" x14ac:dyDescent="0.25">
      <c r="A286" s="133">
        <v>45442</v>
      </c>
      <c r="B286" s="51" t="s">
        <v>56</v>
      </c>
      <c r="C286" s="134">
        <v>0.75</v>
      </c>
      <c r="D286" s="134">
        <v>0.95833333333333337</v>
      </c>
      <c r="E286" s="53">
        <f t="shared" si="53"/>
        <v>5.0000000000000009</v>
      </c>
      <c r="F286" s="51"/>
      <c r="G286" s="53">
        <f t="shared" si="60"/>
        <v>7.0000000000000009</v>
      </c>
      <c r="H286" s="53"/>
      <c r="I286" s="51">
        <f t="shared" si="52"/>
        <v>7.0000000000000009</v>
      </c>
    </row>
    <row r="287" spans="1:9" x14ac:dyDescent="0.25">
      <c r="A287" s="133">
        <v>45442</v>
      </c>
      <c r="B287" s="51" t="s">
        <v>44</v>
      </c>
      <c r="C287" s="134">
        <v>0.79166666666666663</v>
      </c>
      <c r="D287" s="134">
        <v>0.91666666666666663</v>
      </c>
      <c r="E287" s="53">
        <f t="shared" si="53"/>
        <v>3</v>
      </c>
      <c r="F287" s="51"/>
      <c r="G287" s="53">
        <f t="shared" si="60"/>
        <v>5</v>
      </c>
      <c r="H287" s="51"/>
      <c r="I287" s="51">
        <f t="shared" si="52"/>
        <v>5</v>
      </c>
    </row>
    <row r="288" spans="1:9" x14ac:dyDescent="0.25">
      <c r="A288" s="133">
        <v>45442</v>
      </c>
      <c r="B288" s="51" t="s">
        <v>53</v>
      </c>
      <c r="C288" s="134">
        <v>0.64583333333333337</v>
      </c>
      <c r="D288" s="134">
        <v>0.91666666666666663</v>
      </c>
      <c r="E288" s="53">
        <f t="shared" si="53"/>
        <v>5.9999999999999982</v>
      </c>
      <c r="F288" s="51">
        <v>0.5</v>
      </c>
      <c r="G288" s="53">
        <f t="shared" si="60"/>
        <v>7.9999999999999982</v>
      </c>
      <c r="H288" s="51"/>
      <c r="I288" s="51">
        <f t="shared" si="52"/>
        <v>7.9999999999999982</v>
      </c>
    </row>
    <row r="289" spans="1:9" x14ac:dyDescent="0.25">
      <c r="A289" s="133">
        <v>45442</v>
      </c>
      <c r="B289" s="51" t="s">
        <v>414</v>
      </c>
      <c r="C289" s="134">
        <v>0.375</v>
      </c>
      <c r="D289" s="134">
        <v>0.58333333333333337</v>
      </c>
      <c r="E289" s="53">
        <f t="shared" si="53"/>
        <v>5.0000000000000009</v>
      </c>
      <c r="F289" s="51"/>
      <c r="G289" s="53"/>
      <c r="H289" s="53">
        <f>IF(WEEKDAY(A289, 2)&lt;6, E289-2, E289)</f>
        <v>3.0000000000000009</v>
      </c>
      <c r="I289" s="51">
        <f t="shared" si="52"/>
        <v>3.0000000000000009</v>
      </c>
    </row>
    <row r="290" spans="1:9" x14ac:dyDescent="0.25">
      <c r="A290" s="133">
        <v>45443</v>
      </c>
      <c r="B290" s="51" t="s">
        <v>414</v>
      </c>
      <c r="C290" s="134">
        <v>0.33333333333333331</v>
      </c>
      <c r="D290" s="134">
        <v>0.58333333333333337</v>
      </c>
      <c r="E290" s="53">
        <f t="shared" si="53"/>
        <v>5.5000000000000018</v>
      </c>
      <c r="F290" s="51">
        <v>0.5</v>
      </c>
      <c r="G290" s="53"/>
      <c r="H290" s="53">
        <f>IF(WEEKDAY(A290, 2)&lt;6, E290-2, E290)</f>
        <v>3.5000000000000018</v>
      </c>
      <c r="I290" s="51">
        <f t="shared" si="52"/>
        <v>3.5000000000000018</v>
      </c>
    </row>
    <row r="291" spans="1:9" x14ac:dyDescent="0.25">
      <c r="A291" s="133">
        <v>45444</v>
      </c>
      <c r="B291" s="51" t="s">
        <v>53</v>
      </c>
      <c r="C291" s="134">
        <v>0.375</v>
      </c>
      <c r="D291" s="134">
        <v>0.54166666666666663</v>
      </c>
      <c r="E291" s="53">
        <f t="shared" si="53"/>
        <v>3.9999999999999991</v>
      </c>
      <c r="F291" s="51"/>
      <c r="G291" s="53">
        <f t="shared" ref="G291:G295" si="61">IF(WEEKDAY(A291, 2)&lt;6, E291+2, E291)</f>
        <v>3.9999999999999991</v>
      </c>
      <c r="H291" s="51"/>
      <c r="I291" s="51">
        <f t="shared" si="52"/>
        <v>3.9999999999999991</v>
      </c>
    </row>
    <row r="292" spans="1:9" x14ac:dyDescent="0.25">
      <c r="A292" s="133">
        <v>45444</v>
      </c>
      <c r="B292" s="51" t="s">
        <v>46</v>
      </c>
      <c r="C292" s="134">
        <v>0.375</v>
      </c>
      <c r="D292" s="134">
        <v>0.70833333333333337</v>
      </c>
      <c r="E292" s="53">
        <f t="shared" si="53"/>
        <v>7.5</v>
      </c>
      <c r="F292" s="51">
        <v>0.5</v>
      </c>
      <c r="G292" s="53">
        <f t="shared" si="61"/>
        <v>7.5</v>
      </c>
      <c r="H292" s="51"/>
      <c r="I292" s="51">
        <f t="shared" si="52"/>
        <v>7.5</v>
      </c>
    </row>
    <row r="293" spans="1:9" x14ac:dyDescent="0.25">
      <c r="A293" s="133">
        <v>45444</v>
      </c>
      <c r="B293" s="51" t="s">
        <v>58</v>
      </c>
      <c r="C293" s="134">
        <v>0.54166666666666663</v>
      </c>
      <c r="D293" s="134">
        <v>0.875</v>
      </c>
      <c r="E293" s="53">
        <f t="shared" si="53"/>
        <v>7.5</v>
      </c>
      <c r="F293" s="51">
        <v>0.5</v>
      </c>
      <c r="G293" s="53">
        <f t="shared" si="61"/>
        <v>7.5</v>
      </c>
      <c r="H293" s="51"/>
      <c r="I293" s="51">
        <f t="shared" si="52"/>
        <v>7.5</v>
      </c>
    </row>
    <row r="294" spans="1:9" x14ac:dyDescent="0.25">
      <c r="A294" s="133">
        <v>45444</v>
      </c>
      <c r="B294" s="51" t="s">
        <v>53</v>
      </c>
      <c r="C294" s="134">
        <v>0.66666666666666663</v>
      </c>
      <c r="D294" s="134">
        <v>0.875</v>
      </c>
      <c r="E294" s="53">
        <f t="shared" si="53"/>
        <v>5.0000000000000009</v>
      </c>
      <c r="F294" s="51"/>
      <c r="G294" s="53">
        <f t="shared" si="61"/>
        <v>5.0000000000000009</v>
      </c>
      <c r="H294" s="51"/>
      <c r="I294" s="51">
        <f t="shared" si="52"/>
        <v>5.0000000000000009</v>
      </c>
    </row>
    <row r="295" spans="1:9" x14ac:dyDescent="0.25">
      <c r="A295" s="133">
        <v>45445</v>
      </c>
      <c r="B295" s="51" t="s">
        <v>53</v>
      </c>
      <c r="C295" s="134">
        <v>0.66666666666666663</v>
      </c>
      <c r="D295" s="134">
        <v>0.95833333333333337</v>
      </c>
      <c r="E295" s="53">
        <f t="shared" si="53"/>
        <v>6.5000000000000018</v>
      </c>
      <c r="F295" s="51">
        <v>0.5</v>
      </c>
      <c r="G295" s="53">
        <f t="shared" si="61"/>
        <v>6.5000000000000018</v>
      </c>
      <c r="H295" s="51"/>
      <c r="I295" s="51">
        <f t="shared" si="52"/>
        <v>6.5000000000000018</v>
      </c>
    </row>
    <row r="296" spans="1:9" x14ac:dyDescent="0.25">
      <c r="A296" s="133">
        <v>45446</v>
      </c>
      <c r="B296" s="51" t="s">
        <v>414</v>
      </c>
      <c r="C296" s="134">
        <v>0.33333333333333331</v>
      </c>
      <c r="D296" s="134">
        <v>0.58333333333333337</v>
      </c>
      <c r="E296" s="53">
        <f t="shared" si="53"/>
        <v>5.5000000000000018</v>
      </c>
      <c r="F296" s="51">
        <v>0.5</v>
      </c>
      <c r="G296" s="53"/>
      <c r="H296" s="53">
        <f t="shared" ref="H296:H297" si="62">IF(WEEKDAY(A296, 2)&lt;6, E296-2, E296)</f>
        <v>3.5000000000000018</v>
      </c>
      <c r="I296" s="51">
        <f t="shared" si="52"/>
        <v>3.5000000000000018</v>
      </c>
    </row>
    <row r="297" spans="1:9" x14ac:dyDescent="0.25">
      <c r="A297" s="133">
        <v>45447</v>
      </c>
      <c r="B297" s="51" t="s">
        <v>414</v>
      </c>
      <c r="C297" s="134">
        <v>0.33333333333333331</v>
      </c>
      <c r="D297" s="134">
        <v>0.58333333333333337</v>
      </c>
      <c r="E297" s="53">
        <f t="shared" si="53"/>
        <v>5.5000000000000018</v>
      </c>
      <c r="F297" s="51">
        <v>0.5</v>
      </c>
      <c r="G297" s="53"/>
      <c r="H297" s="53">
        <f t="shared" si="62"/>
        <v>3.5000000000000018</v>
      </c>
      <c r="I297" s="51">
        <f t="shared" si="52"/>
        <v>3.5000000000000018</v>
      </c>
    </row>
    <row r="298" spans="1:9" x14ac:dyDescent="0.25">
      <c r="A298" s="133">
        <v>45447</v>
      </c>
      <c r="B298" s="51" t="s">
        <v>53</v>
      </c>
      <c r="C298" s="134">
        <v>0.70833333333333337</v>
      </c>
      <c r="D298" s="134">
        <v>0.95833333333333337</v>
      </c>
      <c r="E298" s="53">
        <f t="shared" si="53"/>
        <v>5.5</v>
      </c>
      <c r="F298" s="51">
        <v>0.5</v>
      </c>
      <c r="G298" s="53">
        <f>IF(WEEKDAY(A298, 2)&lt;6, E298+2, E298)</f>
        <v>7.5</v>
      </c>
      <c r="H298" s="51"/>
      <c r="I298" s="51">
        <f t="shared" si="52"/>
        <v>7.5</v>
      </c>
    </row>
    <row r="299" spans="1:9" x14ac:dyDescent="0.25">
      <c r="A299" s="133">
        <v>45448</v>
      </c>
      <c r="B299" s="51" t="s">
        <v>414</v>
      </c>
      <c r="C299" s="134">
        <v>0.33333333333333331</v>
      </c>
      <c r="D299" s="134">
        <v>0.58333333333333337</v>
      </c>
      <c r="E299" s="53">
        <f t="shared" si="53"/>
        <v>5.5000000000000018</v>
      </c>
      <c r="F299" s="51">
        <v>0.5</v>
      </c>
      <c r="G299" s="53"/>
      <c r="H299" s="53">
        <f>IF(WEEKDAY(A299, 2)&lt;6, E299-2, E299)</f>
        <v>3.5000000000000018</v>
      </c>
      <c r="I299" s="51">
        <f t="shared" si="52"/>
        <v>3.5000000000000018</v>
      </c>
    </row>
    <row r="300" spans="1:9" x14ac:dyDescent="0.25">
      <c r="A300" s="133">
        <v>45448</v>
      </c>
      <c r="B300" s="51" t="s">
        <v>58</v>
      </c>
      <c r="C300" s="134">
        <v>0.66666666666666663</v>
      </c>
      <c r="D300" s="134">
        <v>0.875</v>
      </c>
      <c r="E300" s="53">
        <f t="shared" si="53"/>
        <v>5.0000000000000009</v>
      </c>
      <c r="F300" s="51"/>
      <c r="G300" s="53">
        <f t="shared" ref="G300:G302" si="63">IF(WEEKDAY(A300, 2)&lt;6, E300+2, E300)</f>
        <v>7.0000000000000009</v>
      </c>
      <c r="H300" s="51"/>
      <c r="I300" s="51">
        <f t="shared" si="52"/>
        <v>7.0000000000000009</v>
      </c>
    </row>
    <row r="301" spans="1:9" x14ac:dyDescent="0.25">
      <c r="A301" s="133">
        <v>45448</v>
      </c>
      <c r="B301" s="51" t="s">
        <v>49</v>
      </c>
      <c r="C301" s="134">
        <v>0.66666666666666663</v>
      </c>
      <c r="D301" s="134">
        <v>0.89583333333333337</v>
      </c>
      <c r="E301" s="53">
        <f t="shared" si="53"/>
        <v>5.5000000000000018</v>
      </c>
      <c r="F301" s="51"/>
      <c r="G301" s="53">
        <f t="shared" si="63"/>
        <v>7.5000000000000018</v>
      </c>
      <c r="H301" s="51"/>
      <c r="I301" s="51">
        <f t="shared" si="52"/>
        <v>7.5000000000000018</v>
      </c>
    </row>
    <row r="302" spans="1:9" x14ac:dyDescent="0.25">
      <c r="A302" s="133">
        <v>45449</v>
      </c>
      <c r="B302" s="51" t="s">
        <v>53</v>
      </c>
      <c r="C302" s="134">
        <v>0.29166666666666669</v>
      </c>
      <c r="D302" s="134">
        <v>0.58333333333333337</v>
      </c>
      <c r="E302" s="53">
        <f t="shared" si="53"/>
        <v>6.5</v>
      </c>
      <c r="F302" s="51">
        <v>0.5</v>
      </c>
      <c r="G302" s="53">
        <f t="shared" si="63"/>
        <v>8.5</v>
      </c>
      <c r="H302" s="51"/>
      <c r="I302" s="51">
        <f t="shared" si="52"/>
        <v>8.5</v>
      </c>
    </row>
    <row r="303" spans="1:9" x14ac:dyDescent="0.25">
      <c r="A303" s="133">
        <v>45449</v>
      </c>
      <c r="B303" s="51" t="s">
        <v>414</v>
      </c>
      <c r="C303" s="134">
        <v>0.33333333333333331</v>
      </c>
      <c r="D303" s="134">
        <v>0.58333333333333337</v>
      </c>
      <c r="E303" s="53">
        <f t="shared" si="53"/>
        <v>5.5000000000000018</v>
      </c>
      <c r="F303" s="51">
        <v>0.5</v>
      </c>
      <c r="G303" s="53"/>
      <c r="H303" s="53">
        <f>IF(WEEKDAY(A303, 2)&lt;6, E303-2, E303)</f>
        <v>3.5000000000000018</v>
      </c>
      <c r="I303" s="51">
        <f t="shared" si="52"/>
        <v>3.5000000000000018</v>
      </c>
    </row>
    <row r="304" spans="1:9" x14ac:dyDescent="0.25">
      <c r="A304" s="133">
        <v>45449</v>
      </c>
      <c r="B304" s="51" t="s">
        <v>56</v>
      </c>
      <c r="C304" s="134">
        <v>0.75</v>
      </c>
      <c r="D304" s="134">
        <v>0.95833333333333337</v>
      </c>
      <c r="E304" s="53">
        <f t="shared" si="53"/>
        <v>5.0000000000000009</v>
      </c>
      <c r="F304" s="51"/>
      <c r="G304" s="53">
        <f t="shared" ref="G304:G305" si="64">IF(WEEKDAY(A304, 2)&lt;6, E304+2, E304)</f>
        <v>7.0000000000000009</v>
      </c>
      <c r="H304" s="53"/>
      <c r="I304" s="51">
        <f t="shared" si="52"/>
        <v>7.0000000000000009</v>
      </c>
    </row>
    <row r="305" spans="1:9" x14ac:dyDescent="0.25">
      <c r="A305" s="133">
        <v>45449</v>
      </c>
      <c r="B305" s="51" t="s">
        <v>49</v>
      </c>
      <c r="C305" s="134">
        <v>0.79166666666666663</v>
      </c>
      <c r="D305" s="134">
        <v>0.9375</v>
      </c>
      <c r="E305" s="53">
        <f t="shared" si="53"/>
        <v>3.5000000000000009</v>
      </c>
      <c r="F305" s="51"/>
      <c r="G305" s="53">
        <f t="shared" si="64"/>
        <v>5.5000000000000009</v>
      </c>
      <c r="H305" s="51"/>
      <c r="I305" s="51">
        <f t="shared" si="52"/>
        <v>5.5000000000000009</v>
      </c>
    </row>
    <row r="306" spans="1:9" x14ac:dyDescent="0.25">
      <c r="A306" s="133">
        <v>45450</v>
      </c>
      <c r="B306" s="51" t="s">
        <v>414</v>
      </c>
      <c r="C306" s="134">
        <v>0.33333333333333331</v>
      </c>
      <c r="D306" s="134">
        <v>0.58333333333333337</v>
      </c>
      <c r="E306" s="53">
        <f t="shared" si="53"/>
        <v>5.5000000000000018</v>
      </c>
      <c r="F306" s="51">
        <v>0.5</v>
      </c>
      <c r="G306" s="53"/>
      <c r="H306" s="53">
        <f>IF(WEEKDAY(A306, 2)&lt;6, E306-2, E306)</f>
        <v>3.5000000000000018</v>
      </c>
      <c r="I306" s="51">
        <f t="shared" si="52"/>
        <v>3.5000000000000018</v>
      </c>
    </row>
    <row r="307" spans="1:9" x14ac:dyDescent="0.25">
      <c r="A307" s="133">
        <v>45451</v>
      </c>
      <c r="B307" s="51" t="s">
        <v>56</v>
      </c>
      <c r="C307" s="134">
        <v>0.33333333333333331</v>
      </c>
      <c r="D307" s="134">
        <v>0.52083333333333337</v>
      </c>
      <c r="E307" s="53">
        <f t="shared" si="53"/>
        <v>4.5000000000000018</v>
      </c>
      <c r="F307" s="51"/>
      <c r="G307" s="53">
        <f t="shared" ref="G307:G310" si="65">IF(WEEKDAY(A307, 2)&lt;6, E307+2, E307)</f>
        <v>4.5000000000000018</v>
      </c>
      <c r="H307" s="53"/>
      <c r="I307" s="51">
        <f t="shared" si="52"/>
        <v>4.5000000000000018</v>
      </c>
    </row>
    <row r="308" spans="1:9" x14ac:dyDescent="0.25">
      <c r="A308" s="133">
        <v>45451</v>
      </c>
      <c r="B308" s="51" t="s">
        <v>53</v>
      </c>
      <c r="C308" s="134">
        <v>0.375</v>
      </c>
      <c r="D308" s="134">
        <v>0.83333333333333337</v>
      </c>
      <c r="E308" s="53">
        <f t="shared" si="53"/>
        <v>10</v>
      </c>
      <c r="F308" s="51">
        <v>1</v>
      </c>
      <c r="G308" s="53">
        <f t="shared" si="65"/>
        <v>10</v>
      </c>
      <c r="H308" s="51"/>
      <c r="I308" s="51">
        <f t="shared" si="52"/>
        <v>10</v>
      </c>
    </row>
    <row r="309" spans="1:9" x14ac:dyDescent="0.25">
      <c r="A309" s="133">
        <v>45451</v>
      </c>
      <c r="B309" s="51" t="s">
        <v>58</v>
      </c>
      <c r="C309" s="134">
        <v>0.54166666666666663</v>
      </c>
      <c r="D309" s="134">
        <v>0.9375</v>
      </c>
      <c r="E309" s="53">
        <f t="shared" si="53"/>
        <v>8.5</v>
      </c>
      <c r="F309" s="51">
        <v>1</v>
      </c>
      <c r="G309" s="53">
        <f t="shared" si="65"/>
        <v>8.5</v>
      </c>
      <c r="H309" s="51"/>
      <c r="I309" s="51">
        <f t="shared" si="52"/>
        <v>8.5</v>
      </c>
    </row>
    <row r="310" spans="1:9" x14ac:dyDescent="0.25">
      <c r="A310" s="133">
        <v>45452</v>
      </c>
      <c r="B310" s="51" t="s">
        <v>58</v>
      </c>
      <c r="C310" s="134">
        <v>0.47916666666666669</v>
      </c>
      <c r="D310" s="134">
        <v>0.77083333333333337</v>
      </c>
      <c r="E310" s="53">
        <f t="shared" si="53"/>
        <v>6.5</v>
      </c>
      <c r="F310" s="51">
        <v>0.5</v>
      </c>
      <c r="G310" s="53">
        <f t="shared" si="65"/>
        <v>6.5</v>
      </c>
      <c r="H310" s="51"/>
      <c r="I310" s="51">
        <f t="shared" si="52"/>
        <v>6.5</v>
      </c>
    </row>
    <row r="311" spans="1:9" x14ac:dyDescent="0.25">
      <c r="A311" s="133">
        <v>45453</v>
      </c>
      <c r="B311" s="51" t="s">
        <v>414</v>
      </c>
      <c r="C311" s="134">
        <v>0.33333333333333331</v>
      </c>
      <c r="D311" s="134">
        <v>0.58333333333333337</v>
      </c>
      <c r="E311" s="53">
        <f t="shared" si="53"/>
        <v>5.5000000000000018</v>
      </c>
      <c r="F311" s="51">
        <v>0.5</v>
      </c>
      <c r="G311" s="53"/>
      <c r="H311" s="53">
        <f>IF(WEEKDAY(A311, 2)&lt;6, E311-2, E311)</f>
        <v>3.5000000000000018</v>
      </c>
      <c r="I311" s="51">
        <f t="shared" si="52"/>
        <v>3.5000000000000018</v>
      </c>
    </row>
    <row r="312" spans="1:9" x14ac:dyDescent="0.25">
      <c r="A312" s="133">
        <v>45453</v>
      </c>
      <c r="B312" s="51" t="s">
        <v>44</v>
      </c>
      <c r="C312" s="134">
        <v>0.33333333333333331</v>
      </c>
      <c r="D312" s="134">
        <v>0.54166666666666663</v>
      </c>
      <c r="E312" s="53">
        <f t="shared" si="53"/>
        <v>5</v>
      </c>
      <c r="F312" s="51"/>
      <c r="G312" s="53">
        <f t="shared" ref="G312:G313" si="66">IF(WEEKDAY(A312, 2)&lt;6, E312+2, E312)</f>
        <v>7</v>
      </c>
      <c r="H312" s="51"/>
      <c r="I312" s="51">
        <f t="shared" si="52"/>
        <v>7</v>
      </c>
    </row>
    <row r="313" spans="1:9" x14ac:dyDescent="0.25">
      <c r="A313" s="133">
        <v>45453</v>
      </c>
      <c r="B313" s="51" t="s">
        <v>47</v>
      </c>
      <c r="C313" s="134">
        <v>0.52083333333333337</v>
      </c>
      <c r="D313" s="134">
        <v>0.6875</v>
      </c>
      <c r="E313" s="53">
        <f t="shared" si="53"/>
        <v>3.9999999999999991</v>
      </c>
      <c r="F313" s="51"/>
      <c r="G313" s="53">
        <f t="shared" si="66"/>
        <v>5.9999999999999991</v>
      </c>
      <c r="H313" s="51"/>
      <c r="I313" s="51">
        <f t="shared" si="52"/>
        <v>5.9999999999999991</v>
      </c>
    </row>
    <row r="314" spans="1:9" x14ac:dyDescent="0.25">
      <c r="A314" s="133">
        <v>45454</v>
      </c>
      <c r="B314" s="51" t="s">
        <v>414</v>
      </c>
      <c r="C314" s="134">
        <v>0.33333333333333331</v>
      </c>
      <c r="D314" s="134">
        <v>0.58333333333333337</v>
      </c>
      <c r="E314" s="53">
        <f t="shared" si="53"/>
        <v>5.5000000000000018</v>
      </c>
      <c r="F314" s="51">
        <v>0.5</v>
      </c>
      <c r="G314" s="53"/>
      <c r="H314" s="53">
        <f>IF(WEEKDAY(A314, 2)&lt;6, E314-2, E314)</f>
        <v>3.5000000000000018</v>
      </c>
      <c r="I314" s="51">
        <f t="shared" si="52"/>
        <v>3.5000000000000018</v>
      </c>
    </row>
    <row r="315" spans="1:9" x14ac:dyDescent="0.25">
      <c r="A315" s="133">
        <v>45454</v>
      </c>
      <c r="B315" s="51" t="s">
        <v>47</v>
      </c>
      <c r="C315" s="134">
        <v>0.52083333333333337</v>
      </c>
      <c r="D315" s="134">
        <v>0.6875</v>
      </c>
      <c r="E315" s="53">
        <f t="shared" si="53"/>
        <v>3.9999999999999991</v>
      </c>
      <c r="F315" s="51"/>
      <c r="G315" s="53">
        <f>IF(WEEKDAY(A315, 2)&lt;6, E315+2, E315)</f>
        <v>5.9999999999999991</v>
      </c>
      <c r="H315" s="51"/>
      <c r="I315" s="51">
        <f t="shared" si="52"/>
        <v>5.9999999999999991</v>
      </c>
    </row>
    <row r="316" spans="1:9" x14ac:dyDescent="0.25">
      <c r="A316" s="133">
        <v>45455</v>
      </c>
      <c r="B316" s="51" t="s">
        <v>414</v>
      </c>
      <c r="C316" s="134">
        <v>0.33333333333333331</v>
      </c>
      <c r="D316" s="134">
        <v>0.58333333333333337</v>
      </c>
      <c r="E316" s="53">
        <f t="shared" si="53"/>
        <v>5.5000000000000018</v>
      </c>
      <c r="F316" s="51">
        <v>0.5</v>
      </c>
      <c r="G316" s="53"/>
      <c r="H316" s="53">
        <f>IF(WEEKDAY(A316, 2)&lt;6, E316-2, E316)</f>
        <v>3.5000000000000018</v>
      </c>
      <c r="I316" s="51">
        <f t="shared" si="52"/>
        <v>3.5000000000000018</v>
      </c>
    </row>
    <row r="317" spans="1:9" x14ac:dyDescent="0.25">
      <c r="A317" s="133">
        <v>45455</v>
      </c>
      <c r="B317" s="51" t="s">
        <v>54</v>
      </c>
      <c r="C317" s="134">
        <v>0.5</v>
      </c>
      <c r="D317" s="134">
        <v>0.66666666666666663</v>
      </c>
      <c r="E317" s="53">
        <f t="shared" si="53"/>
        <v>3.9999999999999991</v>
      </c>
      <c r="F317" s="51"/>
      <c r="G317" s="53">
        <f t="shared" ref="G317:G319" si="67">IF(WEEKDAY(A317, 2)&lt;6, E317+2, E317)</f>
        <v>5.9999999999999991</v>
      </c>
      <c r="H317" s="51"/>
      <c r="I317" s="51">
        <f t="shared" si="52"/>
        <v>5.9999999999999991</v>
      </c>
    </row>
    <row r="318" spans="1:9" x14ac:dyDescent="0.25">
      <c r="A318" s="133">
        <v>45455</v>
      </c>
      <c r="B318" s="51" t="s">
        <v>47</v>
      </c>
      <c r="C318" s="134">
        <v>0.52083333333333337</v>
      </c>
      <c r="D318" s="134">
        <v>0.6875</v>
      </c>
      <c r="E318" s="53">
        <f t="shared" si="53"/>
        <v>3.9999999999999991</v>
      </c>
      <c r="F318" s="51"/>
      <c r="G318" s="53">
        <f t="shared" si="67"/>
        <v>5.9999999999999991</v>
      </c>
      <c r="H318" s="51"/>
      <c r="I318" s="51">
        <f t="shared" si="52"/>
        <v>5.9999999999999991</v>
      </c>
    </row>
    <row r="319" spans="1:9" x14ac:dyDescent="0.25">
      <c r="A319" s="133">
        <v>45455</v>
      </c>
      <c r="B319" s="51" t="s">
        <v>49</v>
      </c>
      <c r="C319" s="134">
        <v>0.66666666666666663</v>
      </c>
      <c r="D319" s="134">
        <v>0.89583333333333337</v>
      </c>
      <c r="E319" s="53">
        <f t="shared" si="53"/>
        <v>5.5000000000000018</v>
      </c>
      <c r="F319" s="51"/>
      <c r="G319" s="53">
        <f t="shared" si="67"/>
        <v>7.5000000000000018</v>
      </c>
      <c r="H319" s="51"/>
      <c r="I319" s="51">
        <f t="shared" si="52"/>
        <v>7.5000000000000018</v>
      </c>
    </row>
    <row r="320" spans="1:9" x14ac:dyDescent="0.25">
      <c r="A320" s="133">
        <v>45456</v>
      </c>
      <c r="B320" s="51" t="s">
        <v>414</v>
      </c>
      <c r="C320" s="134">
        <v>0.33333333333333331</v>
      </c>
      <c r="D320" s="134">
        <v>0.58333333333333337</v>
      </c>
      <c r="E320" s="53">
        <f t="shared" si="53"/>
        <v>5.5000000000000018</v>
      </c>
      <c r="F320" s="51">
        <v>0.5</v>
      </c>
      <c r="G320" s="53"/>
      <c r="H320" s="53">
        <f>IF(WEEKDAY(A320, 2)&lt;6, E320-2, E320)</f>
        <v>3.5000000000000018</v>
      </c>
      <c r="I320" s="51">
        <f t="shared" si="52"/>
        <v>3.5000000000000018</v>
      </c>
    </row>
    <row r="321" spans="1:9" x14ac:dyDescent="0.25">
      <c r="A321" s="133">
        <v>45456</v>
      </c>
      <c r="B321" s="51" t="s">
        <v>47</v>
      </c>
      <c r="C321" s="134">
        <v>0.52083333333333337</v>
      </c>
      <c r="D321" s="134">
        <v>0.6875</v>
      </c>
      <c r="E321" s="53">
        <f t="shared" si="53"/>
        <v>3.9999999999999991</v>
      </c>
      <c r="F321" s="51"/>
      <c r="G321" s="53">
        <f t="shared" ref="G321:G323" si="68">IF(WEEKDAY(A321, 2)&lt;6, E321+2, E321)</f>
        <v>5.9999999999999991</v>
      </c>
      <c r="H321" s="51"/>
      <c r="I321" s="51">
        <f t="shared" si="52"/>
        <v>5.9999999999999991</v>
      </c>
    </row>
    <row r="322" spans="1:9" x14ac:dyDescent="0.25">
      <c r="A322" s="133">
        <v>45456</v>
      </c>
      <c r="B322" s="51" t="s">
        <v>49</v>
      </c>
      <c r="C322" s="134">
        <v>0.75</v>
      </c>
      <c r="D322" s="134">
        <v>0.9375</v>
      </c>
      <c r="E322" s="53">
        <f t="shared" si="53"/>
        <v>4.5</v>
      </c>
      <c r="F322" s="51"/>
      <c r="G322" s="53">
        <f t="shared" si="68"/>
        <v>6.5</v>
      </c>
      <c r="H322" s="51"/>
      <c r="I322" s="51">
        <f t="shared" ref="I322:I385" si="69">IF(G322&lt;&gt;"",G322,H322)</f>
        <v>6.5</v>
      </c>
    </row>
    <row r="323" spans="1:9" x14ac:dyDescent="0.25">
      <c r="A323" s="133">
        <v>45456</v>
      </c>
      <c r="B323" s="51" t="s">
        <v>56</v>
      </c>
      <c r="C323" s="134">
        <v>0.75</v>
      </c>
      <c r="D323" s="134">
        <v>0.95833333333333337</v>
      </c>
      <c r="E323" s="53">
        <f t="shared" ref="E323:E386" si="70">MOD((D323-C323),1) *24 - F323</f>
        <v>5.0000000000000009</v>
      </c>
      <c r="F323" s="51"/>
      <c r="G323" s="53">
        <f t="shared" si="68"/>
        <v>7.0000000000000009</v>
      </c>
      <c r="H323" s="53"/>
      <c r="I323" s="51">
        <f t="shared" si="69"/>
        <v>7.0000000000000009</v>
      </c>
    </row>
    <row r="324" spans="1:9" x14ac:dyDescent="0.25">
      <c r="A324" s="133">
        <v>45457</v>
      </c>
      <c r="B324" s="51" t="s">
        <v>414</v>
      </c>
      <c r="C324" s="134">
        <v>0.33333333333333331</v>
      </c>
      <c r="D324" s="134">
        <v>0.58333333333333337</v>
      </c>
      <c r="E324" s="53">
        <f t="shared" si="70"/>
        <v>5.5000000000000018</v>
      </c>
      <c r="F324" s="51">
        <v>0.5</v>
      </c>
      <c r="G324" s="53"/>
      <c r="H324" s="53">
        <f>IF(WEEKDAY(A324, 2)&lt;6, E324-2, E324)</f>
        <v>3.5000000000000018</v>
      </c>
      <c r="I324" s="51">
        <f t="shared" si="69"/>
        <v>3.5000000000000018</v>
      </c>
    </row>
    <row r="325" spans="1:9" x14ac:dyDescent="0.25">
      <c r="A325" s="133">
        <v>45457</v>
      </c>
      <c r="B325" s="51" t="s">
        <v>47</v>
      </c>
      <c r="C325" s="134">
        <v>0.52083333333333337</v>
      </c>
      <c r="D325" s="134">
        <v>0.6875</v>
      </c>
      <c r="E325" s="53">
        <f t="shared" si="70"/>
        <v>3.9999999999999991</v>
      </c>
      <c r="F325" s="51"/>
      <c r="G325" s="53">
        <f t="shared" ref="G325:G331" si="71">IF(WEEKDAY(A325, 2)&lt;6, E325+2, E325)</f>
        <v>5.9999999999999991</v>
      </c>
      <c r="H325" s="51"/>
      <c r="I325" s="51">
        <f t="shared" si="69"/>
        <v>5.9999999999999991</v>
      </c>
    </row>
    <row r="326" spans="1:9" x14ac:dyDescent="0.25">
      <c r="A326" s="133">
        <v>45457</v>
      </c>
      <c r="B326" s="51" t="s">
        <v>46</v>
      </c>
      <c r="C326" s="134">
        <v>0.58333333333333337</v>
      </c>
      <c r="D326" s="134">
        <v>0.95833333333333337</v>
      </c>
      <c r="E326" s="53">
        <f t="shared" si="70"/>
        <v>8</v>
      </c>
      <c r="F326" s="51">
        <v>1</v>
      </c>
      <c r="G326" s="53">
        <f t="shared" si="71"/>
        <v>10</v>
      </c>
      <c r="H326" s="51"/>
      <c r="I326" s="51">
        <f t="shared" si="69"/>
        <v>10</v>
      </c>
    </row>
    <row r="327" spans="1:9" x14ac:dyDescent="0.25">
      <c r="A327" s="133">
        <v>45458</v>
      </c>
      <c r="B327" s="51" t="s">
        <v>56</v>
      </c>
      <c r="C327" s="134">
        <v>0.33333333333333331</v>
      </c>
      <c r="D327" s="134">
        <v>0.52083333333333337</v>
      </c>
      <c r="E327" s="53">
        <f t="shared" si="70"/>
        <v>4.5000000000000018</v>
      </c>
      <c r="F327" s="51"/>
      <c r="G327" s="53">
        <f t="shared" si="71"/>
        <v>4.5000000000000018</v>
      </c>
      <c r="H327" s="53"/>
      <c r="I327" s="51">
        <f t="shared" si="69"/>
        <v>4.5000000000000018</v>
      </c>
    </row>
    <row r="328" spans="1:9" x14ac:dyDescent="0.25">
      <c r="A328" s="133">
        <v>45458</v>
      </c>
      <c r="B328" s="51" t="s">
        <v>53</v>
      </c>
      <c r="C328" s="134">
        <v>0.33333333333333331</v>
      </c>
      <c r="D328" s="134">
        <v>6.25E-2</v>
      </c>
      <c r="E328" s="53">
        <f t="shared" si="70"/>
        <v>16</v>
      </c>
      <c r="F328" s="51">
        <v>1.5</v>
      </c>
      <c r="G328" s="53">
        <f t="shared" si="71"/>
        <v>16</v>
      </c>
      <c r="H328" s="51"/>
      <c r="I328" s="51">
        <f t="shared" si="69"/>
        <v>16</v>
      </c>
    </row>
    <row r="329" spans="1:9" x14ac:dyDescent="0.25">
      <c r="A329" s="133">
        <v>45458</v>
      </c>
      <c r="B329" s="51" t="s">
        <v>46</v>
      </c>
      <c r="C329" s="134">
        <v>0.58333333333333337</v>
      </c>
      <c r="D329" s="134">
        <v>0.95833333333333337</v>
      </c>
      <c r="E329" s="53">
        <f t="shared" si="70"/>
        <v>8</v>
      </c>
      <c r="F329" s="51">
        <v>1</v>
      </c>
      <c r="G329" s="53">
        <f t="shared" si="71"/>
        <v>8</v>
      </c>
      <c r="H329" s="51"/>
      <c r="I329" s="51">
        <f t="shared" si="69"/>
        <v>8</v>
      </c>
    </row>
    <row r="330" spans="1:9" x14ac:dyDescent="0.25">
      <c r="A330" s="133">
        <v>45459</v>
      </c>
      <c r="B330" s="51" t="s">
        <v>46</v>
      </c>
      <c r="C330" s="134">
        <v>0.41666666666666669</v>
      </c>
      <c r="D330" s="134">
        <v>0.625</v>
      </c>
      <c r="E330" s="53">
        <f t="shared" si="70"/>
        <v>5</v>
      </c>
      <c r="F330" s="51"/>
      <c r="G330" s="53">
        <f t="shared" si="71"/>
        <v>5</v>
      </c>
      <c r="H330" s="51"/>
      <c r="I330" s="51">
        <f t="shared" si="69"/>
        <v>5</v>
      </c>
    </row>
    <row r="331" spans="1:9" x14ac:dyDescent="0.25">
      <c r="A331" s="133">
        <v>45459</v>
      </c>
      <c r="B331" s="51" t="s">
        <v>53</v>
      </c>
      <c r="C331" s="134">
        <v>0.58333333333333337</v>
      </c>
      <c r="D331" s="134">
        <v>0.91666666666666663</v>
      </c>
      <c r="E331" s="53">
        <f t="shared" si="70"/>
        <v>7.4999999999999982</v>
      </c>
      <c r="F331" s="51">
        <v>0.5</v>
      </c>
      <c r="G331" s="53">
        <f t="shared" si="71"/>
        <v>7.4999999999999982</v>
      </c>
      <c r="H331" s="51"/>
      <c r="I331" s="51">
        <f t="shared" si="69"/>
        <v>7.4999999999999982</v>
      </c>
    </row>
    <row r="332" spans="1:9" x14ac:dyDescent="0.25">
      <c r="A332" s="133">
        <v>45460</v>
      </c>
      <c r="B332" s="51" t="s">
        <v>414</v>
      </c>
      <c r="C332" s="134">
        <v>0.33333333333333331</v>
      </c>
      <c r="D332" s="134">
        <v>0.58333333333333337</v>
      </c>
      <c r="E332" s="53">
        <f t="shared" si="70"/>
        <v>5.5000000000000018</v>
      </c>
      <c r="F332" s="51">
        <v>0.5</v>
      </c>
      <c r="G332" s="53"/>
      <c r="H332" s="53">
        <f>IF(WEEKDAY(A332, 2)&lt;6, E332-2, E332)</f>
        <v>3.5000000000000018</v>
      </c>
      <c r="I332" s="51">
        <f t="shared" si="69"/>
        <v>3.5000000000000018</v>
      </c>
    </row>
    <row r="333" spans="1:9" x14ac:dyDescent="0.25">
      <c r="A333" s="133">
        <v>45460</v>
      </c>
      <c r="B333" s="51" t="s">
        <v>47</v>
      </c>
      <c r="C333" s="134">
        <v>0.33333333333333331</v>
      </c>
      <c r="D333" s="134">
        <v>0.6875</v>
      </c>
      <c r="E333" s="53">
        <f t="shared" si="70"/>
        <v>8</v>
      </c>
      <c r="F333" s="51">
        <v>0.5</v>
      </c>
      <c r="G333" s="53">
        <f>IF(WEEKDAY(A333, 2)&lt;6, E333+2, E333)</f>
        <v>10</v>
      </c>
      <c r="H333" s="51"/>
      <c r="I333" s="51">
        <f t="shared" si="69"/>
        <v>10</v>
      </c>
    </row>
    <row r="334" spans="1:9" x14ac:dyDescent="0.25">
      <c r="A334" s="133">
        <v>45461</v>
      </c>
      <c r="B334" s="51" t="s">
        <v>414</v>
      </c>
      <c r="C334" s="134">
        <v>0.33333333333333331</v>
      </c>
      <c r="D334" s="134">
        <v>0.58333333333333337</v>
      </c>
      <c r="E334" s="53">
        <f t="shared" si="70"/>
        <v>5.5000000000000018</v>
      </c>
      <c r="F334" s="51">
        <v>0.5</v>
      </c>
      <c r="G334" s="53"/>
      <c r="H334" s="53">
        <f>IF(WEEKDAY(A334, 2)&lt;6, E334-2, E334)</f>
        <v>3.5000000000000018</v>
      </c>
      <c r="I334" s="51">
        <f t="shared" si="69"/>
        <v>3.5000000000000018</v>
      </c>
    </row>
    <row r="335" spans="1:9" x14ac:dyDescent="0.25">
      <c r="A335" s="133">
        <v>45461</v>
      </c>
      <c r="B335" s="51" t="s">
        <v>47</v>
      </c>
      <c r="C335" s="134">
        <v>0.5</v>
      </c>
      <c r="D335" s="134">
        <v>0.6875</v>
      </c>
      <c r="E335" s="53">
        <f t="shared" si="70"/>
        <v>4.5</v>
      </c>
      <c r="F335" s="51"/>
      <c r="G335" s="53">
        <f>IF(WEEKDAY(A335, 2)&lt;6, E335+2, E335)</f>
        <v>6.5</v>
      </c>
      <c r="H335" s="51"/>
      <c r="I335" s="51">
        <f t="shared" si="69"/>
        <v>6.5</v>
      </c>
    </row>
    <row r="336" spans="1:9" x14ac:dyDescent="0.25">
      <c r="A336" s="133">
        <v>45462</v>
      </c>
      <c r="B336" s="51" t="s">
        <v>414</v>
      </c>
      <c r="C336" s="134">
        <v>0.33333333333333331</v>
      </c>
      <c r="D336" s="134">
        <v>0.58333333333333337</v>
      </c>
      <c r="E336" s="53">
        <f t="shared" si="70"/>
        <v>5.5000000000000018</v>
      </c>
      <c r="F336" s="51">
        <v>0.5</v>
      </c>
      <c r="G336" s="53"/>
      <c r="H336" s="53">
        <f>IF(WEEKDAY(A336, 2)&lt;6, E336-2, E336)</f>
        <v>3.5000000000000018</v>
      </c>
      <c r="I336" s="51">
        <f t="shared" si="69"/>
        <v>3.5000000000000018</v>
      </c>
    </row>
    <row r="337" spans="1:9" x14ac:dyDescent="0.25">
      <c r="A337" s="133">
        <v>45462</v>
      </c>
      <c r="B337" s="51" t="s">
        <v>47</v>
      </c>
      <c r="C337" s="134">
        <v>0.5</v>
      </c>
      <c r="D337" s="134">
        <v>0.6875</v>
      </c>
      <c r="E337" s="53">
        <f t="shared" si="70"/>
        <v>4.5</v>
      </c>
      <c r="F337" s="51"/>
      <c r="G337" s="53">
        <f t="shared" ref="G337:G339" si="72">IF(WEEKDAY(A337, 2)&lt;6, E337+2, E337)</f>
        <v>6.5</v>
      </c>
      <c r="H337" s="51"/>
      <c r="I337" s="51">
        <f t="shared" si="69"/>
        <v>6.5</v>
      </c>
    </row>
    <row r="338" spans="1:9" x14ac:dyDescent="0.25">
      <c r="A338" s="133">
        <v>45462</v>
      </c>
      <c r="B338" s="51" t="s">
        <v>46</v>
      </c>
      <c r="C338" s="134">
        <v>0.66666666666666663</v>
      </c>
      <c r="D338" s="134">
        <v>0.91666666666666663</v>
      </c>
      <c r="E338" s="53">
        <f t="shared" si="70"/>
        <v>5.5</v>
      </c>
      <c r="F338" s="51">
        <v>0.5</v>
      </c>
      <c r="G338" s="53">
        <f t="shared" si="72"/>
        <v>7.5</v>
      </c>
      <c r="H338" s="51"/>
      <c r="I338" s="51">
        <f t="shared" si="69"/>
        <v>7.5</v>
      </c>
    </row>
    <row r="339" spans="1:9" x14ac:dyDescent="0.25">
      <c r="A339" s="133">
        <v>45462</v>
      </c>
      <c r="B339" s="51" t="s">
        <v>58</v>
      </c>
      <c r="C339" s="134">
        <v>0.70833333333333337</v>
      </c>
      <c r="D339" s="134">
        <v>0.875</v>
      </c>
      <c r="E339" s="53">
        <f t="shared" si="70"/>
        <v>3.9999999999999991</v>
      </c>
      <c r="F339" s="51"/>
      <c r="G339" s="53">
        <f t="shared" si="72"/>
        <v>5.9999999999999991</v>
      </c>
      <c r="H339" s="51"/>
      <c r="I339" s="51">
        <f t="shared" si="69"/>
        <v>5.9999999999999991</v>
      </c>
    </row>
    <row r="340" spans="1:9" x14ac:dyDescent="0.25">
      <c r="A340" s="133">
        <v>45463</v>
      </c>
      <c r="B340" s="51" t="s">
        <v>414</v>
      </c>
      <c r="C340" s="134">
        <v>0.33333333333333331</v>
      </c>
      <c r="D340" s="134">
        <v>0.58333333333333337</v>
      </c>
      <c r="E340" s="53">
        <f t="shared" si="70"/>
        <v>5.5000000000000018</v>
      </c>
      <c r="F340" s="51">
        <v>0.5</v>
      </c>
      <c r="G340" s="53"/>
      <c r="H340" s="53">
        <f>IF(WEEKDAY(A340, 2)&lt;6, E340-2, E340)</f>
        <v>3.5000000000000018</v>
      </c>
      <c r="I340" s="51">
        <f t="shared" si="69"/>
        <v>3.5000000000000018</v>
      </c>
    </row>
    <row r="341" spans="1:9" x14ac:dyDescent="0.25">
      <c r="A341" s="133">
        <v>45463</v>
      </c>
      <c r="B341" s="51" t="s">
        <v>47</v>
      </c>
      <c r="C341" s="134">
        <v>0.5</v>
      </c>
      <c r="D341" s="134">
        <v>0.6875</v>
      </c>
      <c r="E341" s="53">
        <f t="shared" si="70"/>
        <v>4.5</v>
      </c>
      <c r="F341" s="51"/>
      <c r="G341" s="53">
        <f t="shared" ref="G341:G343" si="73">IF(WEEKDAY(A341, 2)&lt;6, E341+2, E341)</f>
        <v>6.5</v>
      </c>
      <c r="H341" s="51"/>
      <c r="I341" s="51">
        <f t="shared" si="69"/>
        <v>6.5</v>
      </c>
    </row>
    <row r="342" spans="1:9" x14ac:dyDescent="0.25">
      <c r="A342" s="133">
        <v>45463</v>
      </c>
      <c r="B342" s="51" t="s">
        <v>49</v>
      </c>
      <c r="C342" s="134">
        <v>0.75</v>
      </c>
      <c r="D342" s="134">
        <v>0.9375</v>
      </c>
      <c r="E342" s="53">
        <f t="shared" si="70"/>
        <v>4.5</v>
      </c>
      <c r="F342" s="51"/>
      <c r="G342" s="53">
        <f t="shared" si="73"/>
        <v>6.5</v>
      </c>
      <c r="H342" s="51"/>
      <c r="I342" s="51">
        <f t="shared" si="69"/>
        <v>6.5</v>
      </c>
    </row>
    <row r="343" spans="1:9" x14ac:dyDescent="0.25">
      <c r="A343" s="133">
        <v>45463</v>
      </c>
      <c r="B343" s="51" t="s">
        <v>56</v>
      </c>
      <c r="C343" s="134">
        <v>0.75</v>
      </c>
      <c r="D343" s="134">
        <v>0.95833333333333337</v>
      </c>
      <c r="E343" s="53">
        <f t="shared" si="70"/>
        <v>5.0000000000000009</v>
      </c>
      <c r="F343" s="51"/>
      <c r="G343" s="53">
        <f t="shared" si="73"/>
        <v>7.0000000000000009</v>
      </c>
      <c r="H343" s="53"/>
      <c r="I343" s="51">
        <f t="shared" si="69"/>
        <v>7.0000000000000009</v>
      </c>
    </row>
    <row r="344" spans="1:9" x14ac:dyDescent="0.25">
      <c r="A344" s="133">
        <v>45464</v>
      </c>
      <c r="B344" s="51" t="s">
        <v>414</v>
      </c>
      <c r="C344" s="134">
        <v>0.33333333333333331</v>
      </c>
      <c r="D344" s="134">
        <v>0.58333333333333337</v>
      </c>
      <c r="E344" s="53">
        <f t="shared" si="70"/>
        <v>5.5000000000000018</v>
      </c>
      <c r="F344" s="51">
        <v>0.5</v>
      </c>
      <c r="G344" s="53"/>
      <c r="H344" s="53">
        <f>IF(WEEKDAY(A344, 2)&lt;6, E344-2, E344)</f>
        <v>3.5000000000000018</v>
      </c>
      <c r="I344" s="51">
        <f t="shared" si="69"/>
        <v>3.5000000000000018</v>
      </c>
    </row>
    <row r="345" spans="1:9" x14ac:dyDescent="0.25">
      <c r="A345" s="133">
        <v>45464</v>
      </c>
      <c r="B345" s="51" t="s">
        <v>47</v>
      </c>
      <c r="C345" s="134">
        <v>0.5</v>
      </c>
      <c r="D345" s="134">
        <v>0.6875</v>
      </c>
      <c r="E345" s="53">
        <f t="shared" si="70"/>
        <v>4.5</v>
      </c>
      <c r="F345" s="51"/>
      <c r="G345" s="53">
        <f t="shared" ref="G345:G354" si="74">IF(WEEKDAY(A345, 2)&lt;6, E345+2, E345)</f>
        <v>6.5</v>
      </c>
      <c r="H345" s="51"/>
      <c r="I345" s="51">
        <f t="shared" si="69"/>
        <v>6.5</v>
      </c>
    </row>
    <row r="346" spans="1:9" x14ac:dyDescent="0.25">
      <c r="A346" s="133">
        <v>45464</v>
      </c>
      <c r="B346" s="51" t="s">
        <v>53</v>
      </c>
      <c r="C346" s="134">
        <v>0.54166666666666663</v>
      </c>
      <c r="D346" s="134">
        <v>4.1666666666666664E-2</v>
      </c>
      <c r="E346" s="53">
        <f t="shared" si="70"/>
        <v>11</v>
      </c>
      <c r="F346" s="51">
        <v>1</v>
      </c>
      <c r="G346" s="53">
        <f t="shared" si="74"/>
        <v>13</v>
      </c>
      <c r="H346" s="51"/>
      <c r="I346" s="51">
        <f t="shared" si="69"/>
        <v>13</v>
      </c>
    </row>
    <row r="347" spans="1:9" x14ac:dyDescent="0.25">
      <c r="A347" s="133">
        <v>45464</v>
      </c>
      <c r="B347" s="51" t="s">
        <v>58</v>
      </c>
      <c r="C347" s="134">
        <v>0.70833333333333337</v>
      </c>
      <c r="D347" s="134">
        <v>0.95833333333333337</v>
      </c>
      <c r="E347" s="53">
        <f t="shared" si="70"/>
        <v>5.5</v>
      </c>
      <c r="F347" s="51">
        <v>0.5</v>
      </c>
      <c r="G347" s="53">
        <f t="shared" si="74"/>
        <v>7.5</v>
      </c>
      <c r="H347" s="51"/>
      <c r="I347" s="51">
        <f t="shared" si="69"/>
        <v>7.5</v>
      </c>
    </row>
    <row r="348" spans="1:9" x14ac:dyDescent="0.25">
      <c r="A348" s="133">
        <v>45465</v>
      </c>
      <c r="B348" s="51" t="s">
        <v>56</v>
      </c>
      <c r="C348" s="134">
        <v>0.33333333333333331</v>
      </c>
      <c r="D348" s="134">
        <v>0.52083333333333337</v>
      </c>
      <c r="E348" s="53">
        <f t="shared" si="70"/>
        <v>4.5000000000000018</v>
      </c>
      <c r="F348" s="51"/>
      <c r="G348" s="53">
        <f t="shared" si="74"/>
        <v>4.5000000000000018</v>
      </c>
      <c r="H348" s="53"/>
      <c r="I348" s="51">
        <f t="shared" si="69"/>
        <v>4.5000000000000018</v>
      </c>
    </row>
    <row r="349" spans="1:9" x14ac:dyDescent="0.25">
      <c r="A349" s="133">
        <v>45465</v>
      </c>
      <c r="B349" s="51" t="s">
        <v>48</v>
      </c>
      <c r="C349" s="134">
        <v>0.35416666666666669</v>
      </c>
      <c r="D349" s="134">
        <v>0.70833333333333337</v>
      </c>
      <c r="E349" s="53">
        <f t="shared" si="70"/>
        <v>8</v>
      </c>
      <c r="F349" s="51">
        <v>0.5</v>
      </c>
      <c r="G349" s="53">
        <f t="shared" si="74"/>
        <v>8</v>
      </c>
      <c r="H349" s="51"/>
      <c r="I349" s="51">
        <f t="shared" si="69"/>
        <v>8</v>
      </c>
    </row>
    <row r="350" spans="1:9" x14ac:dyDescent="0.25">
      <c r="A350" s="133">
        <v>45465</v>
      </c>
      <c r="B350" s="51" t="s">
        <v>53</v>
      </c>
      <c r="C350" s="134">
        <v>0.33333333333333331</v>
      </c>
      <c r="D350" s="134">
        <v>0.91666666666666663</v>
      </c>
      <c r="E350" s="53">
        <f t="shared" si="70"/>
        <v>12.999999999999998</v>
      </c>
      <c r="F350" s="51">
        <v>1</v>
      </c>
      <c r="G350" s="53">
        <f t="shared" si="74"/>
        <v>12.999999999999998</v>
      </c>
      <c r="H350" s="51"/>
      <c r="I350" s="51">
        <f t="shared" si="69"/>
        <v>12.999999999999998</v>
      </c>
    </row>
    <row r="351" spans="1:9" x14ac:dyDescent="0.25">
      <c r="A351" s="133">
        <v>45465</v>
      </c>
      <c r="B351" s="51" t="s">
        <v>58</v>
      </c>
      <c r="C351" s="134">
        <v>0.58333333333333337</v>
      </c>
      <c r="D351" s="134">
        <v>0</v>
      </c>
      <c r="E351" s="53">
        <f t="shared" si="70"/>
        <v>9</v>
      </c>
      <c r="F351" s="51">
        <v>1</v>
      </c>
      <c r="G351" s="53">
        <f t="shared" si="74"/>
        <v>9</v>
      </c>
      <c r="H351" s="51"/>
      <c r="I351" s="51">
        <f t="shared" si="69"/>
        <v>9</v>
      </c>
    </row>
    <row r="352" spans="1:9" x14ac:dyDescent="0.25">
      <c r="A352" s="133">
        <v>45465</v>
      </c>
      <c r="B352" s="51" t="s">
        <v>46</v>
      </c>
      <c r="C352" s="134">
        <v>0.45833333333333331</v>
      </c>
      <c r="D352" s="134">
        <v>0.875</v>
      </c>
      <c r="E352" s="53">
        <f t="shared" si="70"/>
        <v>9</v>
      </c>
      <c r="F352" s="51">
        <v>1</v>
      </c>
      <c r="G352" s="53">
        <f t="shared" si="74"/>
        <v>9</v>
      </c>
      <c r="H352" s="51"/>
      <c r="I352" s="51">
        <f t="shared" si="69"/>
        <v>9</v>
      </c>
    </row>
    <row r="353" spans="1:9" x14ac:dyDescent="0.25">
      <c r="A353" s="133">
        <v>45466</v>
      </c>
      <c r="B353" s="51" t="s">
        <v>46</v>
      </c>
      <c r="C353" s="134">
        <v>0.45833333333333331</v>
      </c>
      <c r="D353" s="134">
        <v>0.75</v>
      </c>
      <c r="E353" s="53">
        <f t="shared" si="70"/>
        <v>6.5</v>
      </c>
      <c r="F353" s="51">
        <v>0.5</v>
      </c>
      <c r="G353" s="53">
        <f t="shared" si="74"/>
        <v>6.5</v>
      </c>
      <c r="H353" s="51"/>
      <c r="I353" s="51">
        <f t="shared" si="69"/>
        <v>6.5</v>
      </c>
    </row>
    <row r="354" spans="1:9" x14ac:dyDescent="0.25">
      <c r="A354" s="133">
        <v>45466</v>
      </c>
      <c r="B354" s="51" t="s">
        <v>53</v>
      </c>
      <c r="C354" s="134">
        <v>0.58333333333333337</v>
      </c>
      <c r="D354" s="134">
        <v>0.91666666666666663</v>
      </c>
      <c r="E354" s="53">
        <f t="shared" si="70"/>
        <v>7.4999999999999982</v>
      </c>
      <c r="F354" s="51">
        <v>0.5</v>
      </c>
      <c r="G354" s="53">
        <f t="shared" si="74"/>
        <v>7.4999999999999982</v>
      </c>
      <c r="H354" s="51"/>
      <c r="I354" s="51">
        <f t="shared" si="69"/>
        <v>7.4999999999999982</v>
      </c>
    </row>
    <row r="355" spans="1:9" x14ac:dyDescent="0.25">
      <c r="A355" s="133">
        <v>45467</v>
      </c>
      <c r="B355" s="51" t="s">
        <v>414</v>
      </c>
      <c r="C355" s="134">
        <v>0.33333333333333331</v>
      </c>
      <c r="D355" s="134">
        <v>0.58333333333333337</v>
      </c>
      <c r="E355" s="53">
        <f t="shared" si="70"/>
        <v>5.5000000000000018</v>
      </c>
      <c r="F355" s="51">
        <v>0.5</v>
      </c>
      <c r="G355" s="53"/>
      <c r="H355" s="53">
        <f>IF(WEEKDAY(A355, 2)&lt;6, E355-2, E355)</f>
        <v>3.5000000000000018</v>
      </c>
      <c r="I355" s="51">
        <f t="shared" si="69"/>
        <v>3.5000000000000018</v>
      </c>
    </row>
    <row r="356" spans="1:9" x14ac:dyDescent="0.25">
      <c r="A356" s="133">
        <v>45467</v>
      </c>
      <c r="B356" s="51" t="s">
        <v>47</v>
      </c>
      <c r="C356" s="134">
        <v>0.33333333333333331</v>
      </c>
      <c r="D356" s="134">
        <v>0.6875</v>
      </c>
      <c r="E356" s="53">
        <f t="shared" si="70"/>
        <v>8</v>
      </c>
      <c r="F356" s="51">
        <v>0.5</v>
      </c>
      <c r="G356" s="53">
        <f>IF(WEEKDAY(A356, 2)&lt;6, E356+2, E356)</f>
        <v>10</v>
      </c>
      <c r="H356" s="51"/>
      <c r="I356" s="51">
        <f t="shared" si="69"/>
        <v>10</v>
      </c>
    </row>
    <row r="357" spans="1:9" x14ac:dyDescent="0.25">
      <c r="A357" s="133">
        <v>45468</v>
      </c>
      <c r="B357" s="51" t="s">
        <v>414</v>
      </c>
      <c r="C357" s="134">
        <v>0.33333333333333331</v>
      </c>
      <c r="D357" s="134">
        <v>0.58333333333333337</v>
      </c>
      <c r="E357" s="53">
        <f t="shared" si="70"/>
        <v>5.5000000000000018</v>
      </c>
      <c r="F357" s="51">
        <v>0.5</v>
      </c>
      <c r="G357" s="53"/>
      <c r="H357" s="53">
        <f>IF(WEEKDAY(A357, 2)&lt;6, E357-2, E357)</f>
        <v>3.5000000000000018</v>
      </c>
      <c r="I357" s="51">
        <f t="shared" si="69"/>
        <v>3.5000000000000018</v>
      </c>
    </row>
    <row r="358" spans="1:9" x14ac:dyDescent="0.25">
      <c r="A358" s="133">
        <v>45468</v>
      </c>
      <c r="B358" s="51" t="s">
        <v>47</v>
      </c>
      <c r="C358" s="134">
        <v>0.33333333333333331</v>
      </c>
      <c r="D358" s="134">
        <v>0.6875</v>
      </c>
      <c r="E358" s="53">
        <f t="shared" si="70"/>
        <v>8</v>
      </c>
      <c r="F358" s="51">
        <v>0.5</v>
      </c>
      <c r="G358" s="53">
        <f>IF(WEEKDAY(A358, 2)&lt;6, E358+2, E358)</f>
        <v>10</v>
      </c>
      <c r="H358" s="51"/>
      <c r="I358" s="51">
        <f t="shared" si="69"/>
        <v>10</v>
      </c>
    </row>
    <row r="359" spans="1:9" x14ac:dyDescent="0.25">
      <c r="A359" s="133">
        <v>45469</v>
      </c>
      <c r="B359" s="51" t="s">
        <v>414</v>
      </c>
      <c r="C359" s="134">
        <v>0.33333333333333331</v>
      </c>
      <c r="D359" s="134">
        <v>0.58333333333333337</v>
      </c>
      <c r="E359" s="53">
        <f t="shared" si="70"/>
        <v>5.5000000000000018</v>
      </c>
      <c r="F359" s="51">
        <v>0.5</v>
      </c>
      <c r="G359" s="53"/>
      <c r="H359" s="53">
        <f>IF(WEEKDAY(A359, 2)&lt;6, E359-2, E359)</f>
        <v>3.5000000000000018</v>
      </c>
      <c r="I359" s="51">
        <f t="shared" si="69"/>
        <v>3.5000000000000018</v>
      </c>
    </row>
    <row r="360" spans="1:9" x14ac:dyDescent="0.25">
      <c r="A360" s="133">
        <v>45469</v>
      </c>
      <c r="B360" s="51" t="s">
        <v>47</v>
      </c>
      <c r="C360" s="134">
        <v>0.33333333333333331</v>
      </c>
      <c r="D360" s="134">
        <v>0.6875</v>
      </c>
      <c r="E360" s="53">
        <f t="shared" si="70"/>
        <v>8</v>
      </c>
      <c r="F360" s="51">
        <v>0.5</v>
      </c>
      <c r="G360" s="53">
        <f t="shared" ref="G360:G361" si="75">IF(WEEKDAY(A360, 2)&lt;6, E360+2, E360)</f>
        <v>10</v>
      </c>
      <c r="H360" s="51"/>
      <c r="I360" s="51">
        <f t="shared" si="69"/>
        <v>10</v>
      </c>
    </row>
    <row r="361" spans="1:9" x14ac:dyDescent="0.25">
      <c r="A361" s="133">
        <v>45469</v>
      </c>
      <c r="B361" s="51" t="s">
        <v>49</v>
      </c>
      <c r="C361" s="134">
        <v>0.66666666666666663</v>
      </c>
      <c r="D361" s="134">
        <v>0.89583333333333337</v>
      </c>
      <c r="E361" s="53">
        <f t="shared" si="70"/>
        <v>5.5000000000000018</v>
      </c>
      <c r="F361" s="51"/>
      <c r="G361" s="53">
        <f t="shared" si="75"/>
        <v>7.5000000000000018</v>
      </c>
      <c r="H361" s="51"/>
      <c r="I361" s="51">
        <f t="shared" si="69"/>
        <v>7.5000000000000018</v>
      </c>
    </row>
    <row r="362" spans="1:9" x14ac:dyDescent="0.25">
      <c r="A362" s="133">
        <v>45470</v>
      </c>
      <c r="B362" s="51" t="s">
        <v>414</v>
      </c>
      <c r="C362" s="134">
        <v>0.33333333333333331</v>
      </c>
      <c r="D362" s="134">
        <v>0.58333333333333337</v>
      </c>
      <c r="E362" s="53">
        <f t="shared" si="70"/>
        <v>5.5000000000000018</v>
      </c>
      <c r="F362" s="51">
        <v>0.5</v>
      </c>
      <c r="G362" s="53"/>
      <c r="H362" s="53">
        <f>IF(WEEKDAY(A362, 2)&lt;6, E362-2, E362)</f>
        <v>3.5000000000000018</v>
      </c>
      <c r="I362" s="51">
        <f t="shared" si="69"/>
        <v>3.5000000000000018</v>
      </c>
    </row>
    <row r="363" spans="1:9" x14ac:dyDescent="0.25">
      <c r="A363" s="133">
        <v>45470</v>
      </c>
      <c r="B363" s="51" t="s">
        <v>47</v>
      </c>
      <c r="C363" s="134">
        <v>0.5</v>
      </c>
      <c r="D363" s="134">
        <v>0.6875</v>
      </c>
      <c r="E363" s="53">
        <f t="shared" si="70"/>
        <v>4.5</v>
      </c>
      <c r="F363" s="51"/>
      <c r="G363" s="53">
        <f t="shared" ref="G363:G365" si="76">IF(WEEKDAY(A363, 2)&lt;6, E363+2, E363)</f>
        <v>6.5</v>
      </c>
      <c r="H363" s="51"/>
      <c r="I363" s="51">
        <f t="shared" si="69"/>
        <v>6.5</v>
      </c>
    </row>
    <row r="364" spans="1:9" x14ac:dyDescent="0.25">
      <c r="A364" s="133">
        <v>45470</v>
      </c>
      <c r="B364" s="51" t="s">
        <v>49</v>
      </c>
      <c r="C364" s="134">
        <v>0.75</v>
      </c>
      <c r="D364" s="134">
        <v>0.9375</v>
      </c>
      <c r="E364" s="53">
        <f t="shared" si="70"/>
        <v>4.5</v>
      </c>
      <c r="F364" s="51"/>
      <c r="G364" s="53">
        <f t="shared" si="76"/>
        <v>6.5</v>
      </c>
      <c r="H364" s="51"/>
      <c r="I364" s="51">
        <f t="shared" si="69"/>
        <v>6.5</v>
      </c>
    </row>
    <row r="365" spans="1:9" x14ac:dyDescent="0.25">
      <c r="A365" s="133">
        <v>45470</v>
      </c>
      <c r="B365" s="51" t="s">
        <v>56</v>
      </c>
      <c r="C365" s="134">
        <v>0.75</v>
      </c>
      <c r="D365" s="134">
        <v>0.95833333333333337</v>
      </c>
      <c r="E365" s="53">
        <f t="shared" si="70"/>
        <v>5.0000000000000009</v>
      </c>
      <c r="F365" s="51"/>
      <c r="G365" s="53">
        <f t="shared" si="76"/>
        <v>7.0000000000000009</v>
      </c>
      <c r="H365" s="53"/>
      <c r="I365" s="51">
        <f t="shared" si="69"/>
        <v>7.0000000000000009</v>
      </c>
    </row>
    <row r="366" spans="1:9" x14ac:dyDescent="0.25">
      <c r="A366" s="133">
        <v>45471</v>
      </c>
      <c r="B366" s="51" t="s">
        <v>414</v>
      </c>
      <c r="C366" s="134">
        <v>0.33333333333333331</v>
      </c>
      <c r="D366" s="134">
        <v>0.58333333333333337</v>
      </c>
      <c r="E366" s="53">
        <f t="shared" si="70"/>
        <v>5.5000000000000018</v>
      </c>
      <c r="F366" s="51">
        <v>0.5</v>
      </c>
      <c r="G366" s="53"/>
      <c r="H366" s="53">
        <f>IF(WEEKDAY(A366, 2)&lt;6, E366-2, E366)</f>
        <v>3.5000000000000018</v>
      </c>
      <c r="I366" s="51">
        <f t="shared" si="69"/>
        <v>3.5000000000000018</v>
      </c>
    </row>
    <row r="367" spans="1:9" x14ac:dyDescent="0.25">
      <c r="A367" s="133">
        <v>45471</v>
      </c>
      <c r="B367" s="51" t="s">
        <v>47</v>
      </c>
      <c r="C367" s="134">
        <v>0.5</v>
      </c>
      <c r="D367" s="134">
        <v>0.6875</v>
      </c>
      <c r="E367" s="53">
        <f t="shared" si="70"/>
        <v>4.5</v>
      </c>
      <c r="F367" s="51"/>
      <c r="G367" s="53">
        <f t="shared" ref="G367:G372" si="77">IF(WEEKDAY(A367, 2)&lt;6, E367+2, E367)</f>
        <v>6.5</v>
      </c>
      <c r="H367" s="51"/>
      <c r="I367" s="51">
        <f t="shared" si="69"/>
        <v>6.5</v>
      </c>
    </row>
    <row r="368" spans="1:9" x14ac:dyDescent="0.25">
      <c r="A368" s="133">
        <v>45472</v>
      </c>
      <c r="B368" s="51" t="s">
        <v>56</v>
      </c>
      <c r="C368" s="134">
        <v>0.33333333333333331</v>
      </c>
      <c r="D368" s="134">
        <v>0.52083333333333337</v>
      </c>
      <c r="E368" s="53">
        <f t="shared" si="70"/>
        <v>4.5000000000000018</v>
      </c>
      <c r="F368" s="51"/>
      <c r="G368" s="53">
        <f t="shared" si="77"/>
        <v>4.5000000000000018</v>
      </c>
      <c r="H368" s="53"/>
      <c r="I368" s="51">
        <f t="shared" si="69"/>
        <v>4.5000000000000018</v>
      </c>
    </row>
    <row r="369" spans="1:9" x14ac:dyDescent="0.25">
      <c r="A369" s="133">
        <v>45472</v>
      </c>
      <c r="B369" s="51" t="s">
        <v>49</v>
      </c>
      <c r="C369" s="134">
        <v>0.33333333333333331</v>
      </c>
      <c r="D369" s="134">
        <v>0</v>
      </c>
      <c r="E369" s="53">
        <f t="shared" si="70"/>
        <v>15</v>
      </c>
      <c r="F369" s="51">
        <v>1</v>
      </c>
      <c r="G369" s="53">
        <f t="shared" si="77"/>
        <v>15</v>
      </c>
      <c r="H369" s="51"/>
      <c r="I369" s="51">
        <f t="shared" si="69"/>
        <v>15</v>
      </c>
    </row>
    <row r="370" spans="1:9" x14ac:dyDescent="0.25">
      <c r="A370" s="133">
        <v>45472</v>
      </c>
      <c r="B370" s="51" t="s">
        <v>48</v>
      </c>
      <c r="C370" s="134">
        <v>0.35416666666666669</v>
      </c>
      <c r="D370" s="134">
        <v>0.6875</v>
      </c>
      <c r="E370" s="53">
        <f t="shared" si="70"/>
        <v>7.5</v>
      </c>
      <c r="F370" s="51">
        <v>0.5</v>
      </c>
      <c r="G370" s="53">
        <f t="shared" si="77"/>
        <v>7.5</v>
      </c>
      <c r="H370" s="51"/>
      <c r="I370" s="51">
        <f t="shared" si="69"/>
        <v>7.5</v>
      </c>
    </row>
    <row r="371" spans="1:9" x14ac:dyDescent="0.25">
      <c r="A371" s="133">
        <v>45472</v>
      </c>
      <c r="B371" s="51" t="s">
        <v>58</v>
      </c>
      <c r="C371" s="134">
        <v>0.54166666666666663</v>
      </c>
      <c r="D371" s="134">
        <v>0.83333333333333337</v>
      </c>
      <c r="E371" s="53">
        <f t="shared" si="70"/>
        <v>6.5000000000000018</v>
      </c>
      <c r="F371" s="51">
        <v>0.5</v>
      </c>
      <c r="G371" s="53">
        <f t="shared" si="77"/>
        <v>6.5000000000000018</v>
      </c>
      <c r="H371" s="51"/>
      <c r="I371" s="51">
        <f t="shared" si="69"/>
        <v>6.5000000000000018</v>
      </c>
    </row>
    <row r="372" spans="1:9" x14ac:dyDescent="0.25">
      <c r="A372" s="133">
        <v>45472</v>
      </c>
      <c r="B372" s="51" t="s">
        <v>46</v>
      </c>
      <c r="C372" s="134">
        <v>0.45833333333333331</v>
      </c>
      <c r="D372" s="134">
        <v>0.83333333333333337</v>
      </c>
      <c r="E372" s="53">
        <f t="shared" si="70"/>
        <v>8.0000000000000018</v>
      </c>
      <c r="F372" s="51">
        <v>1</v>
      </c>
      <c r="G372" s="53">
        <f t="shared" si="77"/>
        <v>8.0000000000000018</v>
      </c>
      <c r="H372" s="51"/>
      <c r="I372" s="51">
        <f t="shared" si="69"/>
        <v>8.0000000000000018</v>
      </c>
    </row>
    <row r="373" spans="1:9" x14ac:dyDescent="0.25">
      <c r="A373" s="133">
        <v>45474</v>
      </c>
      <c r="B373" s="51" t="s">
        <v>414</v>
      </c>
      <c r="C373" s="134">
        <v>0.33333333333333331</v>
      </c>
      <c r="D373" s="134">
        <v>0.58333333333333337</v>
      </c>
      <c r="E373" s="53">
        <f t="shared" si="70"/>
        <v>5.5000000000000018</v>
      </c>
      <c r="F373" s="51">
        <v>0.5</v>
      </c>
      <c r="G373" s="53"/>
      <c r="H373" s="53">
        <f t="shared" ref="H373:H374" si="78">IF(WEEKDAY(A373, 2)&lt;6, E373-2, E373)</f>
        <v>3.5000000000000018</v>
      </c>
      <c r="I373" s="51">
        <f t="shared" si="69"/>
        <v>3.5000000000000018</v>
      </c>
    </row>
    <row r="374" spans="1:9" x14ac:dyDescent="0.25">
      <c r="A374" s="133">
        <v>45475</v>
      </c>
      <c r="B374" s="51" t="s">
        <v>414</v>
      </c>
      <c r="C374" s="134">
        <v>0.33333333333333331</v>
      </c>
      <c r="D374" s="134">
        <v>0.58333333333333337</v>
      </c>
      <c r="E374" s="53">
        <f t="shared" si="70"/>
        <v>5.5000000000000018</v>
      </c>
      <c r="F374" s="51">
        <v>0.5</v>
      </c>
      <c r="G374" s="53"/>
      <c r="H374" s="53">
        <f t="shared" si="78"/>
        <v>3.5000000000000018</v>
      </c>
      <c r="I374" s="51">
        <f t="shared" si="69"/>
        <v>3.5000000000000018</v>
      </c>
    </row>
    <row r="375" spans="1:9" x14ac:dyDescent="0.25">
      <c r="A375" s="133">
        <v>45476</v>
      </c>
      <c r="B375" s="51" t="s">
        <v>49</v>
      </c>
      <c r="C375" s="134">
        <v>0.66666666666666663</v>
      </c>
      <c r="D375" s="134">
        <v>0.89583333333333337</v>
      </c>
      <c r="E375" s="53">
        <f t="shared" si="70"/>
        <v>5.0000000000000018</v>
      </c>
      <c r="F375" s="51">
        <v>0.5</v>
      </c>
      <c r="G375" s="53">
        <f>IF(WEEKDAY(A375, 2)&lt;6, E375+2, E375)</f>
        <v>7.0000000000000018</v>
      </c>
      <c r="H375" s="51"/>
      <c r="I375" s="51">
        <f t="shared" si="69"/>
        <v>7.0000000000000018</v>
      </c>
    </row>
    <row r="376" spans="1:9" x14ac:dyDescent="0.25">
      <c r="A376" s="133">
        <v>45476</v>
      </c>
      <c r="B376" s="51" t="s">
        <v>414</v>
      </c>
      <c r="C376" s="134">
        <v>0.33333333333333331</v>
      </c>
      <c r="D376" s="134">
        <v>0.58333333333333337</v>
      </c>
      <c r="E376" s="53">
        <f t="shared" si="70"/>
        <v>5.5000000000000018</v>
      </c>
      <c r="F376" s="51">
        <v>0.5</v>
      </c>
      <c r="G376" s="53"/>
      <c r="H376" s="53">
        <f t="shared" ref="H376:H377" si="79">IF(WEEKDAY(A376, 2)&lt;6, E376-2, E376)</f>
        <v>3.5000000000000018</v>
      </c>
      <c r="I376" s="51">
        <f t="shared" si="69"/>
        <v>3.5000000000000018</v>
      </c>
    </row>
    <row r="377" spans="1:9" x14ac:dyDescent="0.25">
      <c r="A377" s="133">
        <v>45478</v>
      </c>
      <c r="B377" s="51" t="s">
        <v>414</v>
      </c>
      <c r="C377" s="134">
        <v>0.33333333333333331</v>
      </c>
      <c r="D377" s="134">
        <v>0.58333333333333337</v>
      </c>
      <c r="E377" s="53">
        <f t="shared" si="70"/>
        <v>5.5000000000000018</v>
      </c>
      <c r="F377" s="51">
        <v>0.5</v>
      </c>
      <c r="G377" s="53"/>
      <c r="H377" s="53">
        <f t="shared" si="79"/>
        <v>3.5000000000000018</v>
      </c>
      <c r="I377" s="51">
        <f t="shared" si="69"/>
        <v>3.5000000000000018</v>
      </c>
    </row>
    <row r="378" spans="1:9" x14ac:dyDescent="0.25">
      <c r="A378" s="133">
        <v>45479</v>
      </c>
      <c r="B378" s="51" t="s">
        <v>53</v>
      </c>
      <c r="C378" s="134">
        <v>0.54166666666666663</v>
      </c>
      <c r="D378" s="134">
        <v>0.75</v>
      </c>
      <c r="E378" s="53">
        <f t="shared" si="70"/>
        <v>5.0000000000000009</v>
      </c>
      <c r="F378" s="51"/>
      <c r="G378" s="53">
        <f t="shared" ref="G378:G383" si="80">IF(WEEKDAY(A378, 2)&lt;6, E378+2, E378)</f>
        <v>5.0000000000000009</v>
      </c>
      <c r="H378" s="51"/>
      <c r="I378" s="51">
        <f t="shared" si="69"/>
        <v>5.0000000000000009</v>
      </c>
    </row>
    <row r="379" spans="1:9" x14ac:dyDescent="0.25">
      <c r="A379" s="133">
        <v>45479</v>
      </c>
      <c r="B379" s="51" t="s">
        <v>49</v>
      </c>
      <c r="C379" s="134">
        <v>0.32291666666666669</v>
      </c>
      <c r="D379" s="134">
        <v>0.54166666666666663</v>
      </c>
      <c r="E379" s="53">
        <f t="shared" si="70"/>
        <v>4.7499999999999982</v>
      </c>
      <c r="F379" s="51">
        <v>0.5</v>
      </c>
      <c r="G379" s="53">
        <f t="shared" si="80"/>
        <v>4.7499999999999982</v>
      </c>
      <c r="H379" s="51"/>
      <c r="I379" s="51">
        <f t="shared" si="69"/>
        <v>4.7499999999999982</v>
      </c>
    </row>
    <row r="380" spans="1:9" x14ac:dyDescent="0.25">
      <c r="A380" s="133">
        <v>45479</v>
      </c>
      <c r="B380" s="51" t="s">
        <v>56</v>
      </c>
      <c r="C380" s="134">
        <v>0.33333333333333331</v>
      </c>
      <c r="D380" s="134">
        <v>0.54166666666666663</v>
      </c>
      <c r="E380" s="53">
        <f t="shared" si="70"/>
        <v>5</v>
      </c>
      <c r="F380" s="51"/>
      <c r="G380" s="53">
        <f t="shared" si="80"/>
        <v>5</v>
      </c>
      <c r="H380" s="53"/>
      <c r="I380" s="51">
        <f t="shared" si="69"/>
        <v>5</v>
      </c>
    </row>
    <row r="381" spans="1:9" x14ac:dyDescent="0.25">
      <c r="A381" s="133">
        <v>45479</v>
      </c>
      <c r="B381" s="51" t="s">
        <v>53</v>
      </c>
      <c r="C381" s="134">
        <v>0.75</v>
      </c>
      <c r="D381" s="134">
        <v>0.9375</v>
      </c>
      <c r="E381" s="53">
        <f t="shared" si="70"/>
        <v>4.5</v>
      </c>
      <c r="F381" s="51"/>
      <c r="G381" s="53">
        <f t="shared" si="80"/>
        <v>4.5</v>
      </c>
      <c r="H381" s="51"/>
      <c r="I381" s="51">
        <f t="shared" si="69"/>
        <v>4.5</v>
      </c>
    </row>
    <row r="382" spans="1:9" x14ac:dyDescent="0.25">
      <c r="A382" s="133">
        <v>45479</v>
      </c>
      <c r="B382" s="51" t="s">
        <v>58</v>
      </c>
      <c r="C382" s="134">
        <v>0.72916666666666663</v>
      </c>
      <c r="D382" s="134">
        <v>0.97916666666666663</v>
      </c>
      <c r="E382" s="53">
        <f t="shared" si="70"/>
        <v>5.5</v>
      </c>
      <c r="F382" s="51">
        <v>0.5</v>
      </c>
      <c r="G382" s="53">
        <f t="shared" si="80"/>
        <v>5.5</v>
      </c>
      <c r="H382" s="51"/>
      <c r="I382" s="51">
        <f t="shared" si="69"/>
        <v>5.5</v>
      </c>
    </row>
    <row r="383" spans="1:9" x14ac:dyDescent="0.25">
      <c r="A383" s="133">
        <v>45480</v>
      </c>
      <c r="B383" s="51" t="s">
        <v>58</v>
      </c>
      <c r="C383" s="134">
        <v>0.5</v>
      </c>
      <c r="D383" s="134">
        <v>0.75</v>
      </c>
      <c r="E383" s="53">
        <f t="shared" si="70"/>
        <v>5.5</v>
      </c>
      <c r="F383" s="51">
        <v>0.5</v>
      </c>
      <c r="G383" s="53">
        <f t="shared" si="80"/>
        <v>5.5</v>
      </c>
      <c r="H383" s="51"/>
      <c r="I383" s="51">
        <f t="shared" si="69"/>
        <v>5.5</v>
      </c>
    </row>
    <row r="384" spans="1:9" x14ac:dyDescent="0.25">
      <c r="A384" s="133">
        <v>45481</v>
      </c>
      <c r="B384" s="51" t="s">
        <v>414</v>
      </c>
      <c r="C384" s="134">
        <v>0.33333333333333331</v>
      </c>
      <c r="D384" s="134">
        <v>0.58333333333333337</v>
      </c>
      <c r="E384" s="53">
        <f t="shared" si="70"/>
        <v>5.5000000000000018</v>
      </c>
      <c r="F384" s="51">
        <v>0.5</v>
      </c>
      <c r="G384" s="53"/>
      <c r="H384" s="53">
        <f>IF(WEEKDAY(A384, 2)&lt;6, E384-2, E384)</f>
        <v>3.5000000000000018</v>
      </c>
      <c r="I384" s="51">
        <f t="shared" si="69"/>
        <v>3.5000000000000018</v>
      </c>
    </row>
    <row r="385" spans="1:9" x14ac:dyDescent="0.25">
      <c r="A385" s="133">
        <v>45481</v>
      </c>
      <c r="B385" s="51" t="s">
        <v>49</v>
      </c>
      <c r="C385" s="134">
        <v>0.33333333333333331</v>
      </c>
      <c r="D385" s="134">
        <v>0.5</v>
      </c>
      <c r="E385" s="53">
        <f t="shared" si="70"/>
        <v>4</v>
      </c>
      <c r="F385" s="51"/>
      <c r="G385" s="53">
        <f t="shared" ref="G385:G386" si="81">IF(WEEKDAY(A385, 2)&lt;6, E385+2, E385)</f>
        <v>6</v>
      </c>
      <c r="H385" s="51"/>
      <c r="I385" s="51">
        <f t="shared" si="69"/>
        <v>6</v>
      </c>
    </row>
    <row r="386" spans="1:9" x14ac:dyDescent="0.25">
      <c r="A386" s="133">
        <v>45481</v>
      </c>
      <c r="B386" s="51" t="s">
        <v>47</v>
      </c>
      <c r="C386" s="134">
        <v>0.33333333333333331</v>
      </c>
      <c r="D386" s="134">
        <v>0.6875</v>
      </c>
      <c r="E386" s="53">
        <f t="shared" si="70"/>
        <v>8</v>
      </c>
      <c r="F386" s="51">
        <v>0.5</v>
      </c>
      <c r="G386" s="53">
        <f t="shared" si="81"/>
        <v>10</v>
      </c>
      <c r="H386" s="51"/>
      <c r="I386" s="51">
        <f t="shared" ref="I386:I449" si="82">IF(G386&lt;&gt;"",G386,H386)</f>
        <v>10</v>
      </c>
    </row>
    <row r="387" spans="1:9" x14ac:dyDescent="0.25">
      <c r="A387" s="133">
        <v>45482</v>
      </c>
      <c r="B387" s="51" t="s">
        <v>414</v>
      </c>
      <c r="C387" s="134">
        <v>0.33333333333333331</v>
      </c>
      <c r="D387" s="134">
        <v>0.58333333333333337</v>
      </c>
      <c r="E387" s="53">
        <f t="shared" ref="E387:E450" si="83">MOD((D387-C387),1) *24 - F387</f>
        <v>5.5000000000000018</v>
      </c>
      <c r="F387" s="51">
        <v>0.5</v>
      </c>
      <c r="G387" s="53"/>
      <c r="H387" s="53">
        <f>IF(WEEKDAY(A387, 2)&lt;6, E387-2, E387)</f>
        <v>3.5000000000000018</v>
      </c>
      <c r="I387" s="51">
        <f t="shared" si="82"/>
        <v>3.5000000000000018</v>
      </c>
    </row>
    <row r="388" spans="1:9" x14ac:dyDescent="0.25">
      <c r="A388" s="133">
        <v>45483</v>
      </c>
      <c r="B388" s="51" t="s">
        <v>49</v>
      </c>
      <c r="C388" s="134">
        <v>0.66666666666666663</v>
      </c>
      <c r="D388" s="134">
        <v>0.89583333333333337</v>
      </c>
      <c r="E388" s="53">
        <f t="shared" si="83"/>
        <v>5.0000000000000018</v>
      </c>
      <c r="F388" s="51">
        <v>0.5</v>
      </c>
      <c r="G388" s="53">
        <f>IF(WEEKDAY(A388, 2)&lt;6, E388+2, E388)</f>
        <v>7.0000000000000018</v>
      </c>
      <c r="H388" s="51"/>
      <c r="I388" s="51">
        <f t="shared" si="82"/>
        <v>7.0000000000000018</v>
      </c>
    </row>
    <row r="389" spans="1:9" x14ac:dyDescent="0.25">
      <c r="A389" s="133">
        <v>45483</v>
      </c>
      <c r="B389" s="51" t="s">
        <v>414</v>
      </c>
      <c r="C389" s="134">
        <v>0.33333333333333331</v>
      </c>
      <c r="D389" s="134">
        <v>0.58333333333333337</v>
      </c>
      <c r="E389" s="53">
        <f t="shared" si="83"/>
        <v>5.5000000000000018</v>
      </c>
      <c r="F389" s="51">
        <v>0.5</v>
      </c>
      <c r="G389" s="53"/>
      <c r="H389" s="53">
        <f t="shared" ref="H389:H390" si="84">IF(WEEKDAY(A389, 2)&lt;6, E389-2, E389)</f>
        <v>3.5000000000000018</v>
      </c>
      <c r="I389" s="51">
        <f t="shared" si="82"/>
        <v>3.5000000000000018</v>
      </c>
    </row>
    <row r="390" spans="1:9" x14ac:dyDescent="0.25">
      <c r="A390" s="133">
        <v>45484</v>
      </c>
      <c r="B390" s="51" t="s">
        <v>414</v>
      </c>
      <c r="C390" s="134">
        <v>0.33333333333333331</v>
      </c>
      <c r="D390" s="134">
        <v>0.58333333333333337</v>
      </c>
      <c r="E390" s="53">
        <f t="shared" si="83"/>
        <v>5.5000000000000018</v>
      </c>
      <c r="F390" s="51">
        <v>0.5</v>
      </c>
      <c r="G390" s="53"/>
      <c r="H390" s="53">
        <f t="shared" si="84"/>
        <v>3.5000000000000018</v>
      </c>
      <c r="I390" s="51">
        <f t="shared" si="82"/>
        <v>3.5000000000000018</v>
      </c>
    </row>
    <row r="391" spans="1:9" x14ac:dyDescent="0.25">
      <c r="A391" s="133">
        <v>45484</v>
      </c>
      <c r="B391" s="51" t="s">
        <v>56</v>
      </c>
      <c r="C391" s="134">
        <v>0.75</v>
      </c>
      <c r="D391" s="134">
        <v>0.95833333333333337</v>
      </c>
      <c r="E391" s="53">
        <f t="shared" si="83"/>
        <v>5.0000000000000009</v>
      </c>
      <c r="F391" s="51"/>
      <c r="G391" s="53">
        <f>IF(WEEKDAY(A391, 2)&lt;6, E391+2, E391)</f>
        <v>7.0000000000000009</v>
      </c>
      <c r="H391" s="53"/>
      <c r="I391" s="51">
        <f t="shared" si="82"/>
        <v>7.0000000000000009</v>
      </c>
    </row>
    <row r="392" spans="1:9" x14ac:dyDescent="0.25">
      <c r="A392" s="133">
        <v>45485</v>
      </c>
      <c r="B392" s="51" t="s">
        <v>414</v>
      </c>
      <c r="C392" s="134">
        <v>0.33333333333333331</v>
      </c>
      <c r="D392" s="134">
        <v>0.58333333333333337</v>
      </c>
      <c r="E392" s="53">
        <f t="shared" si="83"/>
        <v>5.5000000000000018</v>
      </c>
      <c r="F392" s="51">
        <v>0.5</v>
      </c>
      <c r="G392" s="53"/>
      <c r="H392" s="53">
        <f>IF(WEEKDAY(A392, 2)&lt;6, E392-2, E392)</f>
        <v>3.5000000000000018</v>
      </c>
      <c r="I392" s="51">
        <f t="shared" si="82"/>
        <v>3.5000000000000018</v>
      </c>
    </row>
    <row r="393" spans="1:9" x14ac:dyDescent="0.25">
      <c r="A393" s="133">
        <v>45486</v>
      </c>
      <c r="B393" s="51" t="s">
        <v>48</v>
      </c>
      <c r="C393" s="134">
        <v>0.54166666666666663</v>
      </c>
      <c r="D393" s="134">
        <v>0.875</v>
      </c>
      <c r="E393" s="53">
        <f t="shared" si="83"/>
        <v>7.5</v>
      </c>
      <c r="F393" s="51">
        <v>0.5</v>
      </c>
      <c r="G393" s="53">
        <f t="shared" ref="G393:G402" si="85">IF(WEEKDAY(A393, 2)&lt;6, E393+2, E393)</f>
        <v>7.5</v>
      </c>
      <c r="H393" s="51"/>
      <c r="I393" s="51">
        <f t="shared" si="82"/>
        <v>7.5</v>
      </c>
    </row>
    <row r="394" spans="1:9" x14ac:dyDescent="0.25">
      <c r="A394" s="133">
        <v>45486</v>
      </c>
      <c r="B394" s="51" t="s">
        <v>49</v>
      </c>
      <c r="C394" s="134">
        <v>0.32291666666666669</v>
      </c>
      <c r="D394" s="134">
        <v>0.64583333333333337</v>
      </c>
      <c r="E394" s="53">
        <f t="shared" si="83"/>
        <v>7.25</v>
      </c>
      <c r="F394" s="51">
        <v>0.5</v>
      </c>
      <c r="G394" s="53">
        <f t="shared" si="85"/>
        <v>7.25</v>
      </c>
      <c r="H394" s="51"/>
      <c r="I394" s="51">
        <f t="shared" si="82"/>
        <v>7.25</v>
      </c>
    </row>
    <row r="395" spans="1:9" x14ac:dyDescent="0.25">
      <c r="A395" s="133">
        <v>45486</v>
      </c>
      <c r="B395" s="51" t="s">
        <v>56</v>
      </c>
      <c r="C395" s="134">
        <v>0.33333333333333331</v>
      </c>
      <c r="D395" s="134">
        <v>0.54166666666666663</v>
      </c>
      <c r="E395" s="53">
        <f t="shared" si="83"/>
        <v>5</v>
      </c>
      <c r="F395" s="51"/>
      <c r="G395" s="53">
        <f t="shared" si="85"/>
        <v>5</v>
      </c>
      <c r="H395" s="53"/>
      <c r="I395" s="51">
        <f t="shared" si="82"/>
        <v>5</v>
      </c>
    </row>
    <row r="396" spans="1:9" x14ac:dyDescent="0.25">
      <c r="A396" s="133">
        <v>45486</v>
      </c>
      <c r="B396" s="51" t="s">
        <v>53</v>
      </c>
      <c r="C396" s="134">
        <v>0.625</v>
      </c>
      <c r="D396" s="134">
        <v>0.79166666666666663</v>
      </c>
      <c r="E396" s="53">
        <f t="shared" si="83"/>
        <v>3.9999999999999991</v>
      </c>
      <c r="F396" s="51"/>
      <c r="G396" s="53">
        <f t="shared" si="85"/>
        <v>3.9999999999999991</v>
      </c>
      <c r="H396" s="51"/>
      <c r="I396" s="51">
        <f t="shared" si="82"/>
        <v>3.9999999999999991</v>
      </c>
    </row>
    <row r="397" spans="1:9" x14ac:dyDescent="0.25">
      <c r="A397" s="133">
        <v>45486</v>
      </c>
      <c r="B397" s="51" t="s">
        <v>53</v>
      </c>
      <c r="C397" s="134">
        <v>0.79166666666666663</v>
      </c>
      <c r="D397" s="134">
        <v>0</v>
      </c>
      <c r="E397" s="53">
        <f t="shared" si="83"/>
        <v>5.0000000000000009</v>
      </c>
      <c r="F397" s="51"/>
      <c r="G397" s="53">
        <f t="shared" si="85"/>
        <v>5.0000000000000009</v>
      </c>
      <c r="H397" s="51"/>
      <c r="I397" s="51">
        <f t="shared" si="82"/>
        <v>5.0000000000000009</v>
      </c>
    </row>
    <row r="398" spans="1:9" x14ac:dyDescent="0.25">
      <c r="A398" s="133">
        <v>45486</v>
      </c>
      <c r="B398" s="51" t="s">
        <v>46</v>
      </c>
      <c r="C398" s="134">
        <v>0.625</v>
      </c>
      <c r="D398" s="134">
        <v>0.91666666666666663</v>
      </c>
      <c r="E398" s="53">
        <f t="shared" si="83"/>
        <v>6.4999999999999991</v>
      </c>
      <c r="F398" s="51">
        <v>0.5</v>
      </c>
      <c r="G398" s="53">
        <f t="shared" si="85"/>
        <v>6.4999999999999991</v>
      </c>
      <c r="H398" s="51"/>
      <c r="I398" s="51">
        <f t="shared" si="82"/>
        <v>6.4999999999999991</v>
      </c>
    </row>
    <row r="399" spans="1:9" x14ac:dyDescent="0.25">
      <c r="A399" s="133">
        <v>45486</v>
      </c>
      <c r="B399" s="51" t="s">
        <v>58</v>
      </c>
      <c r="C399" s="134">
        <v>0.54166666666666663</v>
      </c>
      <c r="D399" s="134">
        <v>0.875</v>
      </c>
      <c r="E399" s="53">
        <f t="shared" si="83"/>
        <v>7.5</v>
      </c>
      <c r="F399" s="51">
        <v>0.5</v>
      </c>
      <c r="G399" s="53">
        <f t="shared" si="85"/>
        <v>7.5</v>
      </c>
      <c r="H399" s="51"/>
      <c r="I399" s="51">
        <f t="shared" si="82"/>
        <v>7.5</v>
      </c>
    </row>
    <row r="400" spans="1:9" x14ac:dyDescent="0.25">
      <c r="A400" s="133">
        <v>45487</v>
      </c>
      <c r="B400" s="51" t="s">
        <v>53</v>
      </c>
      <c r="C400" s="134">
        <v>0.29166666666666669</v>
      </c>
      <c r="D400" s="134">
        <v>0.45833333333333331</v>
      </c>
      <c r="E400" s="53">
        <f t="shared" si="83"/>
        <v>3.9999999999999991</v>
      </c>
      <c r="F400" s="51"/>
      <c r="G400" s="53">
        <f t="shared" si="85"/>
        <v>3.9999999999999991</v>
      </c>
      <c r="H400" s="51"/>
      <c r="I400" s="51">
        <f t="shared" si="82"/>
        <v>3.9999999999999991</v>
      </c>
    </row>
    <row r="401" spans="1:9" x14ac:dyDescent="0.25">
      <c r="A401" s="133">
        <v>45487</v>
      </c>
      <c r="B401" s="51" t="s">
        <v>53</v>
      </c>
      <c r="C401" s="134">
        <v>0.45833333333333331</v>
      </c>
      <c r="D401" s="134">
        <v>0.75</v>
      </c>
      <c r="E401" s="53">
        <f t="shared" si="83"/>
        <v>6.5</v>
      </c>
      <c r="F401" s="51">
        <v>0.5</v>
      </c>
      <c r="G401" s="53">
        <f t="shared" si="85"/>
        <v>6.5</v>
      </c>
      <c r="H401" s="51"/>
      <c r="I401" s="51">
        <f t="shared" si="82"/>
        <v>6.5</v>
      </c>
    </row>
    <row r="402" spans="1:9" x14ac:dyDescent="0.25">
      <c r="A402" s="133">
        <v>45487</v>
      </c>
      <c r="B402" s="51" t="s">
        <v>46</v>
      </c>
      <c r="C402" s="134">
        <v>0.29166666666666669</v>
      </c>
      <c r="D402" s="134">
        <v>0.66666666666666663</v>
      </c>
      <c r="E402" s="53">
        <f t="shared" si="83"/>
        <v>7.9999999999999982</v>
      </c>
      <c r="F402" s="51">
        <v>1</v>
      </c>
      <c r="G402" s="53">
        <f t="shared" si="85"/>
        <v>7.9999999999999982</v>
      </c>
      <c r="H402" s="51"/>
      <c r="I402" s="51">
        <f t="shared" si="82"/>
        <v>7.9999999999999982</v>
      </c>
    </row>
    <row r="403" spans="1:9" x14ac:dyDescent="0.25">
      <c r="A403" s="133">
        <v>45488</v>
      </c>
      <c r="B403" s="51" t="s">
        <v>414</v>
      </c>
      <c r="C403" s="134">
        <v>0.33333333333333331</v>
      </c>
      <c r="D403" s="134">
        <v>0.58333333333333337</v>
      </c>
      <c r="E403" s="53">
        <f t="shared" si="83"/>
        <v>5.5000000000000018</v>
      </c>
      <c r="F403" s="51">
        <v>0.5</v>
      </c>
      <c r="G403" s="53"/>
      <c r="H403" s="53">
        <f>IF(WEEKDAY(A403, 2)&lt;6, E403-2, E403)</f>
        <v>3.5000000000000018</v>
      </c>
      <c r="I403" s="51">
        <f t="shared" si="82"/>
        <v>3.5000000000000018</v>
      </c>
    </row>
    <row r="404" spans="1:9" x14ac:dyDescent="0.25">
      <c r="A404" s="133">
        <v>45489</v>
      </c>
      <c r="B404" s="51" t="s">
        <v>58</v>
      </c>
      <c r="C404" s="134">
        <v>0.70833333333333337</v>
      </c>
      <c r="D404" s="134">
        <v>0.91666666666666663</v>
      </c>
      <c r="E404" s="53">
        <f t="shared" si="83"/>
        <v>4.9999999999999982</v>
      </c>
      <c r="F404" s="51"/>
      <c r="G404" s="53">
        <f>IF(WEEKDAY(A404, 2)&lt;6, E404+2, E404)</f>
        <v>6.9999999999999982</v>
      </c>
      <c r="H404" s="51"/>
      <c r="I404" s="51">
        <f t="shared" si="82"/>
        <v>6.9999999999999982</v>
      </c>
    </row>
    <row r="405" spans="1:9" x14ac:dyDescent="0.25">
      <c r="A405" s="133">
        <v>45489</v>
      </c>
      <c r="B405" s="51" t="s">
        <v>414</v>
      </c>
      <c r="C405" s="134">
        <v>0.33333333333333331</v>
      </c>
      <c r="D405" s="134">
        <v>0.58333333333333337</v>
      </c>
      <c r="E405" s="53">
        <f t="shared" si="83"/>
        <v>5.5000000000000018</v>
      </c>
      <c r="F405" s="51">
        <v>0.5</v>
      </c>
      <c r="G405" s="53"/>
      <c r="H405" s="53">
        <f t="shared" ref="H405:H406" si="86">IF(WEEKDAY(A405, 2)&lt;6, E405-2, E405)</f>
        <v>3.5000000000000018</v>
      </c>
      <c r="I405" s="51">
        <f t="shared" si="82"/>
        <v>3.5000000000000018</v>
      </c>
    </row>
    <row r="406" spans="1:9" x14ac:dyDescent="0.25">
      <c r="A406" s="133">
        <v>45490</v>
      </c>
      <c r="B406" s="51" t="s">
        <v>414</v>
      </c>
      <c r="C406" s="134">
        <v>0.33333333333333331</v>
      </c>
      <c r="D406" s="134">
        <v>0.58333333333333337</v>
      </c>
      <c r="E406" s="53">
        <f t="shared" si="83"/>
        <v>5.5000000000000018</v>
      </c>
      <c r="F406" s="51">
        <v>0.5</v>
      </c>
      <c r="G406" s="53"/>
      <c r="H406" s="53">
        <f t="shared" si="86"/>
        <v>3.5000000000000018</v>
      </c>
      <c r="I406" s="51">
        <f t="shared" si="82"/>
        <v>3.5000000000000018</v>
      </c>
    </row>
    <row r="407" spans="1:9" x14ac:dyDescent="0.25">
      <c r="A407" s="133">
        <v>45490</v>
      </c>
      <c r="B407" s="51" t="s">
        <v>58</v>
      </c>
      <c r="C407" s="134">
        <v>0.70833333333333337</v>
      </c>
      <c r="D407" s="134">
        <v>0.875</v>
      </c>
      <c r="E407" s="53">
        <f t="shared" si="83"/>
        <v>3.9999999999999991</v>
      </c>
      <c r="F407" s="51"/>
      <c r="G407" s="53">
        <f t="shared" ref="G407:G409" si="87">IF(WEEKDAY(A407, 2)&lt;6, E407+2, E407)</f>
        <v>5.9999999999999991</v>
      </c>
      <c r="H407" s="51"/>
      <c r="I407" s="51">
        <f t="shared" si="82"/>
        <v>5.9999999999999991</v>
      </c>
    </row>
    <row r="408" spans="1:9" x14ac:dyDescent="0.25">
      <c r="A408" s="133">
        <v>45490</v>
      </c>
      <c r="B408" s="51" t="s">
        <v>49</v>
      </c>
      <c r="C408" s="134">
        <v>0.66666666666666663</v>
      </c>
      <c r="D408" s="134">
        <v>0.89583333333333337</v>
      </c>
      <c r="E408" s="53">
        <f t="shared" si="83"/>
        <v>5.0000000000000018</v>
      </c>
      <c r="F408" s="51">
        <v>0.5</v>
      </c>
      <c r="G408" s="53">
        <f t="shared" si="87"/>
        <v>7.0000000000000018</v>
      </c>
      <c r="H408" s="51"/>
      <c r="I408" s="51">
        <f t="shared" si="82"/>
        <v>7.0000000000000018</v>
      </c>
    </row>
    <row r="409" spans="1:9" x14ac:dyDescent="0.25">
      <c r="A409" s="133">
        <v>45491</v>
      </c>
      <c r="B409" s="51" t="s">
        <v>56</v>
      </c>
      <c r="C409" s="134">
        <v>0.75</v>
      </c>
      <c r="D409" s="134">
        <v>0.95833333333333337</v>
      </c>
      <c r="E409" s="53">
        <f t="shared" si="83"/>
        <v>5.0000000000000009</v>
      </c>
      <c r="F409" s="51"/>
      <c r="G409" s="53">
        <f t="shared" si="87"/>
        <v>7.0000000000000009</v>
      </c>
      <c r="H409" s="53"/>
      <c r="I409" s="51">
        <f t="shared" si="82"/>
        <v>7.0000000000000009</v>
      </c>
    </row>
    <row r="410" spans="1:9" x14ac:dyDescent="0.25">
      <c r="A410" s="133">
        <v>45491</v>
      </c>
      <c r="B410" s="51" t="s">
        <v>414</v>
      </c>
      <c r="C410" s="134">
        <v>0.33333333333333331</v>
      </c>
      <c r="D410" s="134">
        <v>0.58333333333333337</v>
      </c>
      <c r="E410" s="53">
        <f t="shared" si="83"/>
        <v>5.5000000000000018</v>
      </c>
      <c r="F410" s="51">
        <v>0.5</v>
      </c>
      <c r="G410" s="53"/>
      <c r="H410" s="53">
        <f t="shared" ref="H410:H411" si="88">IF(WEEKDAY(A410, 2)&lt;6, E410-2, E410)</f>
        <v>3.5000000000000018</v>
      </c>
      <c r="I410" s="51">
        <f t="shared" si="82"/>
        <v>3.5000000000000018</v>
      </c>
    </row>
    <row r="411" spans="1:9" x14ac:dyDescent="0.25">
      <c r="A411" s="133">
        <v>45492</v>
      </c>
      <c r="B411" s="51" t="s">
        <v>414</v>
      </c>
      <c r="C411" s="134">
        <v>0.33333333333333331</v>
      </c>
      <c r="D411" s="134">
        <v>0.58333333333333337</v>
      </c>
      <c r="E411" s="53">
        <f t="shared" si="83"/>
        <v>5.5000000000000018</v>
      </c>
      <c r="F411" s="51">
        <v>0.5</v>
      </c>
      <c r="G411" s="53"/>
      <c r="H411" s="53">
        <f t="shared" si="88"/>
        <v>3.5000000000000018</v>
      </c>
      <c r="I411" s="51">
        <f t="shared" si="82"/>
        <v>3.5000000000000018</v>
      </c>
    </row>
    <row r="412" spans="1:9" x14ac:dyDescent="0.25">
      <c r="A412" s="133">
        <v>45492</v>
      </c>
      <c r="B412" s="51" t="s">
        <v>58</v>
      </c>
      <c r="C412" s="134">
        <v>0.66666666666666663</v>
      </c>
      <c r="D412" s="134">
        <v>0.95833333333333337</v>
      </c>
      <c r="E412" s="53">
        <f t="shared" si="83"/>
        <v>6.5000000000000018</v>
      </c>
      <c r="F412" s="51">
        <v>0.5</v>
      </c>
      <c r="G412" s="53">
        <f t="shared" ref="G412:G420" si="89">IF(WEEKDAY(A412, 2)&lt;6, E412+2, E412)</f>
        <v>8.5000000000000018</v>
      </c>
      <c r="H412" s="51"/>
      <c r="I412" s="51">
        <f t="shared" si="82"/>
        <v>8.5000000000000018</v>
      </c>
    </row>
    <row r="413" spans="1:9" x14ac:dyDescent="0.25">
      <c r="A413" s="133">
        <v>45493</v>
      </c>
      <c r="B413" s="51" t="s">
        <v>49</v>
      </c>
      <c r="C413" s="134">
        <v>0.28125</v>
      </c>
      <c r="D413" s="134">
        <v>0.60416666666666663</v>
      </c>
      <c r="E413" s="53">
        <f t="shared" si="83"/>
        <v>7.2499999999999991</v>
      </c>
      <c r="F413" s="51">
        <v>0.5</v>
      </c>
      <c r="G413" s="53">
        <f t="shared" si="89"/>
        <v>7.2499999999999991</v>
      </c>
      <c r="H413" s="51"/>
      <c r="I413" s="51">
        <f t="shared" si="82"/>
        <v>7.2499999999999991</v>
      </c>
    </row>
    <row r="414" spans="1:9" x14ac:dyDescent="0.25">
      <c r="A414" s="133">
        <v>45493</v>
      </c>
      <c r="B414" s="51" t="s">
        <v>56</v>
      </c>
      <c r="C414" s="134">
        <v>0.33333333333333331</v>
      </c>
      <c r="D414" s="134">
        <v>0.54166666666666663</v>
      </c>
      <c r="E414" s="53">
        <f t="shared" si="83"/>
        <v>5</v>
      </c>
      <c r="F414" s="51"/>
      <c r="G414" s="53">
        <f t="shared" si="89"/>
        <v>5</v>
      </c>
      <c r="H414" s="53"/>
      <c r="I414" s="51">
        <f t="shared" si="82"/>
        <v>5</v>
      </c>
    </row>
    <row r="415" spans="1:9" x14ac:dyDescent="0.25">
      <c r="A415" s="133">
        <v>45493</v>
      </c>
      <c r="B415" s="51" t="s">
        <v>53</v>
      </c>
      <c r="C415" s="134">
        <v>0.60416666666666663</v>
      </c>
      <c r="D415" s="134">
        <v>0.97916666666666663</v>
      </c>
      <c r="E415" s="53">
        <f t="shared" si="83"/>
        <v>8</v>
      </c>
      <c r="F415" s="51">
        <v>1</v>
      </c>
      <c r="G415" s="53">
        <f t="shared" si="89"/>
        <v>8</v>
      </c>
      <c r="H415" s="51"/>
      <c r="I415" s="51">
        <f t="shared" si="82"/>
        <v>8</v>
      </c>
    </row>
    <row r="416" spans="1:9" x14ac:dyDescent="0.25">
      <c r="A416" s="133">
        <v>45493</v>
      </c>
      <c r="B416" s="51" t="s">
        <v>58</v>
      </c>
      <c r="C416" s="134">
        <v>0.625</v>
      </c>
      <c r="D416" s="134">
        <v>0.95833333333333337</v>
      </c>
      <c r="E416" s="53">
        <f t="shared" si="83"/>
        <v>7.5</v>
      </c>
      <c r="F416" s="51">
        <v>0.5</v>
      </c>
      <c r="G416" s="53">
        <f t="shared" si="89"/>
        <v>7.5</v>
      </c>
      <c r="H416" s="51"/>
      <c r="I416" s="51">
        <f t="shared" si="82"/>
        <v>7.5</v>
      </c>
    </row>
    <row r="417" spans="1:9" x14ac:dyDescent="0.25">
      <c r="A417" s="133">
        <v>45493</v>
      </c>
      <c r="B417" s="51" t="s">
        <v>46</v>
      </c>
      <c r="C417" s="134">
        <v>0.45833333333333331</v>
      </c>
      <c r="D417" s="134">
        <v>0.79166666666666663</v>
      </c>
      <c r="E417" s="53">
        <f t="shared" si="83"/>
        <v>7.5</v>
      </c>
      <c r="F417" s="51">
        <v>0.5</v>
      </c>
      <c r="G417" s="53">
        <f t="shared" si="89"/>
        <v>7.5</v>
      </c>
      <c r="H417" s="51"/>
      <c r="I417" s="51">
        <f t="shared" si="82"/>
        <v>7.5</v>
      </c>
    </row>
    <row r="418" spans="1:9" x14ac:dyDescent="0.25">
      <c r="A418" s="133">
        <v>45494</v>
      </c>
      <c r="B418" s="51" t="s">
        <v>53</v>
      </c>
      <c r="C418" s="134">
        <v>0.66666666666666663</v>
      </c>
      <c r="D418" s="134">
        <v>0.875</v>
      </c>
      <c r="E418" s="53">
        <f t="shared" si="83"/>
        <v>5.0000000000000009</v>
      </c>
      <c r="F418" s="51"/>
      <c r="G418" s="53">
        <f t="shared" si="89"/>
        <v>5.0000000000000009</v>
      </c>
      <c r="H418" s="51"/>
      <c r="I418" s="51">
        <f t="shared" si="82"/>
        <v>5.0000000000000009</v>
      </c>
    </row>
    <row r="419" spans="1:9" x14ac:dyDescent="0.25">
      <c r="A419" s="133">
        <v>45494</v>
      </c>
      <c r="B419" s="51" t="s">
        <v>53</v>
      </c>
      <c r="C419" s="134">
        <v>0.33333333333333331</v>
      </c>
      <c r="D419" s="134">
        <v>0.66666666666666663</v>
      </c>
      <c r="E419" s="53">
        <f t="shared" si="83"/>
        <v>7.5</v>
      </c>
      <c r="F419" s="51">
        <v>0.5</v>
      </c>
      <c r="G419" s="53">
        <f t="shared" si="89"/>
        <v>7.5</v>
      </c>
      <c r="H419" s="51"/>
      <c r="I419" s="51">
        <f t="shared" si="82"/>
        <v>7.5</v>
      </c>
    </row>
    <row r="420" spans="1:9" x14ac:dyDescent="0.25">
      <c r="A420" s="133">
        <v>45494</v>
      </c>
      <c r="B420" s="51" t="s">
        <v>58</v>
      </c>
      <c r="C420" s="134">
        <v>0.35416666666666669</v>
      </c>
      <c r="D420" s="134">
        <v>0.625</v>
      </c>
      <c r="E420" s="53">
        <f t="shared" si="83"/>
        <v>6</v>
      </c>
      <c r="F420" s="51">
        <v>0.5</v>
      </c>
      <c r="G420" s="53">
        <f t="shared" si="89"/>
        <v>6</v>
      </c>
      <c r="H420" s="51"/>
      <c r="I420" s="51">
        <f t="shared" si="82"/>
        <v>6</v>
      </c>
    </row>
    <row r="421" spans="1:9" x14ac:dyDescent="0.25">
      <c r="A421" s="133">
        <v>45495</v>
      </c>
      <c r="B421" s="51" t="s">
        <v>414</v>
      </c>
      <c r="C421" s="134">
        <v>0.33333333333333331</v>
      </c>
      <c r="D421" s="134">
        <v>0.58333333333333337</v>
      </c>
      <c r="E421" s="53">
        <f t="shared" si="83"/>
        <v>5.5000000000000018</v>
      </c>
      <c r="F421" s="51">
        <v>0.5</v>
      </c>
      <c r="G421" s="53"/>
      <c r="H421" s="53">
        <f t="shared" ref="H421:H423" si="90">IF(WEEKDAY(A421, 2)&lt;6, E421-2, E421)</f>
        <v>3.5000000000000018</v>
      </c>
      <c r="I421" s="51">
        <f t="shared" si="82"/>
        <v>3.5000000000000018</v>
      </c>
    </row>
    <row r="422" spans="1:9" x14ac:dyDescent="0.25">
      <c r="A422" s="133">
        <v>45496</v>
      </c>
      <c r="B422" s="51" t="s">
        <v>414</v>
      </c>
      <c r="C422" s="134">
        <v>0.33333333333333331</v>
      </c>
      <c r="D422" s="134">
        <v>0.58333333333333337</v>
      </c>
      <c r="E422" s="53">
        <f t="shared" si="83"/>
        <v>5.5000000000000018</v>
      </c>
      <c r="F422" s="51">
        <v>0.5</v>
      </c>
      <c r="G422" s="53"/>
      <c r="H422" s="53">
        <f t="shared" si="90"/>
        <v>3.5000000000000018</v>
      </c>
      <c r="I422" s="51">
        <f t="shared" si="82"/>
        <v>3.5000000000000018</v>
      </c>
    </row>
    <row r="423" spans="1:9" x14ac:dyDescent="0.25">
      <c r="A423" s="133">
        <v>45497</v>
      </c>
      <c r="B423" s="51" t="s">
        <v>414</v>
      </c>
      <c r="C423" s="134">
        <v>0.33333333333333331</v>
      </c>
      <c r="D423" s="134">
        <v>0.58333333333333337</v>
      </c>
      <c r="E423" s="53">
        <f t="shared" si="83"/>
        <v>5.5000000000000018</v>
      </c>
      <c r="F423" s="51">
        <v>0.5</v>
      </c>
      <c r="G423" s="53"/>
      <c r="H423" s="53">
        <f t="shared" si="90"/>
        <v>3.5000000000000018</v>
      </c>
      <c r="I423" s="51">
        <f t="shared" si="82"/>
        <v>3.5000000000000018</v>
      </c>
    </row>
    <row r="424" spans="1:9" x14ac:dyDescent="0.25">
      <c r="A424" s="133">
        <v>45497</v>
      </c>
      <c r="B424" s="51" t="s">
        <v>49</v>
      </c>
      <c r="C424" s="134">
        <v>0.66666666666666663</v>
      </c>
      <c r="D424" s="134">
        <v>0.9375</v>
      </c>
      <c r="E424" s="53">
        <f t="shared" si="83"/>
        <v>6.0000000000000009</v>
      </c>
      <c r="F424" s="51">
        <v>0.5</v>
      </c>
      <c r="G424" s="53">
        <f>IF(WEEKDAY(A424, 2)&lt;6, E424+2, E424)</f>
        <v>8</v>
      </c>
      <c r="H424" s="51"/>
      <c r="I424" s="51">
        <f t="shared" si="82"/>
        <v>8</v>
      </c>
    </row>
    <row r="425" spans="1:9" x14ac:dyDescent="0.25">
      <c r="A425" s="133">
        <v>45498</v>
      </c>
      <c r="B425" s="51" t="s">
        <v>414</v>
      </c>
      <c r="C425" s="134">
        <v>0.33333333333333331</v>
      </c>
      <c r="D425" s="134">
        <v>0.58333333333333337</v>
      </c>
      <c r="E425" s="53">
        <f t="shared" si="83"/>
        <v>5.5000000000000018</v>
      </c>
      <c r="F425" s="51">
        <v>0.5</v>
      </c>
      <c r="G425" s="53"/>
      <c r="H425" s="53">
        <f>IF(WEEKDAY(A425, 2)&lt;6, E425-2, E425)</f>
        <v>3.5000000000000018</v>
      </c>
      <c r="I425" s="51">
        <f t="shared" si="82"/>
        <v>3.5000000000000018</v>
      </c>
    </row>
    <row r="426" spans="1:9" x14ac:dyDescent="0.25">
      <c r="A426" s="133">
        <v>45498</v>
      </c>
      <c r="B426" s="51" t="s">
        <v>56</v>
      </c>
      <c r="C426" s="134">
        <v>0.75</v>
      </c>
      <c r="D426" s="134">
        <v>0.95833333333333337</v>
      </c>
      <c r="E426" s="53">
        <f t="shared" si="83"/>
        <v>5.0000000000000009</v>
      </c>
      <c r="F426" s="51"/>
      <c r="G426" s="53">
        <f>IF(WEEKDAY(A426, 2)&lt;6, E426+2, E426)</f>
        <v>7.0000000000000009</v>
      </c>
      <c r="H426" s="53"/>
      <c r="I426" s="51">
        <f t="shared" si="82"/>
        <v>7.0000000000000009</v>
      </c>
    </row>
    <row r="427" spans="1:9" x14ac:dyDescent="0.25">
      <c r="A427" s="133">
        <v>45499</v>
      </c>
      <c r="B427" s="51" t="s">
        <v>414</v>
      </c>
      <c r="C427" s="134">
        <v>0.33333333333333331</v>
      </c>
      <c r="D427" s="134">
        <v>0.58333333333333337</v>
      </c>
      <c r="E427" s="53">
        <f t="shared" si="83"/>
        <v>5.5000000000000018</v>
      </c>
      <c r="F427" s="51">
        <v>0.5</v>
      </c>
      <c r="G427" s="53"/>
      <c r="H427" s="53">
        <f>IF(WEEKDAY(A427, 2)&lt;6, E427-2, E427)</f>
        <v>3.5000000000000018</v>
      </c>
      <c r="I427" s="51">
        <f t="shared" si="82"/>
        <v>3.5000000000000018</v>
      </c>
    </row>
    <row r="428" spans="1:9" x14ac:dyDescent="0.25">
      <c r="A428" s="133">
        <v>45500</v>
      </c>
      <c r="B428" s="51" t="s">
        <v>49</v>
      </c>
      <c r="C428" s="134">
        <v>0.29166666666666669</v>
      </c>
      <c r="D428" s="134">
        <v>0.64583333333333337</v>
      </c>
      <c r="E428" s="53">
        <f t="shared" si="83"/>
        <v>8</v>
      </c>
      <c r="F428" s="51">
        <v>0.5</v>
      </c>
      <c r="G428" s="53">
        <f t="shared" ref="G428:G433" si="91">IF(WEEKDAY(A428, 2)&lt;6, E428+2, E428)</f>
        <v>8</v>
      </c>
      <c r="H428" s="51"/>
      <c r="I428" s="51">
        <f t="shared" si="82"/>
        <v>8</v>
      </c>
    </row>
    <row r="429" spans="1:9" x14ac:dyDescent="0.25">
      <c r="A429" s="133">
        <v>45500</v>
      </c>
      <c r="B429" s="51" t="s">
        <v>56</v>
      </c>
      <c r="C429" s="134">
        <v>0.33333333333333331</v>
      </c>
      <c r="D429" s="134">
        <v>0.54166666666666663</v>
      </c>
      <c r="E429" s="53">
        <f t="shared" si="83"/>
        <v>5</v>
      </c>
      <c r="F429" s="51"/>
      <c r="G429" s="53">
        <f t="shared" si="91"/>
        <v>5</v>
      </c>
      <c r="H429" s="53"/>
      <c r="I429" s="51">
        <f t="shared" si="82"/>
        <v>5</v>
      </c>
    </row>
    <row r="430" spans="1:9" x14ac:dyDescent="0.25">
      <c r="A430" s="133">
        <v>45500</v>
      </c>
      <c r="B430" s="51" t="s">
        <v>46</v>
      </c>
      <c r="C430" s="134">
        <v>0.54166666666666663</v>
      </c>
      <c r="D430" s="134">
        <v>0.75</v>
      </c>
      <c r="E430" s="53">
        <f t="shared" si="83"/>
        <v>4.5000000000000009</v>
      </c>
      <c r="F430" s="51">
        <v>0.5</v>
      </c>
      <c r="G430" s="53">
        <f t="shared" si="91"/>
        <v>4.5000000000000009</v>
      </c>
      <c r="H430" s="51"/>
      <c r="I430" s="51">
        <f t="shared" si="82"/>
        <v>4.5000000000000009</v>
      </c>
    </row>
    <row r="431" spans="1:9" x14ac:dyDescent="0.25">
      <c r="A431" s="133">
        <v>45500</v>
      </c>
      <c r="B431" s="51" t="s">
        <v>58</v>
      </c>
      <c r="C431" s="134">
        <v>0.64583333333333337</v>
      </c>
      <c r="D431" s="134">
        <v>0.89583333333333337</v>
      </c>
      <c r="E431" s="53">
        <f t="shared" si="83"/>
        <v>5.5</v>
      </c>
      <c r="F431" s="51">
        <v>0.5</v>
      </c>
      <c r="G431" s="53">
        <f t="shared" si="91"/>
        <v>5.5</v>
      </c>
      <c r="H431" s="51"/>
      <c r="I431" s="51">
        <f t="shared" si="82"/>
        <v>5.5</v>
      </c>
    </row>
    <row r="432" spans="1:9" x14ac:dyDescent="0.25">
      <c r="A432" s="133">
        <v>45501</v>
      </c>
      <c r="B432" s="51" t="s">
        <v>53</v>
      </c>
      <c r="C432" s="134">
        <v>0.41666666666666669</v>
      </c>
      <c r="D432" s="134">
        <v>0.625</v>
      </c>
      <c r="E432" s="53">
        <f t="shared" si="83"/>
        <v>5</v>
      </c>
      <c r="F432" s="51"/>
      <c r="G432" s="53">
        <f t="shared" si="91"/>
        <v>5</v>
      </c>
      <c r="H432" s="51"/>
      <c r="I432" s="51">
        <f t="shared" si="82"/>
        <v>5</v>
      </c>
    </row>
    <row r="433" spans="1:9" x14ac:dyDescent="0.25">
      <c r="A433" s="133">
        <v>45502</v>
      </c>
      <c r="B433" s="51" t="s">
        <v>58</v>
      </c>
      <c r="C433" s="134">
        <v>0.6875</v>
      </c>
      <c r="D433" s="134">
        <v>0.89583333333333337</v>
      </c>
      <c r="E433" s="53">
        <f t="shared" si="83"/>
        <v>5.0000000000000009</v>
      </c>
      <c r="F433" s="51"/>
      <c r="G433" s="53">
        <f t="shared" si="91"/>
        <v>7.0000000000000009</v>
      </c>
      <c r="H433" s="51"/>
      <c r="I433" s="51">
        <f t="shared" si="82"/>
        <v>7.0000000000000009</v>
      </c>
    </row>
    <row r="434" spans="1:9" x14ac:dyDescent="0.25">
      <c r="A434" s="133">
        <v>45502</v>
      </c>
      <c r="B434" s="51" t="s">
        <v>414</v>
      </c>
      <c r="C434" s="134">
        <v>0.33333333333333331</v>
      </c>
      <c r="D434" s="134">
        <v>0.58333333333333337</v>
      </c>
      <c r="E434" s="53">
        <f t="shared" si="83"/>
        <v>5.5000000000000018</v>
      </c>
      <c r="F434" s="51">
        <v>0.5</v>
      </c>
      <c r="G434" s="53"/>
      <c r="H434" s="53">
        <f t="shared" ref="H434:H436" si="92">IF(WEEKDAY(A434, 2)&lt;6, E434-2, E434)</f>
        <v>3.5000000000000018</v>
      </c>
      <c r="I434" s="51">
        <f t="shared" si="82"/>
        <v>3.5000000000000018</v>
      </c>
    </row>
    <row r="435" spans="1:9" x14ac:dyDescent="0.25">
      <c r="A435" s="133">
        <v>45503</v>
      </c>
      <c r="B435" s="51" t="s">
        <v>414</v>
      </c>
      <c r="C435" s="134">
        <v>0.33333333333333331</v>
      </c>
      <c r="D435" s="134">
        <v>0.58333333333333337</v>
      </c>
      <c r="E435" s="53">
        <f t="shared" si="83"/>
        <v>5.5000000000000018</v>
      </c>
      <c r="F435" s="51">
        <v>0.5</v>
      </c>
      <c r="G435" s="53"/>
      <c r="H435" s="53">
        <f t="shared" si="92"/>
        <v>3.5000000000000018</v>
      </c>
      <c r="I435" s="51">
        <f t="shared" si="82"/>
        <v>3.5000000000000018</v>
      </c>
    </row>
    <row r="436" spans="1:9" x14ac:dyDescent="0.25">
      <c r="A436" s="133">
        <v>45504</v>
      </c>
      <c r="B436" s="51" t="s">
        <v>414</v>
      </c>
      <c r="C436" s="134">
        <v>0.33333333333333331</v>
      </c>
      <c r="D436" s="134">
        <v>0.58333333333333337</v>
      </c>
      <c r="E436" s="53">
        <f t="shared" si="83"/>
        <v>5.5000000000000018</v>
      </c>
      <c r="F436" s="51">
        <v>0.5</v>
      </c>
      <c r="G436" s="53"/>
      <c r="H436" s="53">
        <f t="shared" si="92"/>
        <v>3.5000000000000018</v>
      </c>
      <c r="I436" s="51">
        <f t="shared" si="82"/>
        <v>3.5000000000000018</v>
      </c>
    </row>
    <row r="437" spans="1:9" x14ac:dyDescent="0.25">
      <c r="A437" s="133">
        <v>45504</v>
      </c>
      <c r="B437" s="51" t="s">
        <v>56</v>
      </c>
      <c r="C437" s="134">
        <v>0.66666666666666663</v>
      </c>
      <c r="D437" s="134">
        <v>0.91666666666666663</v>
      </c>
      <c r="E437" s="53">
        <f t="shared" si="83"/>
        <v>5.5</v>
      </c>
      <c r="F437" s="51">
        <v>0.5</v>
      </c>
      <c r="G437" s="53">
        <f>IF(WEEKDAY(A437, 2)&lt;6, E437+2, E437)</f>
        <v>7.5</v>
      </c>
      <c r="H437" s="53"/>
      <c r="I437" s="51">
        <f t="shared" si="82"/>
        <v>7.5</v>
      </c>
    </row>
    <row r="438" spans="1:9" x14ac:dyDescent="0.25">
      <c r="A438" s="142">
        <v>45505</v>
      </c>
      <c r="B438" s="51" t="s">
        <v>414</v>
      </c>
      <c r="C438" s="157">
        <v>0.33333333333333331</v>
      </c>
      <c r="D438" s="157">
        <v>0.58333333333333337</v>
      </c>
      <c r="E438" s="144">
        <f t="shared" si="83"/>
        <v>5.5000000000000018</v>
      </c>
      <c r="F438" s="145">
        <v>0.5</v>
      </c>
      <c r="G438" s="53"/>
      <c r="H438" s="53">
        <f>IF(WEEKDAY(A438, 2)&lt;6, E438-2, E438)</f>
        <v>3.5000000000000018</v>
      </c>
      <c r="I438" s="51">
        <f t="shared" si="82"/>
        <v>3.5000000000000018</v>
      </c>
    </row>
    <row r="439" spans="1:9" x14ac:dyDescent="0.25">
      <c r="A439" s="133">
        <v>45505</v>
      </c>
      <c r="B439" s="51" t="s">
        <v>56</v>
      </c>
      <c r="C439" s="134">
        <v>0.75</v>
      </c>
      <c r="D439" s="134">
        <v>0.95833333333333337</v>
      </c>
      <c r="E439" s="53">
        <f t="shared" si="83"/>
        <v>5.0000000000000009</v>
      </c>
      <c r="F439" s="51"/>
      <c r="G439" s="53">
        <f>IF(WEEKDAY(A439, 2)&lt;6, E439+2, E439)</f>
        <v>7.0000000000000009</v>
      </c>
      <c r="H439" s="53"/>
      <c r="I439" s="51">
        <f t="shared" si="82"/>
        <v>7.0000000000000009</v>
      </c>
    </row>
    <row r="440" spans="1:9" x14ac:dyDescent="0.25">
      <c r="A440" s="133">
        <v>45506</v>
      </c>
      <c r="B440" s="51" t="s">
        <v>414</v>
      </c>
      <c r="C440" s="134">
        <v>0.33333333333333331</v>
      </c>
      <c r="D440" s="134">
        <v>0.58333333333333337</v>
      </c>
      <c r="E440" s="53">
        <f t="shared" si="83"/>
        <v>5.5000000000000018</v>
      </c>
      <c r="F440" s="51">
        <v>0.5</v>
      </c>
      <c r="G440" s="53"/>
      <c r="H440" s="53">
        <f>IF(WEEKDAY(A440, 2)&lt;6, E440-2, E440)</f>
        <v>3.5000000000000018</v>
      </c>
      <c r="I440" s="51">
        <f t="shared" si="82"/>
        <v>3.5000000000000018</v>
      </c>
    </row>
    <row r="441" spans="1:9" x14ac:dyDescent="0.25">
      <c r="A441" s="133">
        <v>45507</v>
      </c>
      <c r="B441" s="51" t="s">
        <v>49</v>
      </c>
      <c r="C441" s="134">
        <v>0.3125</v>
      </c>
      <c r="D441" s="134">
        <v>0.41666666666666669</v>
      </c>
      <c r="E441" s="53">
        <f t="shared" si="83"/>
        <v>2.5000000000000004</v>
      </c>
      <c r="F441" s="51"/>
      <c r="G441" s="53">
        <f t="shared" ref="G441:G444" si="93">IF(WEEKDAY(A441, 2)&lt;6, E441+2, E441)</f>
        <v>2.5000000000000004</v>
      </c>
      <c r="H441" s="51"/>
      <c r="I441" s="51">
        <f t="shared" si="82"/>
        <v>2.5000000000000004</v>
      </c>
    </row>
    <row r="442" spans="1:9" x14ac:dyDescent="0.25">
      <c r="A442" s="133">
        <v>45507</v>
      </c>
      <c r="B442" s="51" t="s">
        <v>56</v>
      </c>
      <c r="C442" s="134">
        <v>0.33333333333333331</v>
      </c>
      <c r="D442" s="134">
        <v>0.54166666666666663</v>
      </c>
      <c r="E442" s="53">
        <f t="shared" si="83"/>
        <v>5</v>
      </c>
      <c r="F442" s="51"/>
      <c r="G442" s="53">
        <f t="shared" si="93"/>
        <v>5</v>
      </c>
      <c r="H442" s="53"/>
      <c r="I442" s="51">
        <f t="shared" si="82"/>
        <v>5</v>
      </c>
    </row>
    <row r="443" spans="1:9" x14ac:dyDescent="0.25">
      <c r="A443" s="133">
        <v>45507</v>
      </c>
      <c r="B443" s="51" t="s">
        <v>46</v>
      </c>
      <c r="C443" s="134">
        <v>0.625</v>
      </c>
      <c r="D443" s="134">
        <v>0.83333333333333337</v>
      </c>
      <c r="E443" s="53">
        <f t="shared" si="83"/>
        <v>5.0000000000000009</v>
      </c>
      <c r="F443" s="51"/>
      <c r="G443" s="53">
        <f t="shared" si="93"/>
        <v>5.0000000000000009</v>
      </c>
      <c r="H443" s="51"/>
      <c r="I443" s="51">
        <f t="shared" si="82"/>
        <v>5.0000000000000009</v>
      </c>
    </row>
    <row r="444" spans="1:9" x14ac:dyDescent="0.25">
      <c r="A444" s="133">
        <v>45509</v>
      </c>
      <c r="B444" s="51" t="s">
        <v>49</v>
      </c>
      <c r="C444" s="134">
        <v>0.375</v>
      </c>
      <c r="D444" s="134">
        <v>0.625</v>
      </c>
      <c r="E444" s="53">
        <f t="shared" si="83"/>
        <v>5.5</v>
      </c>
      <c r="F444" s="51">
        <v>0.5</v>
      </c>
      <c r="G444" s="53">
        <f t="shared" si="93"/>
        <v>7.5</v>
      </c>
      <c r="H444" s="51"/>
      <c r="I444" s="51">
        <f t="shared" si="82"/>
        <v>7.5</v>
      </c>
    </row>
    <row r="445" spans="1:9" x14ac:dyDescent="0.25">
      <c r="A445" s="133">
        <v>45509</v>
      </c>
      <c r="B445" s="51" t="s">
        <v>414</v>
      </c>
      <c r="C445" s="134">
        <v>0.33333333333333331</v>
      </c>
      <c r="D445" s="134">
        <v>0.58333333333333337</v>
      </c>
      <c r="E445" s="53">
        <f t="shared" si="83"/>
        <v>5.5000000000000018</v>
      </c>
      <c r="F445" s="51">
        <v>0.5</v>
      </c>
      <c r="G445" s="53"/>
      <c r="H445" s="53">
        <f t="shared" ref="H445:H447" si="94">IF(WEEKDAY(A445, 2)&lt;6, E445-2, E445)</f>
        <v>3.5000000000000018</v>
      </c>
      <c r="I445" s="51">
        <f t="shared" si="82"/>
        <v>3.5000000000000018</v>
      </c>
    </row>
    <row r="446" spans="1:9" x14ac:dyDescent="0.25">
      <c r="A446" s="133">
        <v>45510</v>
      </c>
      <c r="B446" s="51" t="s">
        <v>414</v>
      </c>
      <c r="C446" s="134">
        <v>0.33333333333333331</v>
      </c>
      <c r="D446" s="134">
        <v>0.58333333333333337</v>
      </c>
      <c r="E446" s="53">
        <f t="shared" si="83"/>
        <v>5.5000000000000018</v>
      </c>
      <c r="F446" s="51">
        <v>0.5</v>
      </c>
      <c r="G446" s="53"/>
      <c r="H446" s="53">
        <f t="shared" si="94"/>
        <v>3.5000000000000018</v>
      </c>
      <c r="I446" s="51">
        <f t="shared" si="82"/>
        <v>3.5000000000000018</v>
      </c>
    </row>
    <row r="447" spans="1:9" x14ac:dyDescent="0.25">
      <c r="A447" s="133">
        <v>45511</v>
      </c>
      <c r="B447" s="51" t="s">
        <v>414</v>
      </c>
      <c r="C447" s="134">
        <v>0.33333333333333331</v>
      </c>
      <c r="D447" s="134">
        <v>0.58333333333333337</v>
      </c>
      <c r="E447" s="53">
        <f t="shared" si="83"/>
        <v>5.5000000000000018</v>
      </c>
      <c r="F447" s="51">
        <v>0.5</v>
      </c>
      <c r="G447" s="53"/>
      <c r="H447" s="53">
        <f t="shared" si="94"/>
        <v>3.5000000000000018</v>
      </c>
      <c r="I447" s="51">
        <f t="shared" si="82"/>
        <v>3.5000000000000018</v>
      </c>
    </row>
    <row r="448" spans="1:9" x14ac:dyDescent="0.25">
      <c r="A448" s="133">
        <v>45511</v>
      </c>
      <c r="B448" s="51" t="s">
        <v>49</v>
      </c>
      <c r="C448" s="134">
        <v>0.75</v>
      </c>
      <c r="D448" s="134">
        <v>0.91666666666666663</v>
      </c>
      <c r="E448" s="53">
        <f t="shared" si="83"/>
        <v>3.9999999999999991</v>
      </c>
      <c r="F448" s="51"/>
      <c r="G448" s="53">
        <f t="shared" ref="G448:G449" si="95">IF(WEEKDAY(A448, 2)&lt;6, E448+2, E448)</f>
        <v>5.9999999999999991</v>
      </c>
      <c r="H448" s="51"/>
      <c r="I448" s="51">
        <f t="shared" si="82"/>
        <v>5.9999999999999991</v>
      </c>
    </row>
    <row r="449" spans="1:9" x14ac:dyDescent="0.25">
      <c r="A449" s="133">
        <v>45511</v>
      </c>
      <c r="B449" s="51" t="s">
        <v>56</v>
      </c>
      <c r="C449" s="134">
        <v>0.66666666666666663</v>
      </c>
      <c r="D449" s="134">
        <v>0.875</v>
      </c>
      <c r="E449" s="53">
        <f t="shared" si="83"/>
        <v>5.0000000000000009</v>
      </c>
      <c r="F449" s="51"/>
      <c r="G449" s="53">
        <f t="shared" si="95"/>
        <v>7.0000000000000009</v>
      </c>
      <c r="H449" s="53"/>
      <c r="I449" s="51">
        <f t="shared" si="82"/>
        <v>7.0000000000000009</v>
      </c>
    </row>
    <row r="450" spans="1:9" x14ac:dyDescent="0.25">
      <c r="A450" s="133">
        <v>45512</v>
      </c>
      <c r="B450" s="51" t="s">
        <v>414</v>
      </c>
      <c r="C450" s="134">
        <v>0.33333333333333331</v>
      </c>
      <c r="D450" s="134">
        <v>0.58333333333333337</v>
      </c>
      <c r="E450" s="53">
        <f t="shared" si="83"/>
        <v>5.5000000000000018</v>
      </c>
      <c r="F450" s="51">
        <v>0.5</v>
      </c>
      <c r="G450" s="53"/>
      <c r="H450" s="53">
        <f>IF(WEEKDAY(A450, 2)&lt;6, E450-2, E450)</f>
        <v>3.5000000000000018</v>
      </c>
      <c r="I450" s="51">
        <f t="shared" ref="I450:I513" si="96">IF(G450&lt;&gt;"",G450,H450)</f>
        <v>3.5000000000000018</v>
      </c>
    </row>
    <row r="451" spans="1:9" x14ac:dyDescent="0.25">
      <c r="A451" s="133">
        <v>45512</v>
      </c>
      <c r="B451" s="51" t="s">
        <v>53</v>
      </c>
      <c r="C451" s="134">
        <v>0.66666666666666663</v>
      </c>
      <c r="D451" s="134">
        <v>0.91666666666666663</v>
      </c>
      <c r="E451" s="53">
        <f t="shared" ref="E451:E514" si="97">MOD((D451-C451),1) *24 - F451</f>
        <v>5.5</v>
      </c>
      <c r="F451" s="51">
        <v>0.5</v>
      </c>
      <c r="G451" s="53">
        <f>IF(WEEKDAY(A451, 2)&lt;6, E451+2, E451)</f>
        <v>7.5</v>
      </c>
      <c r="H451" s="51"/>
      <c r="I451" s="51">
        <f t="shared" si="96"/>
        <v>7.5</v>
      </c>
    </row>
    <row r="452" spans="1:9" x14ac:dyDescent="0.25">
      <c r="A452" s="133">
        <v>45513</v>
      </c>
      <c r="B452" s="51" t="s">
        <v>414</v>
      </c>
      <c r="C452" s="134">
        <v>0.375</v>
      </c>
      <c r="D452" s="134">
        <v>0.58333333333333337</v>
      </c>
      <c r="E452" s="53">
        <f t="shared" si="97"/>
        <v>5.0000000000000009</v>
      </c>
      <c r="F452" s="51"/>
      <c r="G452" s="53"/>
      <c r="H452" s="53">
        <f>IF(WEEKDAY(A452, 2)&lt;6, E452-2, E452)</f>
        <v>3.0000000000000009</v>
      </c>
      <c r="I452" s="51">
        <f t="shared" si="96"/>
        <v>3.0000000000000009</v>
      </c>
    </row>
    <row r="453" spans="1:9" x14ac:dyDescent="0.25">
      <c r="A453" s="133">
        <v>45513</v>
      </c>
      <c r="B453" s="51" t="s">
        <v>53</v>
      </c>
      <c r="C453" s="134">
        <v>0.66666666666666663</v>
      </c>
      <c r="D453" s="134">
        <v>0.95833333333333337</v>
      </c>
      <c r="E453" s="53">
        <f t="shared" si="97"/>
        <v>6.5000000000000018</v>
      </c>
      <c r="F453" s="51">
        <v>0.5</v>
      </c>
      <c r="G453" s="53">
        <f t="shared" ref="G453:G458" si="98">IF(WEEKDAY(A453, 2)&lt;6, E453+2, E453)</f>
        <v>8.5000000000000018</v>
      </c>
      <c r="H453" s="51"/>
      <c r="I453" s="51">
        <f t="shared" si="96"/>
        <v>8.5000000000000018</v>
      </c>
    </row>
    <row r="454" spans="1:9" x14ac:dyDescent="0.25">
      <c r="A454" s="133">
        <v>45514</v>
      </c>
      <c r="B454" s="51" t="s">
        <v>56</v>
      </c>
      <c r="C454" s="134">
        <v>0.33333333333333331</v>
      </c>
      <c r="D454" s="134">
        <v>0.54166666666666663</v>
      </c>
      <c r="E454" s="53">
        <f t="shared" si="97"/>
        <v>5</v>
      </c>
      <c r="F454" s="51"/>
      <c r="G454" s="53">
        <f t="shared" si="98"/>
        <v>5</v>
      </c>
      <c r="H454" s="53"/>
      <c r="I454" s="51">
        <f t="shared" si="96"/>
        <v>5</v>
      </c>
    </row>
    <row r="455" spans="1:9" x14ac:dyDescent="0.25">
      <c r="A455" s="133">
        <v>45514</v>
      </c>
      <c r="B455" s="51" t="s">
        <v>58</v>
      </c>
      <c r="C455" s="134">
        <v>0.77083333333333337</v>
      </c>
      <c r="D455" s="134">
        <v>4.1666666666666664E-2</v>
      </c>
      <c r="E455" s="53">
        <f t="shared" si="97"/>
        <v>5.9999999999999982</v>
      </c>
      <c r="F455" s="51">
        <v>0.5</v>
      </c>
      <c r="G455" s="53">
        <f t="shared" si="98"/>
        <v>5.9999999999999982</v>
      </c>
      <c r="H455" s="51"/>
      <c r="I455" s="51">
        <f t="shared" si="96"/>
        <v>5.9999999999999982</v>
      </c>
    </row>
    <row r="456" spans="1:9" x14ac:dyDescent="0.25">
      <c r="A456" s="133">
        <v>45514</v>
      </c>
      <c r="B456" s="51" t="s">
        <v>49</v>
      </c>
      <c r="C456" s="134">
        <v>0.27083333333333331</v>
      </c>
      <c r="D456" s="134">
        <v>0.52083333333333337</v>
      </c>
      <c r="E456" s="53">
        <f t="shared" si="97"/>
        <v>5.5000000000000018</v>
      </c>
      <c r="F456" s="51">
        <v>0.5</v>
      </c>
      <c r="G456" s="53">
        <f t="shared" si="98"/>
        <v>5.5000000000000018</v>
      </c>
      <c r="H456" s="51"/>
      <c r="I456" s="51">
        <f t="shared" si="96"/>
        <v>5.5000000000000018</v>
      </c>
    </row>
    <row r="457" spans="1:9" x14ac:dyDescent="0.25">
      <c r="A457" s="133">
        <v>45514</v>
      </c>
      <c r="B457" s="51" t="s">
        <v>46</v>
      </c>
      <c r="C457" s="134">
        <v>0.47916666666666669</v>
      </c>
      <c r="D457" s="134">
        <v>0.77083333333333337</v>
      </c>
      <c r="E457" s="53">
        <f t="shared" si="97"/>
        <v>6.5</v>
      </c>
      <c r="F457" s="51">
        <v>0.5</v>
      </c>
      <c r="G457" s="53">
        <f t="shared" si="98"/>
        <v>6.5</v>
      </c>
      <c r="H457" s="51"/>
      <c r="I457" s="51">
        <f t="shared" si="96"/>
        <v>6.5</v>
      </c>
    </row>
    <row r="458" spans="1:9" x14ac:dyDescent="0.25">
      <c r="A458" s="133">
        <v>45514</v>
      </c>
      <c r="B458" s="51" t="s">
        <v>58</v>
      </c>
      <c r="C458" s="134">
        <v>0.54166666666666663</v>
      </c>
      <c r="D458" s="134">
        <v>0.77083333333333337</v>
      </c>
      <c r="E458" s="53">
        <f t="shared" si="97"/>
        <v>5.0000000000000018</v>
      </c>
      <c r="F458" s="51">
        <v>0.5</v>
      </c>
      <c r="G458" s="53">
        <f t="shared" si="98"/>
        <v>5.0000000000000018</v>
      </c>
      <c r="H458" s="51"/>
      <c r="I458" s="51">
        <f t="shared" si="96"/>
        <v>5.0000000000000018</v>
      </c>
    </row>
    <row r="459" spans="1:9" x14ac:dyDescent="0.25">
      <c r="A459" s="133">
        <v>45516</v>
      </c>
      <c r="B459" s="51" t="s">
        <v>414</v>
      </c>
      <c r="C459" s="134">
        <v>0.33333333333333331</v>
      </c>
      <c r="D459" s="134">
        <v>0.58333333333333337</v>
      </c>
      <c r="E459" s="53">
        <f t="shared" si="97"/>
        <v>5.5000000000000018</v>
      </c>
      <c r="F459" s="51">
        <v>0.5</v>
      </c>
      <c r="G459" s="53"/>
      <c r="H459" s="53">
        <f t="shared" ref="H459:H461" si="99">IF(WEEKDAY(A459, 2)&lt;6, E459-2, E459)</f>
        <v>3.5000000000000018</v>
      </c>
      <c r="I459" s="51">
        <f t="shared" si="96"/>
        <v>3.5000000000000018</v>
      </c>
    </row>
    <row r="460" spans="1:9" x14ac:dyDescent="0.25">
      <c r="A460" s="133">
        <v>45517</v>
      </c>
      <c r="B460" s="51" t="s">
        <v>414</v>
      </c>
      <c r="C460" s="134">
        <v>0.33333333333333331</v>
      </c>
      <c r="D460" s="134">
        <v>0.58333333333333337</v>
      </c>
      <c r="E460" s="53">
        <f t="shared" si="97"/>
        <v>5.5000000000000018</v>
      </c>
      <c r="F460" s="51">
        <v>0.5</v>
      </c>
      <c r="G460" s="53"/>
      <c r="H460" s="53">
        <f t="shared" si="99"/>
        <v>3.5000000000000018</v>
      </c>
      <c r="I460" s="51">
        <f t="shared" si="96"/>
        <v>3.5000000000000018</v>
      </c>
    </row>
    <row r="461" spans="1:9" x14ac:dyDescent="0.25">
      <c r="A461" s="133">
        <v>45518</v>
      </c>
      <c r="B461" s="51" t="s">
        <v>414</v>
      </c>
      <c r="C461" s="134">
        <v>0.33333333333333331</v>
      </c>
      <c r="D461" s="134">
        <v>0.58333333333333337</v>
      </c>
      <c r="E461" s="53">
        <f t="shared" si="97"/>
        <v>5.5000000000000018</v>
      </c>
      <c r="F461" s="51">
        <v>0.5</v>
      </c>
      <c r="G461" s="53"/>
      <c r="H461" s="53">
        <f t="shared" si="99"/>
        <v>3.5000000000000018</v>
      </c>
      <c r="I461" s="51">
        <f t="shared" si="96"/>
        <v>3.5000000000000018</v>
      </c>
    </row>
    <row r="462" spans="1:9" x14ac:dyDescent="0.25">
      <c r="A462" s="133">
        <v>45518</v>
      </c>
      <c r="B462" s="51" t="s">
        <v>49</v>
      </c>
      <c r="C462" s="134">
        <v>0.66666666666666663</v>
      </c>
      <c r="D462" s="134">
        <v>0.89583333333333337</v>
      </c>
      <c r="E462" s="53">
        <f t="shared" si="97"/>
        <v>5.0000000000000018</v>
      </c>
      <c r="F462" s="51">
        <v>0.5</v>
      </c>
      <c r="G462" s="53">
        <f t="shared" ref="G462:G463" si="100">IF(WEEKDAY(A462, 2)&lt;6, E462+2, E462)</f>
        <v>7.0000000000000018</v>
      </c>
      <c r="H462" s="51"/>
      <c r="I462" s="51">
        <f t="shared" si="96"/>
        <v>7.0000000000000018</v>
      </c>
    </row>
    <row r="463" spans="1:9" x14ac:dyDescent="0.25">
      <c r="A463" s="133">
        <v>45519</v>
      </c>
      <c r="B463" s="51" t="s">
        <v>56</v>
      </c>
      <c r="C463" s="134">
        <v>0.77083333333333337</v>
      </c>
      <c r="D463" s="134">
        <v>0.95833333333333337</v>
      </c>
      <c r="E463" s="53">
        <f t="shared" si="97"/>
        <v>4.5</v>
      </c>
      <c r="F463" s="51"/>
      <c r="G463" s="53">
        <f t="shared" si="100"/>
        <v>6.5</v>
      </c>
      <c r="H463" s="53"/>
      <c r="I463" s="51">
        <f t="shared" si="96"/>
        <v>6.5</v>
      </c>
    </row>
    <row r="464" spans="1:9" x14ac:dyDescent="0.25">
      <c r="A464" s="133">
        <v>45519</v>
      </c>
      <c r="B464" s="51" t="s">
        <v>414</v>
      </c>
      <c r="C464" s="134">
        <v>0.33333333333333331</v>
      </c>
      <c r="D464" s="134">
        <v>0.58333333333333337</v>
      </c>
      <c r="E464" s="53">
        <f t="shared" si="97"/>
        <v>5.5000000000000018</v>
      </c>
      <c r="F464" s="51">
        <v>0.5</v>
      </c>
      <c r="G464" s="53"/>
      <c r="H464" s="53">
        <f>IF(WEEKDAY(A464, 2)&lt;6, E464-2, E464)</f>
        <v>3.5000000000000018</v>
      </c>
      <c r="I464" s="51">
        <f t="shared" si="96"/>
        <v>3.5000000000000018</v>
      </c>
    </row>
    <row r="465" spans="1:9" x14ac:dyDescent="0.25">
      <c r="A465" s="133">
        <v>45520</v>
      </c>
      <c r="B465" s="51" t="s">
        <v>53</v>
      </c>
      <c r="C465" s="134">
        <v>0.6875</v>
      </c>
      <c r="D465" s="134">
        <v>0.95833333333333337</v>
      </c>
      <c r="E465" s="53">
        <f t="shared" si="97"/>
        <v>6.0000000000000009</v>
      </c>
      <c r="F465" s="51">
        <v>0.5</v>
      </c>
      <c r="G465" s="53">
        <f t="shared" ref="G465:G466" si="101">IF(WEEKDAY(A465, 2)&lt;6, E465+2, E465)</f>
        <v>8</v>
      </c>
      <c r="H465" s="51"/>
      <c r="I465" s="51">
        <f t="shared" si="96"/>
        <v>8</v>
      </c>
    </row>
    <row r="466" spans="1:9" x14ac:dyDescent="0.25">
      <c r="A466" s="133">
        <v>45520</v>
      </c>
      <c r="B466" s="51" t="s">
        <v>44</v>
      </c>
      <c r="C466" s="134">
        <v>0.33333333333333331</v>
      </c>
      <c r="D466" s="134">
        <v>0.66666666666666663</v>
      </c>
      <c r="E466" s="53">
        <f t="shared" si="97"/>
        <v>7.5</v>
      </c>
      <c r="F466" s="51">
        <v>0.5</v>
      </c>
      <c r="G466" s="53">
        <f t="shared" si="101"/>
        <v>9.5</v>
      </c>
      <c r="H466" s="51"/>
      <c r="I466" s="51">
        <f t="shared" si="96"/>
        <v>9.5</v>
      </c>
    </row>
    <row r="467" spans="1:9" x14ac:dyDescent="0.25">
      <c r="A467" s="133">
        <v>45520</v>
      </c>
      <c r="B467" s="51" t="s">
        <v>414</v>
      </c>
      <c r="C467" s="134">
        <v>0.33333333333333331</v>
      </c>
      <c r="D467" s="134">
        <v>0.58333333333333337</v>
      </c>
      <c r="E467" s="53">
        <f t="shared" si="97"/>
        <v>5.5000000000000018</v>
      </c>
      <c r="F467" s="51">
        <v>0.5</v>
      </c>
      <c r="G467" s="53"/>
      <c r="H467" s="53">
        <f>IF(WEEKDAY(A467, 2)&lt;6, E467-2, E467)</f>
        <v>3.5000000000000018</v>
      </c>
      <c r="I467" s="51">
        <f t="shared" si="96"/>
        <v>3.5000000000000018</v>
      </c>
    </row>
    <row r="468" spans="1:9" x14ac:dyDescent="0.25">
      <c r="A468" s="133">
        <v>45521</v>
      </c>
      <c r="B468" s="51" t="s">
        <v>48</v>
      </c>
      <c r="C468" s="134">
        <v>0.41666666666666669</v>
      </c>
      <c r="D468" s="134">
        <v>0.70833333333333337</v>
      </c>
      <c r="E468" s="53">
        <f t="shared" si="97"/>
        <v>6.5</v>
      </c>
      <c r="F468" s="51">
        <v>0.5</v>
      </c>
      <c r="G468" s="53">
        <f t="shared" ref="G468:G476" si="102">IF(WEEKDAY(A468, 2)&lt;6, E468+2, E468)</f>
        <v>6.5</v>
      </c>
      <c r="H468" s="51"/>
      <c r="I468" s="51">
        <f t="shared" si="96"/>
        <v>6.5</v>
      </c>
    </row>
    <row r="469" spans="1:9" x14ac:dyDescent="0.25">
      <c r="A469" s="133">
        <v>45521</v>
      </c>
      <c r="B469" s="51" t="s">
        <v>49</v>
      </c>
      <c r="C469" s="134">
        <v>0.27083333333333331</v>
      </c>
      <c r="D469" s="134">
        <v>0.52083333333333337</v>
      </c>
      <c r="E469" s="53">
        <f t="shared" si="97"/>
        <v>5.5000000000000018</v>
      </c>
      <c r="F469" s="51">
        <v>0.5</v>
      </c>
      <c r="G469" s="53">
        <f t="shared" si="102"/>
        <v>5.5000000000000018</v>
      </c>
      <c r="H469" s="51"/>
      <c r="I469" s="51">
        <f t="shared" si="96"/>
        <v>5.5000000000000018</v>
      </c>
    </row>
    <row r="470" spans="1:9" x14ac:dyDescent="0.25">
      <c r="A470" s="133">
        <v>45521</v>
      </c>
      <c r="B470" s="51" t="s">
        <v>56</v>
      </c>
      <c r="C470" s="134">
        <v>0.33333333333333331</v>
      </c>
      <c r="D470" s="134">
        <v>0.52083333333333337</v>
      </c>
      <c r="E470" s="53">
        <f t="shared" si="97"/>
        <v>4.5000000000000018</v>
      </c>
      <c r="F470" s="51"/>
      <c r="G470" s="53">
        <f t="shared" si="102"/>
        <v>4.5000000000000018</v>
      </c>
      <c r="H470" s="53"/>
      <c r="I470" s="51">
        <f t="shared" si="96"/>
        <v>4.5000000000000018</v>
      </c>
    </row>
    <row r="471" spans="1:9" x14ac:dyDescent="0.25">
      <c r="A471" s="133">
        <v>45521</v>
      </c>
      <c r="B471" s="51" t="s">
        <v>58</v>
      </c>
      <c r="C471" s="134">
        <v>0.52083333333333337</v>
      </c>
      <c r="D471" s="134">
        <v>0.8125</v>
      </c>
      <c r="E471" s="53">
        <f t="shared" si="97"/>
        <v>6.4999999999999991</v>
      </c>
      <c r="F471" s="51">
        <v>0.5</v>
      </c>
      <c r="G471" s="53">
        <f t="shared" si="102"/>
        <v>6.4999999999999991</v>
      </c>
      <c r="H471" s="51"/>
      <c r="I471" s="51">
        <f t="shared" si="96"/>
        <v>6.4999999999999991</v>
      </c>
    </row>
    <row r="472" spans="1:9" x14ac:dyDescent="0.25">
      <c r="A472" s="133">
        <v>45521</v>
      </c>
      <c r="B472" s="51" t="s">
        <v>46</v>
      </c>
      <c r="C472" s="134">
        <v>0.5</v>
      </c>
      <c r="D472" s="134">
        <v>0.79166666666666663</v>
      </c>
      <c r="E472" s="53">
        <f t="shared" si="97"/>
        <v>6.4999999999999991</v>
      </c>
      <c r="F472" s="51">
        <v>0.5</v>
      </c>
      <c r="G472" s="53">
        <f t="shared" si="102"/>
        <v>6.4999999999999991</v>
      </c>
      <c r="H472" s="51"/>
      <c r="I472" s="51">
        <f t="shared" si="96"/>
        <v>6.4999999999999991</v>
      </c>
    </row>
    <row r="473" spans="1:9" x14ac:dyDescent="0.25">
      <c r="A473" s="133">
        <v>45522</v>
      </c>
      <c r="B473" s="51" t="s">
        <v>58</v>
      </c>
      <c r="C473" s="134">
        <v>0.39583333333333331</v>
      </c>
      <c r="D473" s="134">
        <v>0.6875</v>
      </c>
      <c r="E473" s="53">
        <f t="shared" si="97"/>
        <v>6.5</v>
      </c>
      <c r="F473" s="51">
        <v>0.5</v>
      </c>
      <c r="G473" s="53">
        <f t="shared" si="102"/>
        <v>6.5</v>
      </c>
      <c r="H473" s="51"/>
      <c r="I473" s="51">
        <f t="shared" si="96"/>
        <v>6.5</v>
      </c>
    </row>
    <row r="474" spans="1:9" x14ac:dyDescent="0.25">
      <c r="A474" s="133">
        <v>45522</v>
      </c>
      <c r="B474" s="51" t="s">
        <v>48</v>
      </c>
      <c r="C474" s="134">
        <v>0.41666666666666669</v>
      </c>
      <c r="D474" s="134">
        <v>0.6875</v>
      </c>
      <c r="E474" s="53">
        <f t="shared" si="97"/>
        <v>6</v>
      </c>
      <c r="F474" s="51">
        <v>0.5</v>
      </c>
      <c r="G474" s="53">
        <f t="shared" si="102"/>
        <v>6</v>
      </c>
      <c r="H474" s="51"/>
      <c r="I474" s="51">
        <f t="shared" si="96"/>
        <v>6</v>
      </c>
    </row>
    <row r="475" spans="1:9" x14ac:dyDescent="0.25">
      <c r="A475" s="133">
        <v>45522</v>
      </c>
      <c r="B475" s="51" t="s">
        <v>53</v>
      </c>
      <c r="C475" s="134">
        <v>0.54166666666666663</v>
      </c>
      <c r="D475" s="134">
        <v>0.79166666666666663</v>
      </c>
      <c r="E475" s="53">
        <f t="shared" si="97"/>
        <v>5.5</v>
      </c>
      <c r="F475" s="51">
        <v>0.5</v>
      </c>
      <c r="G475" s="53">
        <f t="shared" si="102"/>
        <v>5.5</v>
      </c>
      <c r="H475" s="51"/>
      <c r="I475" s="51">
        <f t="shared" si="96"/>
        <v>5.5</v>
      </c>
    </row>
    <row r="476" spans="1:9" x14ac:dyDescent="0.25">
      <c r="A476" s="133">
        <v>45522</v>
      </c>
      <c r="B476" s="51" t="s">
        <v>53</v>
      </c>
      <c r="C476" s="134">
        <v>0.33333333333333331</v>
      </c>
      <c r="D476" s="134">
        <v>0.54166666666666663</v>
      </c>
      <c r="E476" s="53">
        <f t="shared" si="97"/>
        <v>5</v>
      </c>
      <c r="F476" s="51"/>
      <c r="G476" s="53">
        <f t="shared" si="102"/>
        <v>5</v>
      </c>
      <c r="H476" s="51"/>
      <c r="I476" s="51">
        <f t="shared" si="96"/>
        <v>5</v>
      </c>
    </row>
    <row r="477" spans="1:9" x14ac:dyDescent="0.25">
      <c r="A477" s="133">
        <v>45523</v>
      </c>
      <c r="B477" s="51" t="s">
        <v>414</v>
      </c>
      <c r="C477" s="134">
        <v>0.33333333333333331</v>
      </c>
      <c r="D477" s="134">
        <v>0.58333333333333337</v>
      </c>
      <c r="E477" s="53">
        <f t="shared" si="97"/>
        <v>5.5000000000000018</v>
      </c>
      <c r="F477" s="51">
        <v>0.5</v>
      </c>
      <c r="G477" s="53"/>
      <c r="H477" s="53">
        <f t="shared" ref="H477:H478" si="103">IF(WEEKDAY(A477, 2)&lt;6, E477-2, E477)</f>
        <v>3.5000000000000018</v>
      </c>
      <c r="I477" s="51">
        <f t="shared" si="96"/>
        <v>3.5000000000000018</v>
      </c>
    </row>
    <row r="478" spans="1:9" x14ac:dyDescent="0.25">
      <c r="A478" s="133">
        <v>45524</v>
      </c>
      <c r="B478" s="51" t="s">
        <v>414</v>
      </c>
      <c r="C478" s="134">
        <v>0.33333333333333331</v>
      </c>
      <c r="D478" s="134">
        <v>0.58333333333333337</v>
      </c>
      <c r="E478" s="53">
        <f t="shared" si="97"/>
        <v>5.5000000000000018</v>
      </c>
      <c r="F478" s="51">
        <v>0.5</v>
      </c>
      <c r="G478" s="53"/>
      <c r="H478" s="53">
        <f t="shared" si="103"/>
        <v>3.5000000000000018</v>
      </c>
      <c r="I478" s="51">
        <f t="shared" si="96"/>
        <v>3.5000000000000018</v>
      </c>
    </row>
    <row r="479" spans="1:9" x14ac:dyDescent="0.25">
      <c r="A479" s="133">
        <v>45524</v>
      </c>
      <c r="B479" s="51" t="s">
        <v>51</v>
      </c>
      <c r="C479" s="134">
        <v>0.58333333333333337</v>
      </c>
      <c r="D479" s="134">
        <v>0.83333333333333337</v>
      </c>
      <c r="E479" s="53">
        <f t="shared" si="97"/>
        <v>5.5</v>
      </c>
      <c r="F479" s="51">
        <v>0.5</v>
      </c>
      <c r="G479" s="53">
        <f t="shared" ref="G479:G480" si="104">IF(WEEKDAY(A479, 2)&lt;6, E479+2, E479)</f>
        <v>7.5</v>
      </c>
      <c r="H479" s="51"/>
      <c r="I479" s="51">
        <f t="shared" si="96"/>
        <v>7.5</v>
      </c>
    </row>
    <row r="480" spans="1:9" x14ac:dyDescent="0.25">
      <c r="A480" s="133">
        <v>45524</v>
      </c>
      <c r="B480" s="51" t="s">
        <v>51</v>
      </c>
      <c r="C480" s="134">
        <v>0.83333333333333337</v>
      </c>
      <c r="D480" s="134">
        <v>0</v>
      </c>
      <c r="E480" s="53">
        <f t="shared" si="97"/>
        <v>3.9999999999999991</v>
      </c>
      <c r="F480" s="51"/>
      <c r="G480" s="53">
        <f t="shared" si="104"/>
        <v>5.9999999999999991</v>
      </c>
      <c r="H480" s="51"/>
      <c r="I480" s="51">
        <f t="shared" si="96"/>
        <v>5.9999999999999991</v>
      </c>
    </row>
    <row r="481" spans="1:9" x14ac:dyDescent="0.25">
      <c r="A481" s="133">
        <v>45525</v>
      </c>
      <c r="B481" s="51" t="s">
        <v>414</v>
      </c>
      <c r="C481" s="134">
        <v>0.33333333333333331</v>
      </c>
      <c r="D481" s="134">
        <v>0.58333333333333337</v>
      </c>
      <c r="E481" s="53">
        <f t="shared" si="97"/>
        <v>5.5000000000000018</v>
      </c>
      <c r="F481" s="51">
        <v>0.5</v>
      </c>
      <c r="G481" s="53"/>
      <c r="H481" s="53">
        <f>IF(WEEKDAY(A481, 2)&lt;6, E481-2, E481)</f>
        <v>3.5000000000000018</v>
      </c>
      <c r="I481" s="51">
        <f t="shared" si="96"/>
        <v>3.5000000000000018</v>
      </c>
    </row>
    <row r="482" spans="1:9" x14ac:dyDescent="0.25">
      <c r="A482" s="133">
        <v>45525</v>
      </c>
      <c r="B482" s="51" t="s">
        <v>49</v>
      </c>
      <c r="C482" s="134">
        <v>0.66666666666666663</v>
      </c>
      <c r="D482" s="134">
        <v>0.89583333333333337</v>
      </c>
      <c r="E482" s="53">
        <f t="shared" si="97"/>
        <v>5.0000000000000018</v>
      </c>
      <c r="F482" s="51">
        <v>0.5</v>
      </c>
      <c r="G482" s="53">
        <f t="shared" ref="G482:G484" si="105">IF(WEEKDAY(A482, 2)&lt;6, E482+2, E482)</f>
        <v>7.0000000000000018</v>
      </c>
      <c r="H482" s="51"/>
      <c r="I482" s="51">
        <f t="shared" si="96"/>
        <v>7.0000000000000018</v>
      </c>
    </row>
    <row r="483" spans="1:9" x14ac:dyDescent="0.25">
      <c r="A483" s="133">
        <v>45526</v>
      </c>
      <c r="B483" s="51" t="s">
        <v>53</v>
      </c>
      <c r="C483" s="134">
        <v>0.54166666666666663</v>
      </c>
      <c r="D483" s="134">
        <v>0.77083333333333337</v>
      </c>
      <c r="E483" s="53">
        <f t="shared" si="97"/>
        <v>5.0000000000000018</v>
      </c>
      <c r="F483" s="51">
        <v>0.5</v>
      </c>
      <c r="G483" s="53">
        <f t="shared" si="105"/>
        <v>7.0000000000000018</v>
      </c>
      <c r="H483" s="51"/>
      <c r="I483" s="51">
        <f t="shared" si="96"/>
        <v>7.0000000000000018</v>
      </c>
    </row>
    <row r="484" spans="1:9" x14ac:dyDescent="0.25">
      <c r="A484" s="133">
        <v>45526</v>
      </c>
      <c r="B484" s="51" t="s">
        <v>53</v>
      </c>
      <c r="C484" s="134">
        <v>0.77083333333333337</v>
      </c>
      <c r="D484" s="134">
        <v>0.97916666666666663</v>
      </c>
      <c r="E484" s="53">
        <f t="shared" si="97"/>
        <v>4.9999999999999982</v>
      </c>
      <c r="F484" s="51"/>
      <c r="G484" s="53">
        <f t="shared" si="105"/>
        <v>6.9999999999999982</v>
      </c>
      <c r="H484" s="51"/>
      <c r="I484" s="51">
        <f t="shared" si="96"/>
        <v>6.9999999999999982</v>
      </c>
    </row>
    <row r="485" spans="1:9" x14ac:dyDescent="0.25">
      <c r="A485" s="133">
        <v>45526</v>
      </c>
      <c r="B485" s="51" t="s">
        <v>414</v>
      </c>
      <c r="C485" s="134">
        <v>0.33333333333333331</v>
      </c>
      <c r="D485" s="134">
        <v>0.58333333333333337</v>
      </c>
      <c r="E485" s="53">
        <f t="shared" si="97"/>
        <v>5.5000000000000018</v>
      </c>
      <c r="F485" s="51">
        <v>0.5</v>
      </c>
      <c r="G485" s="53"/>
      <c r="H485" s="53">
        <f>IF(WEEKDAY(A485, 2)&lt;6, E485-2, E485)</f>
        <v>3.5000000000000018</v>
      </c>
      <c r="I485" s="51">
        <f t="shared" si="96"/>
        <v>3.5000000000000018</v>
      </c>
    </row>
    <row r="486" spans="1:9" x14ac:dyDescent="0.25">
      <c r="A486" s="133">
        <v>45526</v>
      </c>
      <c r="B486" s="51" t="s">
        <v>56</v>
      </c>
      <c r="C486" s="134">
        <v>0.70833333333333337</v>
      </c>
      <c r="D486" s="134">
        <v>0.95833333333333337</v>
      </c>
      <c r="E486" s="53">
        <f t="shared" si="97"/>
        <v>5.5</v>
      </c>
      <c r="F486" s="51">
        <v>0.5</v>
      </c>
      <c r="G486" s="53">
        <f>IF(WEEKDAY(A486, 2)&lt;6, E486+2, E486)</f>
        <v>7.5</v>
      </c>
      <c r="H486" s="53"/>
      <c r="I486" s="51">
        <f t="shared" si="96"/>
        <v>7.5</v>
      </c>
    </row>
    <row r="487" spans="1:9" x14ac:dyDescent="0.25">
      <c r="A487" s="133">
        <v>45527</v>
      </c>
      <c r="B487" s="51" t="s">
        <v>414</v>
      </c>
      <c r="C487" s="134">
        <v>0.33333333333333331</v>
      </c>
      <c r="D487" s="134">
        <v>0.58333333333333337</v>
      </c>
      <c r="E487" s="53">
        <f t="shared" si="97"/>
        <v>5.5000000000000018</v>
      </c>
      <c r="F487" s="51">
        <v>0.5</v>
      </c>
      <c r="G487" s="53"/>
      <c r="H487" s="53">
        <f>IF(WEEKDAY(A487, 2)&lt;6, E487-2, E487)</f>
        <v>3.5000000000000018</v>
      </c>
      <c r="I487" s="51">
        <f t="shared" si="96"/>
        <v>3.5000000000000018</v>
      </c>
    </row>
    <row r="488" spans="1:9" x14ac:dyDescent="0.25">
      <c r="A488" s="133">
        <v>45528</v>
      </c>
      <c r="B488" s="51" t="s">
        <v>49</v>
      </c>
      <c r="C488" s="134">
        <v>0.27083333333333331</v>
      </c>
      <c r="D488" s="134">
        <v>0.52083333333333337</v>
      </c>
      <c r="E488" s="53">
        <f t="shared" si="97"/>
        <v>5.5000000000000018</v>
      </c>
      <c r="F488" s="51">
        <v>0.5</v>
      </c>
      <c r="G488" s="53">
        <f t="shared" ref="G488:G493" si="106">IF(WEEKDAY(A488, 2)&lt;6, E488+2, E488)</f>
        <v>5.5000000000000018</v>
      </c>
      <c r="H488" s="51"/>
      <c r="I488" s="51">
        <f t="shared" si="96"/>
        <v>5.5000000000000018</v>
      </c>
    </row>
    <row r="489" spans="1:9" x14ac:dyDescent="0.25">
      <c r="A489" s="133">
        <v>45528</v>
      </c>
      <c r="B489" s="51" t="s">
        <v>53</v>
      </c>
      <c r="C489" s="134">
        <v>0.5625</v>
      </c>
      <c r="D489" s="134">
        <v>0.8125</v>
      </c>
      <c r="E489" s="53">
        <f t="shared" si="97"/>
        <v>5.5</v>
      </c>
      <c r="F489" s="51">
        <v>0.5</v>
      </c>
      <c r="G489" s="53">
        <f t="shared" si="106"/>
        <v>5.5</v>
      </c>
      <c r="H489" s="51"/>
      <c r="I489" s="51">
        <f t="shared" si="96"/>
        <v>5.5</v>
      </c>
    </row>
    <row r="490" spans="1:9" x14ac:dyDescent="0.25">
      <c r="A490" s="133">
        <v>45528</v>
      </c>
      <c r="B490" s="51" t="s">
        <v>56</v>
      </c>
      <c r="C490" s="134">
        <v>0.33333333333333331</v>
      </c>
      <c r="D490" s="134">
        <v>0.625</v>
      </c>
      <c r="E490" s="53">
        <f t="shared" si="97"/>
        <v>6.5</v>
      </c>
      <c r="F490" s="51">
        <v>0.5</v>
      </c>
      <c r="G490" s="53">
        <f t="shared" si="106"/>
        <v>6.5</v>
      </c>
      <c r="H490" s="53"/>
      <c r="I490" s="51">
        <f t="shared" si="96"/>
        <v>6.5</v>
      </c>
    </row>
    <row r="491" spans="1:9" x14ac:dyDescent="0.25">
      <c r="A491" s="133">
        <v>45529</v>
      </c>
      <c r="B491" s="51" t="s">
        <v>56</v>
      </c>
      <c r="C491" s="134">
        <v>0.5625</v>
      </c>
      <c r="D491" s="134">
        <v>0.79166666666666663</v>
      </c>
      <c r="E491" s="53">
        <f t="shared" si="97"/>
        <v>4.9999999999999991</v>
      </c>
      <c r="F491" s="51">
        <v>0.5</v>
      </c>
      <c r="G491" s="53">
        <f t="shared" si="106"/>
        <v>4.9999999999999991</v>
      </c>
      <c r="H491" s="53"/>
      <c r="I491" s="51">
        <f t="shared" si="96"/>
        <v>4.9999999999999991</v>
      </c>
    </row>
    <row r="492" spans="1:9" x14ac:dyDescent="0.25">
      <c r="A492" s="133">
        <v>45529</v>
      </c>
      <c r="B492" s="51" t="s">
        <v>58</v>
      </c>
      <c r="C492" s="134">
        <v>0.33333333333333331</v>
      </c>
      <c r="D492" s="134">
        <v>0.5625</v>
      </c>
      <c r="E492" s="53">
        <f t="shared" si="97"/>
        <v>5</v>
      </c>
      <c r="F492" s="51">
        <v>0.5</v>
      </c>
      <c r="G492" s="53">
        <f t="shared" si="106"/>
        <v>5</v>
      </c>
      <c r="H492" s="51"/>
      <c r="I492" s="51">
        <f t="shared" si="96"/>
        <v>5</v>
      </c>
    </row>
    <row r="493" spans="1:9" x14ac:dyDescent="0.25">
      <c r="A493" s="133">
        <v>45529</v>
      </c>
      <c r="B493" s="51" t="s">
        <v>58</v>
      </c>
      <c r="C493" s="134">
        <v>0.79166666666666663</v>
      </c>
      <c r="D493" s="134">
        <v>0</v>
      </c>
      <c r="E493" s="53">
        <f t="shared" si="97"/>
        <v>5.0000000000000009</v>
      </c>
      <c r="F493" s="51"/>
      <c r="G493" s="53">
        <f t="shared" si="106"/>
        <v>5.0000000000000009</v>
      </c>
      <c r="H493" s="51"/>
      <c r="I493" s="51">
        <f t="shared" si="96"/>
        <v>5.0000000000000009</v>
      </c>
    </row>
    <row r="494" spans="1:9" x14ac:dyDescent="0.25">
      <c r="A494" s="133">
        <v>45530</v>
      </c>
      <c r="B494" s="51" t="s">
        <v>414</v>
      </c>
      <c r="C494" s="134">
        <v>0.33333333333333331</v>
      </c>
      <c r="D494" s="134">
        <v>0.58333333333333337</v>
      </c>
      <c r="E494" s="53">
        <f t="shared" si="97"/>
        <v>5.5000000000000018</v>
      </c>
      <c r="F494" s="51">
        <v>0.5</v>
      </c>
      <c r="G494" s="53"/>
      <c r="H494" s="53">
        <f>IF(WEEKDAY(A494, 2)&lt;6, E494-2, E494)</f>
        <v>3.5000000000000018</v>
      </c>
      <c r="I494" s="51">
        <f t="shared" si="96"/>
        <v>3.5000000000000018</v>
      </c>
    </row>
    <row r="495" spans="1:9" x14ac:dyDescent="0.25">
      <c r="A495" s="133">
        <v>45530</v>
      </c>
      <c r="B495" s="51" t="s">
        <v>56</v>
      </c>
      <c r="C495" s="134">
        <v>0.66666666666666663</v>
      </c>
      <c r="D495" s="134">
        <v>0.875</v>
      </c>
      <c r="E495" s="53">
        <f t="shared" si="97"/>
        <v>5.0000000000000009</v>
      </c>
      <c r="F495" s="51"/>
      <c r="G495" s="53">
        <f>IF(WEEKDAY(A495, 2)&lt;6, E495+2, E495)</f>
        <v>7.0000000000000009</v>
      </c>
      <c r="H495" s="53"/>
      <c r="I495" s="51">
        <f t="shared" si="96"/>
        <v>7.0000000000000009</v>
      </c>
    </row>
    <row r="496" spans="1:9" x14ac:dyDescent="0.25">
      <c r="A496" s="133">
        <v>45531</v>
      </c>
      <c r="B496" s="51" t="s">
        <v>414</v>
      </c>
      <c r="C496" s="134">
        <v>0.33333333333333331</v>
      </c>
      <c r="D496" s="134">
        <v>0.58333333333333337</v>
      </c>
      <c r="E496" s="53">
        <f t="shared" si="97"/>
        <v>5.5000000000000018</v>
      </c>
      <c r="F496" s="51">
        <v>0.5</v>
      </c>
      <c r="G496" s="53"/>
      <c r="H496" s="53">
        <f t="shared" ref="H496:H497" si="107">IF(WEEKDAY(A496, 2)&lt;6, E496-2, E496)</f>
        <v>3.5000000000000018</v>
      </c>
      <c r="I496" s="51">
        <f t="shared" si="96"/>
        <v>3.5000000000000018</v>
      </c>
    </row>
    <row r="497" spans="1:9" x14ac:dyDescent="0.25">
      <c r="A497" s="133">
        <v>45532</v>
      </c>
      <c r="B497" s="51" t="s">
        <v>414</v>
      </c>
      <c r="C497" s="134">
        <v>0.33333333333333331</v>
      </c>
      <c r="D497" s="134">
        <v>0.58333333333333337</v>
      </c>
      <c r="E497" s="53">
        <f t="shared" si="97"/>
        <v>5.5000000000000018</v>
      </c>
      <c r="F497" s="51">
        <v>0.5</v>
      </c>
      <c r="G497" s="53"/>
      <c r="H497" s="53">
        <f t="shared" si="107"/>
        <v>3.5000000000000018</v>
      </c>
      <c r="I497" s="51">
        <f t="shared" si="96"/>
        <v>3.5000000000000018</v>
      </c>
    </row>
    <row r="498" spans="1:9" x14ac:dyDescent="0.25">
      <c r="A498" s="133">
        <v>45532</v>
      </c>
      <c r="B498" s="51" t="s">
        <v>49</v>
      </c>
      <c r="C498" s="134">
        <v>0.66666666666666663</v>
      </c>
      <c r="D498" s="134">
        <v>0.89583333333333337</v>
      </c>
      <c r="E498" s="53">
        <f t="shared" si="97"/>
        <v>5.0000000000000018</v>
      </c>
      <c r="F498" s="51">
        <v>0.5</v>
      </c>
      <c r="G498" s="53">
        <f>IF(WEEKDAY(A498, 2)&lt;6, E498+2, E498)</f>
        <v>7.0000000000000018</v>
      </c>
      <c r="H498" s="51"/>
      <c r="I498" s="51">
        <f t="shared" si="96"/>
        <v>7.0000000000000018</v>
      </c>
    </row>
    <row r="499" spans="1:9" x14ac:dyDescent="0.25">
      <c r="A499" s="133">
        <v>45533</v>
      </c>
      <c r="B499" s="51" t="s">
        <v>414</v>
      </c>
      <c r="C499" s="134">
        <v>0.33333333333333331</v>
      </c>
      <c r="D499" s="134">
        <v>0.58333333333333337</v>
      </c>
      <c r="E499" s="53">
        <f t="shared" si="97"/>
        <v>5.5000000000000018</v>
      </c>
      <c r="F499" s="51">
        <v>0.5</v>
      </c>
      <c r="G499" s="53"/>
      <c r="H499" s="53">
        <f>IF(WEEKDAY(A499, 2)&lt;6, E499-2, E499)</f>
        <v>3.5000000000000018</v>
      </c>
      <c r="I499" s="51">
        <f t="shared" si="96"/>
        <v>3.5000000000000018</v>
      </c>
    </row>
    <row r="500" spans="1:9" x14ac:dyDescent="0.25">
      <c r="A500" s="133">
        <v>45533</v>
      </c>
      <c r="B500" s="51" t="s">
        <v>56</v>
      </c>
      <c r="C500" s="134">
        <v>0.77083333333333337</v>
      </c>
      <c r="D500" s="134">
        <v>0.95833333333333337</v>
      </c>
      <c r="E500" s="53">
        <f t="shared" si="97"/>
        <v>4.5</v>
      </c>
      <c r="F500" s="51"/>
      <c r="G500" s="53">
        <f>IF(WEEKDAY(A500, 2)&lt;6, E500+2, E500)</f>
        <v>6.5</v>
      </c>
      <c r="H500" s="53"/>
      <c r="I500" s="51">
        <f t="shared" si="96"/>
        <v>6.5</v>
      </c>
    </row>
    <row r="501" spans="1:9" x14ac:dyDescent="0.25">
      <c r="A501" s="133">
        <v>45534</v>
      </c>
      <c r="B501" s="51" t="s">
        <v>414</v>
      </c>
      <c r="C501" s="134">
        <v>0.33333333333333331</v>
      </c>
      <c r="D501" s="134">
        <v>0.58333333333333337</v>
      </c>
      <c r="E501" s="53">
        <f t="shared" si="97"/>
        <v>5.5000000000000018</v>
      </c>
      <c r="F501" s="51">
        <v>0.5</v>
      </c>
      <c r="G501" s="53"/>
      <c r="H501" s="53">
        <f>IF(WEEKDAY(A501, 2)&lt;6, E501-2, E501)</f>
        <v>3.5000000000000018</v>
      </c>
      <c r="I501" s="51">
        <f t="shared" si="96"/>
        <v>3.5000000000000018</v>
      </c>
    </row>
    <row r="502" spans="1:9" x14ac:dyDescent="0.25">
      <c r="A502" s="133">
        <v>45535</v>
      </c>
      <c r="B502" s="51" t="s">
        <v>56</v>
      </c>
      <c r="C502" s="134">
        <v>0.33333333333333331</v>
      </c>
      <c r="D502" s="134">
        <v>0.54166666666666663</v>
      </c>
      <c r="E502" s="53">
        <f t="shared" si="97"/>
        <v>5</v>
      </c>
      <c r="F502" s="51"/>
      <c r="G502" s="53">
        <f t="shared" ref="G502:G507" si="108">IF(WEEKDAY(A502, 2)&lt;6, E502+2, E502)</f>
        <v>5</v>
      </c>
      <c r="H502" s="53"/>
      <c r="I502" s="51">
        <f t="shared" si="96"/>
        <v>5</v>
      </c>
    </row>
    <row r="503" spans="1:9" x14ac:dyDescent="0.25">
      <c r="A503" s="133">
        <v>45535</v>
      </c>
      <c r="B503" s="51" t="s">
        <v>53</v>
      </c>
      <c r="C503" s="134">
        <v>0.58333333333333337</v>
      </c>
      <c r="D503" s="134">
        <v>0.8125</v>
      </c>
      <c r="E503" s="53">
        <f t="shared" si="97"/>
        <v>4.9999999999999991</v>
      </c>
      <c r="F503" s="51">
        <v>0.5</v>
      </c>
      <c r="G503" s="53">
        <f t="shared" si="108"/>
        <v>4.9999999999999991</v>
      </c>
      <c r="H503" s="51"/>
      <c r="I503" s="51">
        <f t="shared" si="96"/>
        <v>4.9999999999999991</v>
      </c>
    </row>
    <row r="504" spans="1:9" x14ac:dyDescent="0.25">
      <c r="A504" s="133">
        <v>45535</v>
      </c>
      <c r="B504" s="51" t="s">
        <v>58</v>
      </c>
      <c r="C504" s="134">
        <v>0.83333333333333337</v>
      </c>
      <c r="D504" s="134">
        <v>4.1666666666666664E-2</v>
      </c>
      <c r="E504" s="53">
        <f t="shared" si="97"/>
        <v>4.9999999999999982</v>
      </c>
      <c r="F504" s="51"/>
      <c r="G504" s="53">
        <f t="shared" si="108"/>
        <v>4.9999999999999982</v>
      </c>
      <c r="H504" s="51"/>
      <c r="I504" s="51">
        <f t="shared" si="96"/>
        <v>4.9999999999999982</v>
      </c>
    </row>
    <row r="505" spans="1:9" x14ac:dyDescent="0.25">
      <c r="A505" s="133">
        <v>45535</v>
      </c>
      <c r="B505" s="51" t="s">
        <v>58</v>
      </c>
      <c r="C505" s="134">
        <v>0.58333333333333337</v>
      </c>
      <c r="D505" s="134">
        <v>0.83333333333333337</v>
      </c>
      <c r="E505" s="53">
        <f t="shared" si="97"/>
        <v>5.5</v>
      </c>
      <c r="F505" s="51">
        <v>0.5</v>
      </c>
      <c r="G505" s="53">
        <f t="shared" si="108"/>
        <v>5.5</v>
      </c>
      <c r="H505" s="51"/>
      <c r="I505" s="51">
        <f t="shared" si="96"/>
        <v>5.5</v>
      </c>
    </row>
    <row r="506" spans="1:9" x14ac:dyDescent="0.25">
      <c r="A506" s="133">
        <v>45535</v>
      </c>
      <c r="B506" s="51" t="s">
        <v>49</v>
      </c>
      <c r="C506" s="134">
        <v>0.33333333333333331</v>
      </c>
      <c r="D506" s="134">
        <v>0.52083333333333337</v>
      </c>
      <c r="E506" s="53">
        <f t="shared" si="97"/>
        <v>4.5000000000000018</v>
      </c>
      <c r="F506" s="51"/>
      <c r="G506" s="53">
        <f t="shared" si="108"/>
        <v>4.5000000000000018</v>
      </c>
      <c r="H506" s="51"/>
      <c r="I506" s="51">
        <f t="shared" si="96"/>
        <v>4.5000000000000018</v>
      </c>
    </row>
    <row r="507" spans="1:9" x14ac:dyDescent="0.25">
      <c r="A507" s="133">
        <v>45535</v>
      </c>
      <c r="B507" s="51" t="s">
        <v>53</v>
      </c>
      <c r="C507" s="134">
        <v>0.8125</v>
      </c>
      <c r="D507" s="134">
        <v>0</v>
      </c>
      <c r="E507" s="53">
        <f t="shared" si="97"/>
        <v>4.5</v>
      </c>
      <c r="F507" s="51"/>
      <c r="G507" s="53">
        <f t="shared" si="108"/>
        <v>4.5</v>
      </c>
      <c r="H507" s="51"/>
      <c r="I507" s="51">
        <f t="shared" si="96"/>
        <v>4.5</v>
      </c>
    </row>
    <row r="508" spans="1:9" x14ac:dyDescent="0.25">
      <c r="A508" s="133">
        <v>45538</v>
      </c>
      <c r="B508" s="51" t="s">
        <v>414</v>
      </c>
      <c r="C508" s="134">
        <v>0.33333333333333331</v>
      </c>
      <c r="D508" s="134">
        <v>0.58333333333333337</v>
      </c>
      <c r="E508" s="53">
        <f t="shared" si="97"/>
        <v>5.5000000000000018</v>
      </c>
      <c r="F508" s="51">
        <v>0.5</v>
      </c>
      <c r="G508" s="53"/>
      <c r="H508" s="53">
        <f>IF(WEEKDAY(A508, 2)&lt;6, E508-2, E508)</f>
        <v>3.5000000000000018</v>
      </c>
      <c r="I508" s="51">
        <f t="shared" si="96"/>
        <v>3.5000000000000018</v>
      </c>
    </row>
    <row r="509" spans="1:9" x14ac:dyDescent="0.25">
      <c r="A509" s="133">
        <v>45538</v>
      </c>
      <c r="B509" s="51" t="s">
        <v>49</v>
      </c>
      <c r="C509" s="134">
        <v>0.6875</v>
      </c>
      <c r="D509" s="134">
        <v>0.89583333333333337</v>
      </c>
      <c r="E509" s="53">
        <f t="shared" si="97"/>
        <v>4.5000000000000009</v>
      </c>
      <c r="F509" s="51">
        <v>0.5</v>
      </c>
      <c r="G509" s="53">
        <f>IF(WEEKDAY(A509, 2)&lt;6, E509+2, E509)</f>
        <v>6.5000000000000009</v>
      </c>
      <c r="H509" s="51"/>
      <c r="I509" s="51">
        <f t="shared" si="96"/>
        <v>6.5000000000000009</v>
      </c>
    </row>
    <row r="510" spans="1:9" x14ac:dyDescent="0.25">
      <c r="A510" s="133">
        <v>45539</v>
      </c>
      <c r="B510" s="51" t="s">
        <v>414</v>
      </c>
      <c r="C510" s="134">
        <v>0.33333333333333331</v>
      </c>
      <c r="D510" s="134">
        <v>0.58333333333333337</v>
      </c>
      <c r="E510" s="53">
        <f t="shared" si="97"/>
        <v>5.5000000000000018</v>
      </c>
      <c r="F510" s="51">
        <v>0.5</v>
      </c>
      <c r="G510" s="53"/>
      <c r="H510" s="53">
        <f>IF(WEEKDAY(A510, 2)&lt;6, E510-2, E510)</f>
        <v>3.5000000000000018</v>
      </c>
      <c r="I510" s="51">
        <f t="shared" si="96"/>
        <v>3.5000000000000018</v>
      </c>
    </row>
    <row r="511" spans="1:9" x14ac:dyDescent="0.25">
      <c r="A511" s="133">
        <v>45539</v>
      </c>
      <c r="B511" s="51" t="s">
        <v>56</v>
      </c>
      <c r="C511" s="134">
        <v>0.66666666666666663</v>
      </c>
      <c r="D511" s="134">
        <v>0.89583333333333337</v>
      </c>
      <c r="E511" s="53">
        <f t="shared" si="97"/>
        <v>5.5000000000000018</v>
      </c>
      <c r="F511" s="51"/>
      <c r="G511" s="53">
        <f t="shared" ref="G511:G512" si="109">IF(WEEKDAY(A511, 2)&lt;6, E511+2, E511)</f>
        <v>7.5000000000000018</v>
      </c>
      <c r="H511" s="53"/>
      <c r="I511" s="51">
        <f t="shared" si="96"/>
        <v>7.5000000000000018</v>
      </c>
    </row>
    <row r="512" spans="1:9" x14ac:dyDescent="0.25">
      <c r="A512" s="133">
        <v>45540</v>
      </c>
      <c r="B512" s="51" t="s">
        <v>56</v>
      </c>
      <c r="C512" s="134">
        <v>0.75</v>
      </c>
      <c r="D512" s="134">
        <v>0.95833333333333337</v>
      </c>
      <c r="E512" s="53">
        <f t="shared" si="97"/>
        <v>5.0000000000000009</v>
      </c>
      <c r="F512" s="51"/>
      <c r="G512" s="53">
        <f t="shared" si="109"/>
        <v>7.0000000000000009</v>
      </c>
      <c r="H512" s="53"/>
      <c r="I512" s="51">
        <f t="shared" si="96"/>
        <v>7.0000000000000009</v>
      </c>
    </row>
    <row r="513" spans="1:9" x14ac:dyDescent="0.25">
      <c r="A513" s="133">
        <v>45540</v>
      </c>
      <c r="B513" s="51" t="s">
        <v>414</v>
      </c>
      <c r="C513" s="134">
        <v>0.33333333333333331</v>
      </c>
      <c r="D513" s="134">
        <v>0.58333333333333337</v>
      </c>
      <c r="E513" s="53">
        <f t="shared" si="97"/>
        <v>5.5000000000000018</v>
      </c>
      <c r="F513" s="51">
        <v>0.5</v>
      </c>
      <c r="G513" s="53"/>
      <c r="H513" s="53">
        <f t="shared" ref="H513:H514" si="110">IF(WEEKDAY(A513, 2)&lt;6, E513-2, E513)</f>
        <v>3.5000000000000018</v>
      </c>
      <c r="I513" s="51">
        <f t="shared" si="96"/>
        <v>3.5000000000000018</v>
      </c>
    </row>
    <row r="514" spans="1:9" x14ac:dyDescent="0.25">
      <c r="A514" s="133">
        <v>45541</v>
      </c>
      <c r="B514" s="51" t="s">
        <v>414</v>
      </c>
      <c r="C514" s="134">
        <v>0.33333333333333331</v>
      </c>
      <c r="D514" s="134">
        <v>0.58333333333333337</v>
      </c>
      <c r="E514" s="53">
        <f t="shared" si="97"/>
        <v>5.5000000000000018</v>
      </c>
      <c r="F514" s="51">
        <v>0.5</v>
      </c>
      <c r="G514" s="53"/>
      <c r="H514" s="53">
        <f t="shared" si="110"/>
        <v>3.5000000000000018</v>
      </c>
      <c r="I514" s="51">
        <f t="shared" ref="I514:I577" si="111">IF(G514&lt;&gt;"",G514,H514)</f>
        <v>3.5000000000000018</v>
      </c>
    </row>
    <row r="515" spans="1:9" x14ac:dyDescent="0.25">
      <c r="A515" s="133">
        <v>45542</v>
      </c>
      <c r="B515" s="51" t="s">
        <v>56</v>
      </c>
      <c r="C515" s="134">
        <v>0.27083333333333331</v>
      </c>
      <c r="D515" s="134">
        <v>0.41666666666666669</v>
      </c>
      <c r="E515" s="53">
        <f t="shared" ref="E515:E578" si="112">MOD((D515-C515),1) *24 - F515</f>
        <v>3.5000000000000009</v>
      </c>
      <c r="F515" s="51"/>
      <c r="G515" s="53">
        <f t="shared" ref="G515:G522" si="113">IF(WEEKDAY(A515, 2)&lt;6, E515+2, E515)</f>
        <v>3.5000000000000009</v>
      </c>
      <c r="H515" s="53"/>
      <c r="I515" s="51">
        <f t="shared" si="111"/>
        <v>3.5000000000000009</v>
      </c>
    </row>
    <row r="516" spans="1:9" x14ac:dyDescent="0.25">
      <c r="A516" s="133">
        <v>45542</v>
      </c>
      <c r="B516" s="51" t="s">
        <v>56</v>
      </c>
      <c r="C516" s="134">
        <v>0.33333333333333331</v>
      </c>
      <c r="D516" s="134">
        <v>0.54166666666666663</v>
      </c>
      <c r="E516" s="53">
        <f t="shared" si="112"/>
        <v>5</v>
      </c>
      <c r="F516" s="51"/>
      <c r="G516" s="53">
        <f t="shared" si="113"/>
        <v>5</v>
      </c>
      <c r="H516" s="53"/>
      <c r="I516" s="51">
        <f t="shared" si="111"/>
        <v>5</v>
      </c>
    </row>
    <row r="517" spans="1:9" x14ac:dyDescent="0.25">
      <c r="A517" s="133">
        <v>45542</v>
      </c>
      <c r="B517" s="51" t="s">
        <v>49</v>
      </c>
      <c r="C517" s="134">
        <v>0.33333333333333331</v>
      </c>
      <c r="D517" s="134">
        <v>0.52083333333333337</v>
      </c>
      <c r="E517" s="53">
        <f t="shared" si="112"/>
        <v>4.5000000000000018</v>
      </c>
      <c r="F517" s="51"/>
      <c r="G517" s="53">
        <f t="shared" si="113"/>
        <v>4.5000000000000018</v>
      </c>
      <c r="H517" s="51"/>
      <c r="I517" s="51">
        <f t="shared" si="111"/>
        <v>4.5000000000000018</v>
      </c>
    </row>
    <row r="518" spans="1:9" x14ac:dyDescent="0.25">
      <c r="A518" s="133">
        <v>45542</v>
      </c>
      <c r="B518" s="51" t="s">
        <v>58</v>
      </c>
      <c r="C518" s="134">
        <v>0.54166666666666663</v>
      </c>
      <c r="D518" s="134">
        <v>0.875</v>
      </c>
      <c r="E518" s="53">
        <f t="shared" si="112"/>
        <v>7.5</v>
      </c>
      <c r="F518" s="51">
        <v>0.5</v>
      </c>
      <c r="G518" s="53">
        <f t="shared" si="113"/>
        <v>7.5</v>
      </c>
      <c r="H518" s="51"/>
      <c r="I518" s="51">
        <f t="shared" si="111"/>
        <v>7.5</v>
      </c>
    </row>
    <row r="519" spans="1:9" x14ac:dyDescent="0.25">
      <c r="A519" s="133">
        <v>45542</v>
      </c>
      <c r="B519" s="51" t="s">
        <v>53</v>
      </c>
      <c r="C519" s="134">
        <v>0.47916666666666669</v>
      </c>
      <c r="D519" s="134">
        <v>0.75</v>
      </c>
      <c r="E519" s="53">
        <f t="shared" si="112"/>
        <v>6</v>
      </c>
      <c r="F519" s="51">
        <v>0.5</v>
      </c>
      <c r="G519" s="53">
        <f t="shared" si="113"/>
        <v>6</v>
      </c>
      <c r="H519" s="51"/>
      <c r="I519" s="51">
        <f t="shared" si="111"/>
        <v>6</v>
      </c>
    </row>
    <row r="520" spans="1:9" x14ac:dyDescent="0.25">
      <c r="A520" s="133">
        <v>45542</v>
      </c>
      <c r="B520" s="51" t="s">
        <v>46</v>
      </c>
      <c r="C520" s="134">
        <v>0.5</v>
      </c>
      <c r="D520" s="134">
        <v>0.79166666666666663</v>
      </c>
      <c r="E520" s="53">
        <f t="shared" si="112"/>
        <v>6.4999999999999991</v>
      </c>
      <c r="F520" s="51">
        <v>0.5</v>
      </c>
      <c r="G520" s="53">
        <f t="shared" si="113"/>
        <v>6.4999999999999991</v>
      </c>
      <c r="H520" s="51"/>
      <c r="I520" s="51">
        <f t="shared" si="111"/>
        <v>6.4999999999999991</v>
      </c>
    </row>
    <row r="521" spans="1:9" x14ac:dyDescent="0.25">
      <c r="A521" s="133">
        <v>45542</v>
      </c>
      <c r="B521" s="51" t="s">
        <v>53</v>
      </c>
      <c r="C521" s="134">
        <v>0.75</v>
      </c>
      <c r="D521" s="134">
        <v>2.0833333333333332E-2</v>
      </c>
      <c r="E521" s="53">
        <f t="shared" si="112"/>
        <v>6.0000000000000009</v>
      </c>
      <c r="F521" s="51">
        <v>0.5</v>
      </c>
      <c r="G521" s="53">
        <f t="shared" si="113"/>
        <v>6.0000000000000009</v>
      </c>
      <c r="H521" s="51"/>
      <c r="I521" s="51">
        <f t="shared" si="111"/>
        <v>6.0000000000000009</v>
      </c>
    </row>
    <row r="522" spans="1:9" x14ac:dyDescent="0.25">
      <c r="A522" s="133">
        <v>45543</v>
      </c>
      <c r="B522" s="51" t="s">
        <v>46</v>
      </c>
      <c r="C522" s="134">
        <v>0.58333333333333337</v>
      </c>
      <c r="D522" s="134">
        <v>0.91666666666666663</v>
      </c>
      <c r="E522" s="53">
        <f t="shared" si="112"/>
        <v>7.4999999999999982</v>
      </c>
      <c r="F522" s="51">
        <v>0.5</v>
      </c>
      <c r="G522" s="53">
        <f t="shared" si="113"/>
        <v>7.4999999999999982</v>
      </c>
      <c r="H522" s="51"/>
      <c r="I522" s="51">
        <f t="shared" si="111"/>
        <v>7.4999999999999982</v>
      </c>
    </row>
    <row r="523" spans="1:9" x14ac:dyDescent="0.25">
      <c r="A523" s="133">
        <v>45544</v>
      </c>
      <c r="B523" s="51" t="s">
        <v>414</v>
      </c>
      <c r="C523" s="134">
        <v>0.33333333333333331</v>
      </c>
      <c r="D523" s="134">
        <v>0.58333333333333337</v>
      </c>
      <c r="E523" s="53">
        <f t="shared" si="112"/>
        <v>5.5000000000000018</v>
      </c>
      <c r="F523" s="51">
        <v>0.5</v>
      </c>
      <c r="G523" s="53"/>
      <c r="H523" s="53">
        <f>IF(WEEKDAY(A523, 2)&lt;6, E523-2, E523)</f>
        <v>3.5000000000000018</v>
      </c>
      <c r="I523" s="51">
        <f t="shared" si="111"/>
        <v>3.5000000000000018</v>
      </c>
    </row>
    <row r="524" spans="1:9" x14ac:dyDescent="0.25">
      <c r="A524" s="133">
        <v>45545</v>
      </c>
      <c r="B524" s="51" t="s">
        <v>53</v>
      </c>
      <c r="C524" s="134">
        <v>0.66666666666666663</v>
      </c>
      <c r="D524" s="134">
        <v>0.875</v>
      </c>
      <c r="E524" s="53">
        <f t="shared" si="112"/>
        <v>5.0000000000000009</v>
      </c>
      <c r="F524" s="51"/>
      <c r="G524" s="53">
        <f>IF(WEEKDAY(A524, 2)&lt;6, E524+2, E524)</f>
        <v>7.0000000000000009</v>
      </c>
      <c r="H524" s="51"/>
      <c r="I524" s="51">
        <f t="shared" si="111"/>
        <v>7.0000000000000009</v>
      </c>
    </row>
    <row r="525" spans="1:9" x14ac:dyDescent="0.25">
      <c r="A525" s="133">
        <v>45545</v>
      </c>
      <c r="B525" s="51" t="s">
        <v>414</v>
      </c>
      <c r="C525" s="134">
        <v>0.33333333333333331</v>
      </c>
      <c r="D525" s="134">
        <v>0.58333333333333337</v>
      </c>
      <c r="E525" s="53">
        <f t="shared" si="112"/>
        <v>5.5000000000000018</v>
      </c>
      <c r="F525" s="51">
        <v>0.5</v>
      </c>
      <c r="G525" s="53"/>
      <c r="H525" s="53">
        <f t="shared" ref="H525:H527" si="114">IF(WEEKDAY(A525, 2)&lt;6, E525-2, E525)</f>
        <v>3.5000000000000018</v>
      </c>
      <c r="I525" s="51">
        <f t="shared" si="111"/>
        <v>3.5000000000000018</v>
      </c>
    </row>
    <row r="526" spans="1:9" x14ac:dyDescent="0.25">
      <c r="A526" s="133">
        <v>45546</v>
      </c>
      <c r="B526" s="51" t="s">
        <v>414</v>
      </c>
      <c r="C526" s="134">
        <v>0.33333333333333331</v>
      </c>
      <c r="D526" s="134">
        <v>0.58333333333333337</v>
      </c>
      <c r="E526" s="53">
        <f t="shared" si="112"/>
        <v>5.5000000000000018</v>
      </c>
      <c r="F526" s="51">
        <v>0.5</v>
      </c>
      <c r="G526" s="53"/>
      <c r="H526" s="53">
        <f t="shared" si="114"/>
        <v>3.5000000000000018</v>
      </c>
      <c r="I526" s="51">
        <f t="shared" si="111"/>
        <v>3.5000000000000018</v>
      </c>
    </row>
    <row r="527" spans="1:9" x14ac:dyDescent="0.25">
      <c r="A527" s="133">
        <v>45547</v>
      </c>
      <c r="B527" s="51" t="s">
        <v>414</v>
      </c>
      <c r="C527" s="134">
        <v>0.33333333333333331</v>
      </c>
      <c r="D527" s="134">
        <v>0.58333333333333337</v>
      </c>
      <c r="E527" s="53">
        <f t="shared" si="112"/>
        <v>5.5000000000000018</v>
      </c>
      <c r="F527" s="51">
        <v>0.5</v>
      </c>
      <c r="G527" s="53"/>
      <c r="H527" s="53">
        <f t="shared" si="114"/>
        <v>3.5000000000000018</v>
      </c>
      <c r="I527" s="51">
        <f t="shared" si="111"/>
        <v>3.5000000000000018</v>
      </c>
    </row>
    <row r="528" spans="1:9" x14ac:dyDescent="0.25">
      <c r="A528" s="133">
        <v>45547</v>
      </c>
      <c r="B528" s="51" t="s">
        <v>56</v>
      </c>
      <c r="C528" s="134">
        <v>0.77083333333333337</v>
      </c>
      <c r="D528" s="134">
        <v>0.95833333333333337</v>
      </c>
      <c r="E528" s="53">
        <f t="shared" si="112"/>
        <v>4.5</v>
      </c>
      <c r="F528" s="51"/>
      <c r="G528" s="53">
        <f t="shared" ref="G528:G530" si="115">IF(WEEKDAY(A528, 2)&lt;6, E528+2, E528)</f>
        <v>6.5</v>
      </c>
      <c r="H528" s="53"/>
      <c r="I528" s="51">
        <f t="shared" si="111"/>
        <v>6.5</v>
      </c>
    </row>
    <row r="529" spans="1:9" x14ac:dyDescent="0.25">
      <c r="A529" s="133">
        <v>45548</v>
      </c>
      <c r="B529" s="51" t="s">
        <v>45</v>
      </c>
      <c r="C529" s="134">
        <v>0.33333333333333331</v>
      </c>
      <c r="D529" s="134">
        <v>0.66666666666666663</v>
      </c>
      <c r="E529" s="53">
        <f t="shared" si="112"/>
        <v>7.5</v>
      </c>
      <c r="F529" s="51">
        <v>0.5</v>
      </c>
      <c r="G529" s="53">
        <f t="shared" si="115"/>
        <v>9.5</v>
      </c>
      <c r="H529" s="51"/>
      <c r="I529" s="51">
        <f t="shared" si="111"/>
        <v>9.5</v>
      </c>
    </row>
    <row r="530" spans="1:9" x14ac:dyDescent="0.25">
      <c r="A530" s="133">
        <v>45548</v>
      </c>
      <c r="B530" s="51" t="s">
        <v>53</v>
      </c>
      <c r="C530" s="134">
        <v>0.625</v>
      </c>
      <c r="D530" s="134">
        <v>0.83333333333333337</v>
      </c>
      <c r="E530" s="53">
        <f t="shared" si="112"/>
        <v>5.0000000000000009</v>
      </c>
      <c r="F530" s="51"/>
      <c r="G530" s="53">
        <f t="shared" si="115"/>
        <v>7.0000000000000009</v>
      </c>
      <c r="H530" s="51"/>
      <c r="I530" s="51">
        <f t="shared" si="111"/>
        <v>7.0000000000000009</v>
      </c>
    </row>
    <row r="531" spans="1:9" x14ac:dyDescent="0.25">
      <c r="A531" s="133">
        <v>45548</v>
      </c>
      <c r="B531" s="51" t="s">
        <v>414</v>
      </c>
      <c r="C531" s="134">
        <v>0.33333333333333331</v>
      </c>
      <c r="D531" s="134">
        <v>0.58333333333333337</v>
      </c>
      <c r="E531" s="53">
        <f t="shared" si="112"/>
        <v>5.5000000000000018</v>
      </c>
      <c r="F531" s="51">
        <v>0.5</v>
      </c>
      <c r="G531" s="53"/>
      <c r="H531" s="53">
        <f>IF(WEEKDAY(A531, 2)&lt;6, E531-2, E531)</f>
        <v>3.5000000000000018</v>
      </c>
      <c r="I531" s="51">
        <f t="shared" si="111"/>
        <v>3.5000000000000018</v>
      </c>
    </row>
    <row r="532" spans="1:9" x14ac:dyDescent="0.25">
      <c r="A532" s="133">
        <v>45549</v>
      </c>
      <c r="B532" s="51" t="s">
        <v>49</v>
      </c>
      <c r="C532" s="134">
        <v>0.33333333333333331</v>
      </c>
      <c r="D532" s="134">
        <v>0.52083333333333337</v>
      </c>
      <c r="E532" s="53">
        <f t="shared" si="112"/>
        <v>4.5000000000000018</v>
      </c>
      <c r="F532" s="51"/>
      <c r="G532" s="53">
        <f t="shared" ref="G532:G540" si="116">IF(WEEKDAY(A532, 2)&lt;6, E532+2, E532)</f>
        <v>4.5000000000000018</v>
      </c>
      <c r="H532" s="51"/>
      <c r="I532" s="51">
        <f t="shared" si="111"/>
        <v>4.5000000000000018</v>
      </c>
    </row>
    <row r="533" spans="1:9" x14ac:dyDescent="0.25">
      <c r="A533" s="133">
        <v>45549</v>
      </c>
      <c r="B533" s="51" t="s">
        <v>53</v>
      </c>
      <c r="C533" s="134">
        <v>0.66666666666666663</v>
      </c>
      <c r="D533" s="134">
        <v>0.83333333333333337</v>
      </c>
      <c r="E533" s="53">
        <f t="shared" si="112"/>
        <v>4.0000000000000018</v>
      </c>
      <c r="F533" s="51"/>
      <c r="G533" s="53">
        <f t="shared" si="116"/>
        <v>4.0000000000000018</v>
      </c>
      <c r="H533" s="51"/>
      <c r="I533" s="51">
        <f t="shared" si="111"/>
        <v>4.0000000000000018</v>
      </c>
    </row>
    <row r="534" spans="1:9" x14ac:dyDescent="0.25">
      <c r="A534" s="133">
        <v>45549</v>
      </c>
      <c r="B534" s="51" t="s">
        <v>58</v>
      </c>
      <c r="C534" s="134">
        <v>0.70833333333333337</v>
      </c>
      <c r="D534" s="134">
        <v>0.95833333333333337</v>
      </c>
      <c r="E534" s="53">
        <f t="shared" si="112"/>
        <v>5.5</v>
      </c>
      <c r="F534" s="51">
        <v>0.5</v>
      </c>
      <c r="G534" s="53">
        <f t="shared" si="116"/>
        <v>5.5</v>
      </c>
      <c r="H534" s="51"/>
      <c r="I534" s="51">
        <f t="shared" si="111"/>
        <v>5.5</v>
      </c>
    </row>
    <row r="535" spans="1:9" x14ac:dyDescent="0.25">
      <c r="A535" s="133">
        <v>45549</v>
      </c>
      <c r="B535" s="51" t="s">
        <v>53</v>
      </c>
      <c r="C535" s="134">
        <v>0.83333333333333337</v>
      </c>
      <c r="D535" s="134">
        <v>4.1666666666666664E-2</v>
      </c>
      <c r="E535" s="53">
        <f t="shared" si="112"/>
        <v>4.9999999999999982</v>
      </c>
      <c r="F535" s="51"/>
      <c r="G535" s="53">
        <f t="shared" si="116"/>
        <v>4.9999999999999982</v>
      </c>
      <c r="H535" s="51"/>
      <c r="I535" s="51">
        <f t="shared" si="111"/>
        <v>4.9999999999999982</v>
      </c>
    </row>
    <row r="536" spans="1:9" x14ac:dyDescent="0.25">
      <c r="A536" s="133">
        <v>45549</v>
      </c>
      <c r="B536" s="51" t="s">
        <v>58</v>
      </c>
      <c r="C536" s="134">
        <v>0.45833333333333331</v>
      </c>
      <c r="D536" s="134">
        <v>0.70833333333333337</v>
      </c>
      <c r="E536" s="53">
        <f t="shared" si="112"/>
        <v>5.5000000000000018</v>
      </c>
      <c r="F536" s="51">
        <v>0.5</v>
      </c>
      <c r="G536" s="53">
        <f t="shared" si="116"/>
        <v>5.5000000000000018</v>
      </c>
      <c r="H536" s="51"/>
      <c r="I536" s="51">
        <f t="shared" si="111"/>
        <v>5.5000000000000018</v>
      </c>
    </row>
    <row r="537" spans="1:9" x14ac:dyDescent="0.25">
      <c r="A537" s="133">
        <v>45549</v>
      </c>
      <c r="B537" s="51" t="s">
        <v>58</v>
      </c>
      <c r="C537" s="134">
        <v>0.27083333333333331</v>
      </c>
      <c r="D537" s="134">
        <v>0.41666666666666669</v>
      </c>
      <c r="E537" s="53">
        <f t="shared" si="112"/>
        <v>3.5000000000000009</v>
      </c>
      <c r="F537" s="51"/>
      <c r="G537" s="53">
        <f t="shared" si="116"/>
        <v>3.5000000000000009</v>
      </c>
      <c r="H537" s="51"/>
      <c r="I537" s="51">
        <f t="shared" si="111"/>
        <v>3.5000000000000009</v>
      </c>
    </row>
    <row r="538" spans="1:9" x14ac:dyDescent="0.25">
      <c r="A538" s="133">
        <v>45549</v>
      </c>
      <c r="B538" s="51" t="s">
        <v>56</v>
      </c>
      <c r="C538" s="134">
        <v>0.33333333333333331</v>
      </c>
      <c r="D538" s="134">
        <v>0.54166666666666663</v>
      </c>
      <c r="E538" s="53">
        <f t="shared" si="112"/>
        <v>5</v>
      </c>
      <c r="F538" s="51"/>
      <c r="G538" s="53">
        <f t="shared" si="116"/>
        <v>5</v>
      </c>
      <c r="H538" s="53"/>
      <c r="I538" s="51">
        <f t="shared" si="111"/>
        <v>5</v>
      </c>
    </row>
    <row r="539" spans="1:9" x14ac:dyDescent="0.25">
      <c r="A539" s="133">
        <v>45550</v>
      </c>
      <c r="B539" s="51" t="s">
        <v>46</v>
      </c>
      <c r="C539" s="134">
        <v>0.375</v>
      </c>
      <c r="D539" s="134">
        <v>0.70833333333333337</v>
      </c>
      <c r="E539" s="53">
        <f t="shared" si="112"/>
        <v>7.5</v>
      </c>
      <c r="F539" s="51">
        <v>0.5</v>
      </c>
      <c r="G539" s="53">
        <f t="shared" si="116"/>
        <v>7.5</v>
      </c>
      <c r="H539" s="51"/>
      <c r="I539" s="51">
        <f t="shared" si="111"/>
        <v>7.5</v>
      </c>
    </row>
    <row r="540" spans="1:9" x14ac:dyDescent="0.25">
      <c r="A540" s="133">
        <v>45550</v>
      </c>
      <c r="B540" s="51" t="s">
        <v>58</v>
      </c>
      <c r="C540" s="134">
        <v>0.45833333333333331</v>
      </c>
      <c r="D540" s="134">
        <v>0.70833333333333337</v>
      </c>
      <c r="E540" s="53">
        <f t="shared" si="112"/>
        <v>5.5000000000000018</v>
      </c>
      <c r="F540" s="51">
        <v>0.5</v>
      </c>
      <c r="G540" s="53">
        <f t="shared" si="116"/>
        <v>5.5000000000000018</v>
      </c>
      <c r="H540" s="51"/>
      <c r="I540" s="51">
        <f t="shared" si="111"/>
        <v>5.5000000000000018</v>
      </c>
    </row>
    <row r="541" spans="1:9" x14ac:dyDescent="0.25">
      <c r="A541" s="133">
        <v>45551</v>
      </c>
      <c r="B541" s="51" t="s">
        <v>414</v>
      </c>
      <c r="C541" s="134">
        <v>0.33333333333333331</v>
      </c>
      <c r="D541" s="134">
        <v>0.58333333333333337</v>
      </c>
      <c r="E541" s="53">
        <f t="shared" si="112"/>
        <v>5.5000000000000018</v>
      </c>
      <c r="F541" s="51">
        <v>0.5</v>
      </c>
      <c r="G541" s="53"/>
      <c r="H541" s="53">
        <f t="shared" ref="H541:H542" si="117">IF(WEEKDAY(A541, 2)&lt;6, E541-2, E541)</f>
        <v>3.5000000000000018</v>
      </c>
      <c r="I541" s="51">
        <f t="shared" si="111"/>
        <v>3.5000000000000018</v>
      </c>
    </row>
    <row r="542" spans="1:9" x14ac:dyDescent="0.25">
      <c r="A542" s="133">
        <v>45552</v>
      </c>
      <c r="B542" s="51" t="s">
        <v>414</v>
      </c>
      <c r="C542" s="134">
        <v>0.33333333333333331</v>
      </c>
      <c r="D542" s="134">
        <v>0.58333333333333337</v>
      </c>
      <c r="E542" s="53">
        <f t="shared" si="112"/>
        <v>5.5000000000000018</v>
      </c>
      <c r="F542" s="51">
        <v>0.5</v>
      </c>
      <c r="G542" s="53"/>
      <c r="H542" s="53">
        <f t="shared" si="117"/>
        <v>3.5000000000000018</v>
      </c>
      <c r="I542" s="51">
        <f t="shared" si="111"/>
        <v>3.5000000000000018</v>
      </c>
    </row>
    <row r="543" spans="1:9" x14ac:dyDescent="0.25">
      <c r="A543" s="133">
        <v>45553</v>
      </c>
      <c r="B543" s="51" t="s">
        <v>49</v>
      </c>
      <c r="C543" s="134">
        <v>0.6875</v>
      </c>
      <c r="D543" s="134">
        <v>0.89583333333333337</v>
      </c>
      <c r="E543" s="53">
        <f t="shared" si="112"/>
        <v>5.0000000000000009</v>
      </c>
      <c r="F543" s="51"/>
      <c r="G543" s="53">
        <f>IF(WEEKDAY(A543, 2)&lt;6, E543+2, E543)</f>
        <v>7.0000000000000009</v>
      </c>
      <c r="H543" s="51"/>
      <c r="I543" s="51">
        <f t="shared" si="111"/>
        <v>7.0000000000000009</v>
      </c>
    </row>
    <row r="544" spans="1:9" x14ac:dyDescent="0.25">
      <c r="A544" s="133">
        <v>45553</v>
      </c>
      <c r="B544" s="51" t="s">
        <v>414</v>
      </c>
      <c r="C544" s="134">
        <v>0.33333333333333331</v>
      </c>
      <c r="D544" s="134">
        <v>0.58333333333333337</v>
      </c>
      <c r="E544" s="53">
        <f t="shared" si="112"/>
        <v>5.5000000000000018</v>
      </c>
      <c r="F544" s="51">
        <v>0.5</v>
      </c>
      <c r="G544" s="53"/>
      <c r="H544" s="53">
        <f>IF(WEEKDAY(A544, 2)&lt;6, E544-2, E544)</f>
        <v>3.5000000000000018</v>
      </c>
      <c r="I544" s="51">
        <f t="shared" si="111"/>
        <v>3.5000000000000018</v>
      </c>
    </row>
    <row r="545" spans="1:9" x14ac:dyDescent="0.25">
      <c r="A545" s="133">
        <v>45553</v>
      </c>
      <c r="B545" s="51" t="s">
        <v>56</v>
      </c>
      <c r="C545" s="134">
        <v>0.70833333333333337</v>
      </c>
      <c r="D545" s="134">
        <v>0.875</v>
      </c>
      <c r="E545" s="53">
        <f t="shared" si="112"/>
        <v>3.9999999999999991</v>
      </c>
      <c r="F545" s="51"/>
      <c r="G545" s="53">
        <f>IF(WEEKDAY(A545, 2)&lt;6, E545+2, E545)</f>
        <v>5.9999999999999991</v>
      </c>
      <c r="H545" s="53"/>
      <c r="I545" s="51">
        <f t="shared" si="111"/>
        <v>5.9999999999999991</v>
      </c>
    </row>
    <row r="546" spans="1:9" x14ac:dyDescent="0.25">
      <c r="A546" s="133">
        <v>45554</v>
      </c>
      <c r="B546" s="51" t="s">
        <v>414</v>
      </c>
      <c r="C546" s="134">
        <v>0.33333333333333331</v>
      </c>
      <c r="D546" s="134">
        <v>0.58333333333333337</v>
      </c>
      <c r="E546" s="53">
        <f t="shared" si="112"/>
        <v>5.5000000000000018</v>
      </c>
      <c r="F546" s="51">
        <v>0.5</v>
      </c>
      <c r="G546" s="53"/>
      <c r="H546" s="53">
        <f>IF(WEEKDAY(A546, 2)&lt;6, E546-2, E546)</f>
        <v>3.5000000000000018</v>
      </c>
      <c r="I546" s="51">
        <f t="shared" si="111"/>
        <v>3.5000000000000018</v>
      </c>
    </row>
    <row r="547" spans="1:9" x14ac:dyDescent="0.25">
      <c r="A547" s="133">
        <v>45554</v>
      </c>
      <c r="B547" s="51" t="s">
        <v>56</v>
      </c>
      <c r="C547" s="134">
        <v>0.77083333333333337</v>
      </c>
      <c r="D547" s="134">
        <v>0.95833333333333337</v>
      </c>
      <c r="E547" s="53">
        <f t="shared" si="112"/>
        <v>4.5</v>
      </c>
      <c r="F547" s="51"/>
      <c r="G547" s="53">
        <f>IF(WEEKDAY(A547, 2)&lt;6, E547+2, E547)</f>
        <v>6.5</v>
      </c>
      <c r="H547" s="53"/>
      <c r="I547" s="51">
        <f t="shared" si="111"/>
        <v>6.5</v>
      </c>
    </row>
    <row r="548" spans="1:9" x14ac:dyDescent="0.25">
      <c r="A548" s="133">
        <v>45555</v>
      </c>
      <c r="B548" s="51" t="s">
        <v>414</v>
      </c>
      <c r="C548" s="134">
        <v>0.33333333333333331</v>
      </c>
      <c r="D548" s="134">
        <v>0.58333333333333337</v>
      </c>
      <c r="E548" s="53">
        <f t="shared" si="112"/>
        <v>5.5000000000000018</v>
      </c>
      <c r="F548" s="51">
        <v>0.5</v>
      </c>
      <c r="G548" s="53"/>
      <c r="H548" s="53">
        <f>IF(WEEKDAY(A548, 2)&lt;6, E548-2, E548)</f>
        <v>3.5000000000000018</v>
      </c>
      <c r="I548" s="51">
        <f t="shared" si="111"/>
        <v>3.5000000000000018</v>
      </c>
    </row>
    <row r="549" spans="1:9" x14ac:dyDescent="0.25">
      <c r="A549" s="133">
        <v>45556</v>
      </c>
      <c r="B549" s="51" t="s">
        <v>58</v>
      </c>
      <c r="C549" s="134">
        <v>0.27083333333333331</v>
      </c>
      <c r="D549" s="134">
        <v>0.41666666666666669</v>
      </c>
      <c r="E549" s="53">
        <f t="shared" si="112"/>
        <v>3.5000000000000009</v>
      </c>
      <c r="F549" s="51"/>
      <c r="G549" s="53">
        <f t="shared" ref="G549:G559" si="118">IF(WEEKDAY(A549, 2)&lt;6, E549+2, E549)</f>
        <v>3.5000000000000009</v>
      </c>
      <c r="H549" s="51"/>
      <c r="I549" s="51">
        <f t="shared" si="111"/>
        <v>3.5000000000000009</v>
      </c>
    </row>
    <row r="550" spans="1:9" x14ac:dyDescent="0.25">
      <c r="A550" s="133">
        <v>45556</v>
      </c>
      <c r="B550" s="51" t="s">
        <v>56</v>
      </c>
      <c r="C550" s="134">
        <v>0.33333333333333331</v>
      </c>
      <c r="D550" s="134">
        <v>0.64583333333333337</v>
      </c>
      <c r="E550" s="53">
        <f t="shared" si="112"/>
        <v>7.0000000000000018</v>
      </c>
      <c r="F550" s="51">
        <v>0.5</v>
      </c>
      <c r="G550" s="53">
        <f t="shared" si="118"/>
        <v>7.0000000000000018</v>
      </c>
      <c r="H550" s="53"/>
      <c r="I550" s="51">
        <f t="shared" si="111"/>
        <v>7.0000000000000018</v>
      </c>
    </row>
    <row r="551" spans="1:9" x14ac:dyDescent="0.25">
      <c r="A551" s="133">
        <v>45556</v>
      </c>
      <c r="B551" s="51" t="s">
        <v>58</v>
      </c>
      <c r="C551" s="134">
        <v>0.625</v>
      </c>
      <c r="D551" s="134">
        <v>4.1666666666666664E-2</v>
      </c>
      <c r="E551" s="53">
        <f t="shared" si="112"/>
        <v>9</v>
      </c>
      <c r="F551" s="51">
        <v>1</v>
      </c>
      <c r="G551" s="53">
        <f t="shared" si="118"/>
        <v>9</v>
      </c>
      <c r="H551" s="51"/>
      <c r="I551" s="51">
        <f t="shared" si="111"/>
        <v>9</v>
      </c>
    </row>
    <row r="552" spans="1:9" x14ac:dyDescent="0.25">
      <c r="A552" s="133">
        <v>45556</v>
      </c>
      <c r="B552" s="51" t="s">
        <v>53</v>
      </c>
      <c r="C552" s="134">
        <v>0.54166666666666663</v>
      </c>
      <c r="D552" s="134">
        <v>0.79166666666666663</v>
      </c>
      <c r="E552" s="53">
        <f t="shared" si="112"/>
        <v>5.5</v>
      </c>
      <c r="F552" s="51">
        <v>0.5</v>
      </c>
      <c r="G552" s="53">
        <f t="shared" si="118"/>
        <v>5.5</v>
      </c>
      <c r="H552" s="51"/>
      <c r="I552" s="51">
        <f t="shared" si="111"/>
        <v>5.5</v>
      </c>
    </row>
    <row r="553" spans="1:9" x14ac:dyDescent="0.25">
      <c r="A553" s="133">
        <v>45556</v>
      </c>
      <c r="B553" s="51" t="s">
        <v>46</v>
      </c>
      <c r="C553" s="134">
        <v>0.72916666666666663</v>
      </c>
      <c r="D553" s="134">
        <v>0.91666666666666663</v>
      </c>
      <c r="E553" s="53">
        <f t="shared" si="112"/>
        <v>4.5</v>
      </c>
      <c r="F553" s="51"/>
      <c r="G553" s="53">
        <f t="shared" si="118"/>
        <v>4.5</v>
      </c>
      <c r="H553" s="51"/>
      <c r="I553" s="51">
        <f t="shared" si="111"/>
        <v>4.5</v>
      </c>
    </row>
    <row r="554" spans="1:9" x14ac:dyDescent="0.25">
      <c r="A554" s="133">
        <v>45556</v>
      </c>
      <c r="B554" s="51" t="s">
        <v>47</v>
      </c>
      <c r="C554" s="134">
        <v>0.33333333333333331</v>
      </c>
      <c r="D554" s="134">
        <v>0.47916666666666669</v>
      </c>
      <c r="E554" s="53">
        <f t="shared" si="112"/>
        <v>3.5000000000000009</v>
      </c>
      <c r="F554" s="51"/>
      <c r="G554" s="53">
        <f t="shared" si="118"/>
        <v>3.5000000000000009</v>
      </c>
      <c r="H554" s="51"/>
      <c r="I554" s="51">
        <f t="shared" si="111"/>
        <v>3.5000000000000009</v>
      </c>
    </row>
    <row r="555" spans="1:9" x14ac:dyDescent="0.25">
      <c r="A555" s="133">
        <v>45556</v>
      </c>
      <c r="B555" s="51" t="s">
        <v>49</v>
      </c>
      <c r="C555" s="134">
        <v>0.33333333333333331</v>
      </c>
      <c r="D555" s="134">
        <v>0.54166666666666663</v>
      </c>
      <c r="E555" s="53">
        <f t="shared" si="112"/>
        <v>5</v>
      </c>
      <c r="F555" s="51"/>
      <c r="G555" s="53">
        <f t="shared" si="118"/>
        <v>5</v>
      </c>
      <c r="H555" s="51"/>
      <c r="I555" s="51">
        <f t="shared" si="111"/>
        <v>5</v>
      </c>
    </row>
    <row r="556" spans="1:9" x14ac:dyDescent="0.25">
      <c r="A556" s="133">
        <v>45556</v>
      </c>
      <c r="B556" s="51" t="s">
        <v>46</v>
      </c>
      <c r="C556" s="134">
        <v>0.5</v>
      </c>
      <c r="D556" s="134">
        <v>0.70833333333333337</v>
      </c>
      <c r="E556" s="53">
        <f t="shared" si="112"/>
        <v>4.5000000000000009</v>
      </c>
      <c r="F556" s="51">
        <v>0.5</v>
      </c>
      <c r="G556" s="53">
        <f t="shared" si="118"/>
        <v>4.5000000000000009</v>
      </c>
      <c r="H556" s="51"/>
      <c r="I556" s="51">
        <f t="shared" si="111"/>
        <v>4.5000000000000009</v>
      </c>
    </row>
    <row r="557" spans="1:9" x14ac:dyDescent="0.25">
      <c r="A557" s="133">
        <v>45556</v>
      </c>
      <c r="B557" s="51" t="s">
        <v>48</v>
      </c>
      <c r="C557" s="134">
        <v>0.47916666666666669</v>
      </c>
      <c r="D557" s="134">
        <v>0.625</v>
      </c>
      <c r="E557" s="53">
        <f t="shared" si="112"/>
        <v>3.4999999999999996</v>
      </c>
      <c r="F557" s="51"/>
      <c r="G557" s="53">
        <f t="shared" si="118"/>
        <v>3.4999999999999996</v>
      </c>
      <c r="H557" s="51"/>
      <c r="I557" s="51">
        <f t="shared" si="111"/>
        <v>3.4999999999999996</v>
      </c>
    </row>
    <row r="558" spans="1:9" x14ac:dyDescent="0.25">
      <c r="A558" s="133">
        <v>45557</v>
      </c>
      <c r="B558" s="51" t="s">
        <v>46</v>
      </c>
      <c r="C558" s="134">
        <v>0.54166666666666663</v>
      </c>
      <c r="D558" s="134">
        <v>0.75</v>
      </c>
      <c r="E558" s="53">
        <f t="shared" si="112"/>
        <v>5.0000000000000009</v>
      </c>
      <c r="F558" s="51"/>
      <c r="G558" s="53">
        <f t="shared" si="118"/>
        <v>5.0000000000000009</v>
      </c>
      <c r="H558" s="51"/>
      <c r="I558" s="51">
        <f t="shared" si="111"/>
        <v>5.0000000000000009</v>
      </c>
    </row>
    <row r="559" spans="1:9" x14ac:dyDescent="0.25">
      <c r="A559" s="133">
        <v>45557</v>
      </c>
      <c r="B559" s="51" t="s">
        <v>49</v>
      </c>
      <c r="C559" s="134">
        <v>0.5625</v>
      </c>
      <c r="D559" s="134">
        <v>0.72916666666666663</v>
      </c>
      <c r="E559" s="53">
        <f t="shared" si="112"/>
        <v>3.9999999999999991</v>
      </c>
      <c r="F559" s="51"/>
      <c r="G559" s="53">
        <f t="shared" si="118"/>
        <v>3.9999999999999991</v>
      </c>
      <c r="H559" s="51"/>
      <c r="I559" s="51">
        <f t="shared" si="111"/>
        <v>3.9999999999999991</v>
      </c>
    </row>
    <row r="560" spans="1:9" x14ac:dyDescent="0.25">
      <c r="A560" s="133">
        <v>45558</v>
      </c>
      <c r="B560" s="51" t="s">
        <v>414</v>
      </c>
      <c r="C560" s="134">
        <v>0.33333333333333331</v>
      </c>
      <c r="D560" s="134">
        <v>0.58333333333333337</v>
      </c>
      <c r="E560" s="53">
        <f t="shared" si="112"/>
        <v>5.5000000000000018</v>
      </c>
      <c r="F560" s="51">
        <v>0.5</v>
      </c>
      <c r="G560" s="53"/>
      <c r="H560" s="53">
        <f t="shared" ref="H560:H561" si="119">IF(WEEKDAY(A560, 2)&lt;6, E560-2, E560)</f>
        <v>3.5000000000000018</v>
      </c>
      <c r="I560" s="51">
        <f t="shared" si="111"/>
        <v>3.5000000000000018</v>
      </c>
    </row>
    <row r="561" spans="1:9" x14ac:dyDescent="0.25">
      <c r="A561" s="133">
        <v>45559</v>
      </c>
      <c r="B561" s="51" t="s">
        <v>414</v>
      </c>
      <c r="C561" s="134">
        <v>0.33333333333333331</v>
      </c>
      <c r="D561" s="134">
        <v>0.58333333333333337</v>
      </c>
      <c r="E561" s="53">
        <f t="shared" si="112"/>
        <v>5.5000000000000018</v>
      </c>
      <c r="F561" s="51">
        <v>0.5</v>
      </c>
      <c r="G561" s="53"/>
      <c r="H561" s="53">
        <f t="shared" si="119"/>
        <v>3.5000000000000018</v>
      </c>
      <c r="I561" s="51">
        <f t="shared" si="111"/>
        <v>3.5000000000000018</v>
      </c>
    </row>
    <row r="562" spans="1:9" x14ac:dyDescent="0.25">
      <c r="A562" s="133">
        <v>45560</v>
      </c>
      <c r="B562" s="51" t="s">
        <v>49</v>
      </c>
      <c r="C562" s="134">
        <v>0.70833333333333337</v>
      </c>
      <c r="D562" s="134">
        <v>0.89583333333333337</v>
      </c>
      <c r="E562" s="53">
        <f t="shared" si="112"/>
        <v>4.5</v>
      </c>
      <c r="F562" s="51"/>
      <c r="G562" s="53">
        <f>IF(WEEKDAY(A562, 2)&lt;6, E562+2, E562)</f>
        <v>6.5</v>
      </c>
      <c r="H562" s="51"/>
      <c r="I562" s="51">
        <f t="shared" si="111"/>
        <v>6.5</v>
      </c>
    </row>
    <row r="563" spans="1:9" x14ac:dyDescent="0.25">
      <c r="A563" s="133">
        <v>45560</v>
      </c>
      <c r="B563" s="51" t="s">
        <v>414</v>
      </c>
      <c r="C563" s="134">
        <v>0.33333333333333331</v>
      </c>
      <c r="D563" s="134">
        <v>0.58333333333333337</v>
      </c>
      <c r="E563" s="53">
        <f t="shared" si="112"/>
        <v>5.5000000000000018</v>
      </c>
      <c r="F563" s="51">
        <v>0.5</v>
      </c>
      <c r="G563" s="53"/>
      <c r="H563" s="53">
        <f>IF(WEEKDAY(A563, 2)&lt;6, E563-2, E563)</f>
        <v>3.5000000000000018</v>
      </c>
      <c r="I563" s="51">
        <f t="shared" si="111"/>
        <v>3.5000000000000018</v>
      </c>
    </row>
    <row r="564" spans="1:9" x14ac:dyDescent="0.25">
      <c r="A564" s="133">
        <v>45561</v>
      </c>
      <c r="B564" s="51" t="s">
        <v>56</v>
      </c>
      <c r="C564" s="134">
        <v>0.72916666666666663</v>
      </c>
      <c r="D564" s="134">
        <v>0.95833333333333337</v>
      </c>
      <c r="E564" s="53">
        <f t="shared" si="112"/>
        <v>5.0000000000000018</v>
      </c>
      <c r="F564" s="51">
        <v>0.5</v>
      </c>
      <c r="G564" s="53">
        <f>IF(WEEKDAY(A564, 2)&lt;6, E564+2, E564)</f>
        <v>7.0000000000000018</v>
      </c>
      <c r="H564" s="53"/>
      <c r="I564" s="51">
        <f t="shared" si="111"/>
        <v>7.0000000000000018</v>
      </c>
    </row>
    <row r="565" spans="1:9" x14ac:dyDescent="0.25">
      <c r="A565" s="133">
        <v>45561</v>
      </c>
      <c r="B565" s="51" t="s">
        <v>414</v>
      </c>
      <c r="C565" s="134">
        <v>0.33333333333333331</v>
      </c>
      <c r="D565" s="134">
        <v>0.58333333333333337</v>
      </c>
      <c r="E565" s="53">
        <f t="shared" si="112"/>
        <v>5.5000000000000018</v>
      </c>
      <c r="F565" s="51">
        <v>0.5</v>
      </c>
      <c r="G565" s="53"/>
      <c r="H565" s="53">
        <f t="shared" ref="H565:H566" si="120">IF(WEEKDAY(A565, 2)&lt;6, E565-2, E565)</f>
        <v>3.5000000000000018</v>
      </c>
      <c r="I565" s="51">
        <f t="shared" si="111"/>
        <v>3.5000000000000018</v>
      </c>
    </row>
    <row r="566" spans="1:9" x14ac:dyDescent="0.25">
      <c r="A566" s="133">
        <v>45562</v>
      </c>
      <c r="B566" s="51" t="s">
        <v>414</v>
      </c>
      <c r="C566" s="134">
        <v>0.33333333333333331</v>
      </c>
      <c r="D566" s="134">
        <v>0.58333333333333337</v>
      </c>
      <c r="E566" s="53">
        <f t="shared" si="112"/>
        <v>5.5000000000000018</v>
      </c>
      <c r="F566" s="51">
        <v>0.5</v>
      </c>
      <c r="G566" s="53"/>
      <c r="H566" s="53">
        <f t="shared" si="120"/>
        <v>3.5000000000000018</v>
      </c>
      <c r="I566" s="51">
        <f t="shared" si="111"/>
        <v>3.5000000000000018</v>
      </c>
    </row>
    <row r="567" spans="1:9" x14ac:dyDescent="0.25">
      <c r="A567" s="133">
        <v>45562</v>
      </c>
      <c r="B567" s="51" t="s">
        <v>56</v>
      </c>
      <c r="C567" s="134">
        <v>0.625</v>
      </c>
      <c r="D567" s="134">
        <v>0.83333333333333337</v>
      </c>
      <c r="E567" s="53">
        <f t="shared" si="112"/>
        <v>5.0000000000000009</v>
      </c>
      <c r="F567" s="51"/>
      <c r="G567" s="53">
        <f t="shared" ref="G567:G577" si="121">IF(WEEKDAY(A567, 2)&lt;6, E567+2, E567)</f>
        <v>7.0000000000000009</v>
      </c>
      <c r="H567" s="53"/>
      <c r="I567" s="51">
        <f t="shared" si="111"/>
        <v>7.0000000000000009</v>
      </c>
    </row>
    <row r="568" spans="1:9" x14ac:dyDescent="0.25">
      <c r="A568" s="133">
        <v>45563</v>
      </c>
      <c r="B568" s="51" t="s">
        <v>56</v>
      </c>
      <c r="C568" s="134">
        <v>0.33333333333333331</v>
      </c>
      <c r="D568" s="134">
        <v>0.54166666666666663</v>
      </c>
      <c r="E568" s="53">
        <f t="shared" si="112"/>
        <v>5</v>
      </c>
      <c r="F568" s="51"/>
      <c r="G568" s="53">
        <f t="shared" si="121"/>
        <v>5</v>
      </c>
      <c r="H568" s="53"/>
      <c r="I568" s="51">
        <f t="shared" si="111"/>
        <v>5</v>
      </c>
    </row>
    <row r="569" spans="1:9" x14ac:dyDescent="0.25">
      <c r="A569" s="133">
        <v>45563</v>
      </c>
      <c r="B569" s="51" t="s">
        <v>53</v>
      </c>
      <c r="C569" s="134">
        <v>0.70833333333333337</v>
      </c>
      <c r="D569" s="134">
        <v>0.91666666666666663</v>
      </c>
      <c r="E569" s="53">
        <f t="shared" si="112"/>
        <v>4.9999999999999982</v>
      </c>
      <c r="F569" s="51"/>
      <c r="G569" s="53">
        <f t="shared" si="121"/>
        <v>4.9999999999999982</v>
      </c>
      <c r="H569" s="51"/>
      <c r="I569" s="51">
        <f t="shared" si="111"/>
        <v>4.9999999999999982</v>
      </c>
    </row>
    <row r="570" spans="1:9" x14ac:dyDescent="0.25">
      <c r="A570" s="133">
        <v>45563</v>
      </c>
      <c r="B570" s="51" t="s">
        <v>58</v>
      </c>
      <c r="C570" s="134">
        <v>0.54166666666666663</v>
      </c>
      <c r="D570" s="134">
        <v>0.875</v>
      </c>
      <c r="E570" s="53">
        <f t="shared" si="112"/>
        <v>7.5</v>
      </c>
      <c r="F570" s="51">
        <v>0.5</v>
      </c>
      <c r="G570" s="53">
        <f t="shared" si="121"/>
        <v>7.5</v>
      </c>
      <c r="H570" s="51"/>
      <c r="I570" s="51">
        <f t="shared" si="111"/>
        <v>7.5</v>
      </c>
    </row>
    <row r="571" spans="1:9" x14ac:dyDescent="0.25">
      <c r="A571" s="133">
        <v>45563</v>
      </c>
      <c r="B571" s="51" t="s">
        <v>53</v>
      </c>
      <c r="C571" s="134">
        <v>0.5</v>
      </c>
      <c r="D571" s="134">
        <v>0.70833333333333337</v>
      </c>
      <c r="E571" s="53">
        <f t="shared" si="112"/>
        <v>5.0000000000000009</v>
      </c>
      <c r="F571" s="51"/>
      <c r="G571" s="53">
        <f t="shared" si="121"/>
        <v>5.0000000000000009</v>
      </c>
      <c r="H571" s="51"/>
      <c r="I571" s="51">
        <f t="shared" si="111"/>
        <v>5.0000000000000009</v>
      </c>
    </row>
    <row r="572" spans="1:9" x14ac:dyDescent="0.25">
      <c r="A572" s="133">
        <v>45563</v>
      </c>
      <c r="B572" s="51" t="s">
        <v>53</v>
      </c>
      <c r="C572" s="134">
        <v>0.27083333333333331</v>
      </c>
      <c r="D572" s="134">
        <v>0.5</v>
      </c>
      <c r="E572" s="53">
        <f t="shared" si="112"/>
        <v>5</v>
      </c>
      <c r="F572" s="51">
        <v>0.5</v>
      </c>
      <c r="G572" s="53">
        <f t="shared" si="121"/>
        <v>5</v>
      </c>
      <c r="H572" s="51"/>
      <c r="I572" s="51">
        <f t="shared" si="111"/>
        <v>5</v>
      </c>
    </row>
    <row r="573" spans="1:9" x14ac:dyDescent="0.25">
      <c r="A573" s="133">
        <v>45563</v>
      </c>
      <c r="B573" s="51" t="s">
        <v>58</v>
      </c>
      <c r="C573" s="134">
        <v>0.27083333333333331</v>
      </c>
      <c r="D573" s="134">
        <v>0.41666666666666669</v>
      </c>
      <c r="E573" s="53">
        <f t="shared" si="112"/>
        <v>3.5000000000000009</v>
      </c>
      <c r="F573" s="51"/>
      <c r="G573" s="53">
        <f t="shared" si="121"/>
        <v>3.5000000000000009</v>
      </c>
      <c r="H573" s="51"/>
      <c r="I573" s="51">
        <f t="shared" si="111"/>
        <v>3.5000000000000009</v>
      </c>
    </row>
    <row r="574" spans="1:9" x14ac:dyDescent="0.25">
      <c r="A574" s="133">
        <v>45564</v>
      </c>
      <c r="B574" s="51" t="s">
        <v>49</v>
      </c>
      <c r="C574" s="134">
        <v>0.54166666666666663</v>
      </c>
      <c r="D574" s="134">
        <v>0.77083333333333337</v>
      </c>
      <c r="E574" s="53">
        <f t="shared" si="112"/>
        <v>5.0000000000000018</v>
      </c>
      <c r="F574" s="51">
        <v>0.5</v>
      </c>
      <c r="G574" s="53">
        <f t="shared" si="121"/>
        <v>5.0000000000000018</v>
      </c>
      <c r="H574" s="51"/>
      <c r="I574" s="51">
        <f t="shared" si="111"/>
        <v>5.0000000000000018</v>
      </c>
    </row>
    <row r="575" spans="1:9" x14ac:dyDescent="0.25">
      <c r="A575" s="133">
        <v>45564</v>
      </c>
      <c r="B575" s="51" t="s">
        <v>53</v>
      </c>
      <c r="C575" s="134">
        <v>0.77083333333333337</v>
      </c>
      <c r="D575" s="134">
        <v>4.1666666666666664E-2</v>
      </c>
      <c r="E575" s="53">
        <f t="shared" si="112"/>
        <v>5.9999999999999982</v>
      </c>
      <c r="F575" s="51">
        <v>0.5</v>
      </c>
      <c r="G575" s="53">
        <f t="shared" si="121"/>
        <v>5.9999999999999982</v>
      </c>
      <c r="H575" s="51"/>
      <c r="I575" s="51">
        <f t="shared" si="111"/>
        <v>5.9999999999999982</v>
      </c>
    </row>
    <row r="576" spans="1:9" x14ac:dyDescent="0.25">
      <c r="A576" s="133">
        <v>45564</v>
      </c>
      <c r="B576" s="51" t="s">
        <v>46</v>
      </c>
      <c r="C576" s="134">
        <v>0.625</v>
      </c>
      <c r="D576" s="134">
        <v>0.875</v>
      </c>
      <c r="E576" s="53">
        <f t="shared" si="112"/>
        <v>5.5</v>
      </c>
      <c r="F576" s="51">
        <v>0.5</v>
      </c>
      <c r="G576" s="53">
        <f t="shared" si="121"/>
        <v>5.5</v>
      </c>
      <c r="H576" s="51"/>
      <c r="I576" s="51">
        <f t="shared" si="111"/>
        <v>5.5</v>
      </c>
    </row>
    <row r="577" spans="1:9" x14ac:dyDescent="0.25">
      <c r="A577" s="133">
        <v>45564</v>
      </c>
      <c r="B577" s="51" t="s">
        <v>58</v>
      </c>
      <c r="C577" s="134">
        <v>0.33333333333333331</v>
      </c>
      <c r="D577" s="134">
        <v>0.70833333333333337</v>
      </c>
      <c r="E577" s="53">
        <f t="shared" si="112"/>
        <v>8.0000000000000018</v>
      </c>
      <c r="F577" s="51">
        <v>1</v>
      </c>
      <c r="G577" s="53">
        <f t="shared" si="121"/>
        <v>8.0000000000000018</v>
      </c>
      <c r="H577" s="51"/>
      <c r="I577" s="51">
        <f t="shared" si="111"/>
        <v>8.0000000000000018</v>
      </c>
    </row>
    <row r="578" spans="1:9" x14ac:dyDescent="0.25">
      <c r="A578" s="133">
        <v>45565</v>
      </c>
      <c r="B578" s="51" t="s">
        <v>414</v>
      </c>
      <c r="C578" s="134">
        <v>0.33333333333333331</v>
      </c>
      <c r="D578" s="134">
        <v>0.58333333333333337</v>
      </c>
      <c r="E578" s="53">
        <f t="shared" si="112"/>
        <v>5.5000000000000018</v>
      </c>
      <c r="F578" s="51">
        <v>0.5</v>
      </c>
      <c r="G578" s="53"/>
      <c r="H578" s="53">
        <f t="shared" ref="H578:H580" si="122">IF(WEEKDAY(A578, 2)&lt;6, E578-2, E578)</f>
        <v>3.5000000000000018</v>
      </c>
      <c r="I578" s="51">
        <f t="shared" ref="I578:I641" si="123">IF(G578&lt;&gt;"",G578,H578)</f>
        <v>3.5000000000000018</v>
      </c>
    </row>
    <row r="579" spans="1:9" x14ac:dyDescent="0.25">
      <c r="A579" s="133">
        <v>45566</v>
      </c>
      <c r="B579" s="51" t="s">
        <v>414</v>
      </c>
      <c r="C579" s="134">
        <v>0.33333333333333331</v>
      </c>
      <c r="D579" s="134">
        <v>0.58333333333333337</v>
      </c>
      <c r="E579" s="53">
        <f t="shared" ref="E579:E642" si="124">MOD((D579-C579),1) *24 - F579</f>
        <v>5.5000000000000018</v>
      </c>
      <c r="F579" s="51">
        <v>0.5</v>
      </c>
      <c r="G579" s="53"/>
      <c r="H579" s="53">
        <f t="shared" si="122"/>
        <v>3.5000000000000018</v>
      </c>
      <c r="I579" s="51">
        <f t="shared" si="123"/>
        <v>3.5000000000000018</v>
      </c>
    </row>
    <row r="580" spans="1:9" x14ac:dyDescent="0.25">
      <c r="A580" s="133">
        <v>45567</v>
      </c>
      <c r="B580" s="51" t="s">
        <v>414</v>
      </c>
      <c r="C580" s="134">
        <v>0.3125</v>
      </c>
      <c r="D580" s="134">
        <v>0.58333333333333337</v>
      </c>
      <c r="E580" s="53">
        <f t="shared" si="124"/>
        <v>6.0000000000000009</v>
      </c>
      <c r="F580" s="51">
        <v>0.5</v>
      </c>
      <c r="G580" s="53"/>
      <c r="H580" s="53">
        <f t="shared" si="122"/>
        <v>4.0000000000000009</v>
      </c>
      <c r="I580" s="51">
        <f t="shared" si="123"/>
        <v>4.0000000000000009</v>
      </c>
    </row>
    <row r="581" spans="1:9" x14ac:dyDescent="0.25">
      <c r="A581" s="133">
        <v>45567</v>
      </c>
      <c r="B581" s="51" t="s">
        <v>49</v>
      </c>
      <c r="C581" s="134">
        <v>0.70833333333333337</v>
      </c>
      <c r="D581" s="134">
        <v>0.875</v>
      </c>
      <c r="E581" s="53">
        <f t="shared" si="124"/>
        <v>3.9999999999999991</v>
      </c>
      <c r="F581" s="51"/>
      <c r="G581" s="53">
        <f t="shared" ref="G581:G582" si="125">IF(WEEKDAY(A581, 2)&lt;6, E581+2, E581)</f>
        <v>5.9999999999999991</v>
      </c>
      <c r="H581" s="51"/>
      <c r="I581" s="51">
        <f t="shared" si="123"/>
        <v>5.9999999999999991</v>
      </c>
    </row>
    <row r="582" spans="1:9" x14ac:dyDescent="0.25">
      <c r="A582" s="133">
        <v>45567</v>
      </c>
      <c r="B582" s="51" t="s">
        <v>56</v>
      </c>
      <c r="C582" s="134">
        <v>0.66666666666666663</v>
      </c>
      <c r="D582" s="134">
        <v>0.875</v>
      </c>
      <c r="E582" s="53">
        <f t="shared" si="124"/>
        <v>5.0000000000000009</v>
      </c>
      <c r="F582" s="51"/>
      <c r="G582" s="53">
        <f t="shared" si="125"/>
        <v>7.0000000000000009</v>
      </c>
      <c r="H582" s="53"/>
      <c r="I582" s="51">
        <f t="shared" si="123"/>
        <v>7.0000000000000009</v>
      </c>
    </row>
    <row r="583" spans="1:9" x14ac:dyDescent="0.25">
      <c r="A583" s="133">
        <v>45568</v>
      </c>
      <c r="B583" s="51" t="s">
        <v>414</v>
      </c>
      <c r="C583" s="134">
        <v>0.33333333333333331</v>
      </c>
      <c r="D583" s="134">
        <v>0.58333333333333337</v>
      </c>
      <c r="E583" s="53">
        <f t="shared" si="124"/>
        <v>5.5000000000000018</v>
      </c>
      <c r="F583" s="51">
        <v>0.5</v>
      </c>
      <c r="G583" s="53"/>
      <c r="H583" s="53">
        <f>IF(WEEKDAY(A583, 2)&lt;6, E583-2, E583)</f>
        <v>3.5000000000000018</v>
      </c>
      <c r="I583" s="51">
        <f t="shared" si="123"/>
        <v>3.5000000000000018</v>
      </c>
    </row>
    <row r="584" spans="1:9" x14ac:dyDescent="0.25">
      <c r="A584" s="133">
        <v>45568</v>
      </c>
      <c r="B584" s="51" t="s">
        <v>56</v>
      </c>
      <c r="C584" s="134">
        <v>0.6875</v>
      </c>
      <c r="D584" s="134">
        <v>0.95833333333333337</v>
      </c>
      <c r="E584" s="53">
        <f t="shared" si="124"/>
        <v>6.0000000000000009</v>
      </c>
      <c r="F584" s="51">
        <v>0.5</v>
      </c>
      <c r="G584" s="53">
        <f t="shared" ref="G584:G585" si="126">IF(WEEKDAY(A584, 2)&lt;6, E584+2, E584)</f>
        <v>8</v>
      </c>
      <c r="H584" s="53"/>
      <c r="I584" s="51">
        <f t="shared" si="123"/>
        <v>8</v>
      </c>
    </row>
    <row r="585" spans="1:9" x14ac:dyDescent="0.25">
      <c r="A585" s="133">
        <v>45569</v>
      </c>
      <c r="B585" s="51" t="s">
        <v>56</v>
      </c>
      <c r="C585" s="134">
        <v>0.625</v>
      </c>
      <c r="D585" s="134">
        <v>0.79166666666666663</v>
      </c>
      <c r="E585" s="53">
        <f t="shared" si="124"/>
        <v>3.9999999999999991</v>
      </c>
      <c r="F585" s="51"/>
      <c r="G585" s="53">
        <f t="shared" si="126"/>
        <v>5.9999999999999991</v>
      </c>
      <c r="H585" s="53"/>
      <c r="I585" s="51">
        <f t="shared" si="123"/>
        <v>5.9999999999999991</v>
      </c>
    </row>
    <row r="586" spans="1:9" x14ac:dyDescent="0.25">
      <c r="A586" s="133">
        <v>45569</v>
      </c>
      <c r="B586" s="51" t="s">
        <v>414</v>
      </c>
      <c r="C586" s="134">
        <v>0.33333333333333331</v>
      </c>
      <c r="D586" s="134">
        <v>0.58333333333333337</v>
      </c>
      <c r="E586" s="53">
        <f t="shared" si="124"/>
        <v>5.5000000000000018</v>
      </c>
      <c r="F586" s="51">
        <v>0.5</v>
      </c>
      <c r="G586" s="53"/>
      <c r="H586" s="53">
        <f>IF(WEEKDAY(A586, 2)&lt;6, E586-2, E586)</f>
        <v>3.5000000000000018</v>
      </c>
      <c r="I586" s="51">
        <f t="shared" si="123"/>
        <v>3.5000000000000018</v>
      </c>
    </row>
    <row r="587" spans="1:9" x14ac:dyDescent="0.25">
      <c r="A587" s="133">
        <v>45570</v>
      </c>
      <c r="B587" s="51" t="s">
        <v>58</v>
      </c>
      <c r="C587" s="134">
        <v>0.72916666666666663</v>
      </c>
      <c r="D587" s="134">
        <v>0.91666666666666663</v>
      </c>
      <c r="E587" s="53">
        <f t="shared" si="124"/>
        <v>4.5</v>
      </c>
      <c r="F587" s="51"/>
      <c r="G587" s="53">
        <f t="shared" ref="G587:G597" si="127">IF(WEEKDAY(A587, 2)&lt;6, E587+2, E587)</f>
        <v>4.5</v>
      </c>
      <c r="H587" s="51"/>
      <c r="I587" s="51">
        <f t="shared" si="123"/>
        <v>4.5</v>
      </c>
    </row>
    <row r="588" spans="1:9" x14ac:dyDescent="0.25">
      <c r="A588" s="133">
        <v>45570</v>
      </c>
      <c r="B588" s="51" t="s">
        <v>53</v>
      </c>
      <c r="C588" s="134">
        <v>0.625</v>
      </c>
      <c r="D588" s="134">
        <v>0.875</v>
      </c>
      <c r="E588" s="53">
        <f t="shared" si="124"/>
        <v>5.5</v>
      </c>
      <c r="F588" s="51">
        <v>0.5</v>
      </c>
      <c r="G588" s="53">
        <f t="shared" si="127"/>
        <v>5.5</v>
      </c>
      <c r="H588" s="51"/>
      <c r="I588" s="51">
        <f t="shared" si="123"/>
        <v>5.5</v>
      </c>
    </row>
    <row r="589" spans="1:9" x14ac:dyDescent="0.25">
      <c r="A589" s="133">
        <v>45570</v>
      </c>
      <c r="B589" s="51" t="s">
        <v>56</v>
      </c>
      <c r="C589" s="134">
        <v>0.33333333333333331</v>
      </c>
      <c r="D589" s="134">
        <v>0.54166666666666663</v>
      </c>
      <c r="E589" s="53">
        <f t="shared" si="124"/>
        <v>5</v>
      </c>
      <c r="F589" s="51"/>
      <c r="G589" s="53">
        <f t="shared" si="127"/>
        <v>5</v>
      </c>
      <c r="H589" s="53"/>
      <c r="I589" s="51">
        <f t="shared" si="123"/>
        <v>5</v>
      </c>
    </row>
    <row r="590" spans="1:9" x14ac:dyDescent="0.25">
      <c r="A590" s="133">
        <v>45570</v>
      </c>
      <c r="B590" s="51" t="s">
        <v>58</v>
      </c>
      <c r="C590" s="134">
        <v>0.27083333333333331</v>
      </c>
      <c r="D590" s="134">
        <v>0.41666666666666669</v>
      </c>
      <c r="E590" s="53">
        <f t="shared" si="124"/>
        <v>3.5000000000000009</v>
      </c>
      <c r="F590" s="51"/>
      <c r="G590" s="53">
        <f t="shared" si="127"/>
        <v>3.5000000000000009</v>
      </c>
      <c r="H590" s="51"/>
      <c r="I590" s="51">
        <f t="shared" si="123"/>
        <v>3.5000000000000009</v>
      </c>
    </row>
    <row r="591" spans="1:9" x14ac:dyDescent="0.25">
      <c r="A591" s="133">
        <v>45570</v>
      </c>
      <c r="B591" s="51" t="s">
        <v>49</v>
      </c>
      <c r="C591" s="134">
        <v>0.375</v>
      </c>
      <c r="D591" s="134">
        <v>0.5</v>
      </c>
      <c r="E591" s="53">
        <f t="shared" si="124"/>
        <v>3</v>
      </c>
      <c r="F591" s="51"/>
      <c r="G591" s="53">
        <f t="shared" si="127"/>
        <v>3</v>
      </c>
      <c r="H591" s="51"/>
      <c r="I591" s="51">
        <f t="shared" si="123"/>
        <v>3</v>
      </c>
    </row>
    <row r="592" spans="1:9" x14ac:dyDescent="0.25">
      <c r="A592" s="133">
        <v>45570</v>
      </c>
      <c r="B592" s="51" t="s">
        <v>48</v>
      </c>
      <c r="C592" s="134">
        <v>0.33333333333333331</v>
      </c>
      <c r="D592" s="134">
        <v>0.5625</v>
      </c>
      <c r="E592" s="53">
        <f t="shared" si="124"/>
        <v>5</v>
      </c>
      <c r="F592" s="51">
        <v>0.5</v>
      </c>
      <c r="G592" s="53">
        <f t="shared" si="127"/>
        <v>5</v>
      </c>
      <c r="H592" s="51"/>
      <c r="I592" s="51">
        <f t="shared" si="123"/>
        <v>5</v>
      </c>
    </row>
    <row r="593" spans="1:9" x14ac:dyDescent="0.25">
      <c r="A593" s="133">
        <v>45570</v>
      </c>
      <c r="B593" s="51" t="s">
        <v>48</v>
      </c>
      <c r="C593" s="134">
        <v>0.5625</v>
      </c>
      <c r="D593" s="134">
        <v>0.72916666666666663</v>
      </c>
      <c r="E593" s="53">
        <f t="shared" si="124"/>
        <v>3.9999999999999991</v>
      </c>
      <c r="F593" s="51"/>
      <c r="G593" s="53">
        <f t="shared" si="127"/>
        <v>3.9999999999999991</v>
      </c>
      <c r="H593" s="51"/>
      <c r="I593" s="51">
        <f t="shared" si="123"/>
        <v>3.9999999999999991</v>
      </c>
    </row>
    <row r="594" spans="1:9" x14ac:dyDescent="0.25">
      <c r="A594" s="133">
        <v>45570</v>
      </c>
      <c r="B594" s="51" t="s">
        <v>58</v>
      </c>
      <c r="C594" s="134">
        <v>0.54166666666666663</v>
      </c>
      <c r="D594" s="134">
        <v>0.72916666666666663</v>
      </c>
      <c r="E594" s="53">
        <f t="shared" si="124"/>
        <v>4.5</v>
      </c>
      <c r="F594" s="51"/>
      <c r="G594" s="53">
        <f t="shared" si="127"/>
        <v>4.5</v>
      </c>
      <c r="H594" s="51"/>
      <c r="I594" s="51">
        <f t="shared" si="123"/>
        <v>4.5</v>
      </c>
    </row>
    <row r="595" spans="1:9" x14ac:dyDescent="0.25">
      <c r="A595" s="133">
        <v>45571</v>
      </c>
      <c r="B595" s="51" t="s">
        <v>58</v>
      </c>
      <c r="C595" s="134">
        <v>0.45833333333333331</v>
      </c>
      <c r="D595" s="134">
        <v>0.75</v>
      </c>
      <c r="E595" s="53">
        <f t="shared" si="124"/>
        <v>6.5</v>
      </c>
      <c r="F595" s="51">
        <v>0.5</v>
      </c>
      <c r="G595" s="53">
        <f t="shared" si="127"/>
        <v>6.5</v>
      </c>
      <c r="H595" s="51"/>
      <c r="I595" s="51">
        <f t="shared" si="123"/>
        <v>6.5</v>
      </c>
    </row>
    <row r="596" spans="1:9" x14ac:dyDescent="0.25">
      <c r="A596" s="133">
        <v>45571</v>
      </c>
      <c r="B596" s="51" t="s">
        <v>58</v>
      </c>
      <c r="C596" s="134">
        <v>0.75</v>
      </c>
      <c r="D596" s="134">
        <v>4.1666666666666664E-2</v>
      </c>
      <c r="E596" s="53">
        <f t="shared" si="124"/>
        <v>6.4999999999999991</v>
      </c>
      <c r="F596" s="51">
        <v>0.5</v>
      </c>
      <c r="G596" s="53">
        <f t="shared" si="127"/>
        <v>6.4999999999999991</v>
      </c>
      <c r="H596" s="51"/>
      <c r="I596" s="51">
        <f t="shared" si="123"/>
        <v>6.4999999999999991</v>
      </c>
    </row>
    <row r="597" spans="1:9" x14ac:dyDescent="0.25">
      <c r="A597" s="133">
        <v>45571</v>
      </c>
      <c r="B597" s="51" t="s">
        <v>49</v>
      </c>
      <c r="C597" s="134">
        <v>0.5</v>
      </c>
      <c r="D597" s="134">
        <v>0.83333333333333337</v>
      </c>
      <c r="E597" s="53">
        <f t="shared" si="124"/>
        <v>7.5</v>
      </c>
      <c r="F597" s="51">
        <v>0.5</v>
      </c>
      <c r="G597" s="53">
        <f t="shared" si="127"/>
        <v>7.5</v>
      </c>
      <c r="H597" s="51"/>
      <c r="I597" s="51">
        <f t="shared" si="123"/>
        <v>7.5</v>
      </c>
    </row>
    <row r="598" spans="1:9" x14ac:dyDescent="0.25">
      <c r="A598" s="133">
        <v>45572</v>
      </c>
      <c r="B598" s="51" t="s">
        <v>414</v>
      </c>
      <c r="C598" s="134">
        <v>0.33333333333333331</v>
      </c>
      <c r="D598" s="134">
        <v>0.58333333333333337</v>
      </c>
      <c r="E598" s="53">
        <f t="shared" si="124"/>
        <v>5.5000000000000018</v>
      </c>
      <c r="F598" s="51">
        <v>0.5</v>
      </c>
      <c r="G598" s="53"/>
      <c r="H598" s="53">
        <f>IF(WEEKDAY(A598, 2)&lt;6, E598-2, E598)</f>
        <v>3.5000000000000018</v>
      </c>
      <c r="I598" s="51">
        <f t="shared" si="123"/>
        <v>3.5000000000000018</v>
      </c>
    </row>
    <row r="599" spans="1:9" x14ac:dyDescent="0.25">
      <c r="A599" s="133">
        <v>45572</v>
      </c>
      <c r="B599" s="51" t="s">
        <v>49</v>
      </c>
      <c r="C599" s="134">
        <v>0.70833333333333337</v>
      </c>
      <c r="D599" s="134">
        <v>0.91666666666666663</v>
      </c>
      <c r="E599" s="53">
        <f t="shared" si="124"/>
        <v>4.9999999999999982</v>
      </c>
      <c r="F599" s="51"/>
      <c r="G599" s="53">
        <f>IF(WEEKDAY(A599, 2)&lt;6, E599+2, E599)</f>
        <v>6.9999999999999982</v>
      </c>
      <c r="H599" s="51"/>
      <c r="I599" s="51">
        <f t="shared" si="123"/>
        <v>6.9999999999999982</v>
      </c>
    </row>
    <row r="600" spans="1:9" x14ac:dyDescent="0.25">
      <c r="A600" s="133">
        <v>45573</v>
      </c>
      <c r="B600" s="51" t="s">
        <v>414</v>
      </c>
      <c r="C600" s="134">
        <v>0.33333333333333331</v>
      </c>
      <c r="D600" s="134">
        <v>0.58333333333333337</v>
      </c>
      <c r="E600" s="53">
        <f t="shared" si="124"/>
        <v>5.5000000000000018</v>
      </c>
      <c r="F600" s="51">
        <v>0.5</v>
      </c>
      <c r="G600" s="53"/>
      <c r="H600" s="53">
        <f>IF(WEEKDAY(A600, 2)&lt;6, E600-2, E600)</f>
        <v>3.5000000000000018</v>
      </c>
      <c r="I600" s="51">
        <f t="shared" si="123"/>
        <v>3.5000000000000018</v>
      </c>
    </row>
    <row r="601" spans="1:9" x14ac:dyDescent="0.25">
      <c r="A601" s="133">
        <v>45573</v>
      </c>
      <c r="B601" s="51" t="s">
        <v>56</v>
      </c>
      <c r="C601" s="134">
        <v>0.625</v>
      </c>
      <c r="D601" s="134">
        <v>0.75</v>
      </c>
      <c r="E601" s="53">
        <f t="shared" si="124"/>
        <v>3</v>
      </c>
      <c r="F601" s="51"/>
      <c r="G601" s="53">
        <f>IF(WEEKDAY(A601, 2)&lt;6, E601+2, E601)</f>
        <v>5</v>
      </c>
      <c r="H601" s="53"/>
      <c r="I601" s="51">
        <f t="shared" si="123"/>
        <v>5</v>
      </c>
    </row>
    <row r="602" spans="1:9" x14ac:dyDescent="0.25">
      <c r="A602" s="133">
        <v>45574</v>
      </c>
      <c r="B602" s="51" t="s">
        <v>414</v>
      </c>
      <c r="C602" s="134">
        <v>0.33333333333333331</v>
      </c>
      <c r="D602" s="134">
        <v>0.58333333333333337</v>
      </c>
      <c r="E602" s="53">
        <f t="shared" si="124"/>
        <v>5.5000000000000018</v>
      </c>
      <c r="F602" s="51">
        <v>0.5</v>
      </c>
      <c r="G602" s="53"/>
      <c r="H602" s="53">
        <f>IF(WEEKDAY(A602, 2)&lt;6, E602-2, E602)</f>
        <v>3.5000000000000018</v>
      </c>
      <c r="I602" s="51">
        <f t="shared" si="123"/>
        <v>3.5000000000000018</v>
      </c>
    </row>
    <row r="603" spans="1:9" x14ac:dyDescent="0.25">
      <c r="A603" s="133">
        <v>45574</v>
      </c>
      <c r="B603" s="51" t="s">
        <v>49</v>
      </c>
      <c r="C603" s="134">
        <v>0.72916666666666663</v>
      </c>
      <c r="D603" s="134">
        <v>0.89583333333333337</v>
      </c>
      <c r="E603" s="53">
        <f t="shared" si="124"/>
        <v>4.0000000000000018</v>
      </c>
      <c r="F603" s="51"/>
      <c r="G603" s="53">
        <f t="shared" ref="G603:G605" si="128">IF(WEEKDAY(A603, 2)&lt;6, E603+2, E603)</f>
        <v>6.0000000000000018</v>
      </c>
      <c r="H603" s="51"/>
      <c r="I603" s="51">
        <f t="shared" si="123"/>
        <v>6.0000000000000018</v>
      </c>
    </row>
    <row r="604" spans="1:9" x14ac:dyDescent="0.25">
      <c r="A604" s="133">
        <v>45575</v>
      </c>
      <c r="B604" s="51" t="s">
        <v>56</v>
      </c>
      <c r="C604" s="134">
        <v>0.70833333333333337</v>
      </c>
      <c r="D604" s="134">
        <v>0.95833333333333337</v>
      </c>
      <c r="E604" s="53">
        <f t="shared" si="124"/>
        <v>5.5</v>
      </c>
      <c r="F604" s="51">
        <v>0.5</v>
      </c>
      <c r="G604" s="53">
        <f t="shared" si="128"/>
        <v>7.5</v>
      </c>
      <c r="H604" s="53"/>
      <c r="I604" s="51">
        <f t="shared" si="123"/>
        <v>7.5</v>
      </c>
    </row>
    <row r="605" spans="1:9" x14ac:dyDescent="0.25">
      <c r="A605" s="133">
        <v>45575</v>
      </c>
      <c r="B605" s="51" t="s">
        <v>49</v>
      </c>
      <c r="C605" s="134">
        <v>0.70833333333333337</v>
      </c>
      <c r="D605" s="134">
        <v>0.85416666666666663</v>
      </c>
      <c r="E605" s="53">
        <f t="shared" si="124"/>
        <v>3.4999999999999982</v>
      </c>
      <c r="F605" s="51"/>
      <c r="G605" s="53">
        <f t="shared" si="128"/>
        <v>5.4999999999999982</v>
      </c>
      <c r="H605" s="51"/>
      <c r="I605" s="51">
        <f t="shared" si="123"/>
        <v>5.4999999999999982</v>
      </c>
    </row>
    <row r="606" spans="1:9" x14ac:dyDescent="0.25">
      <c r="A606" s="133">
        <v>45575</v>
      </c>
      <c r="B606" s="51" t="s">
        <v>414</v>
      </c>
      <c r="C606" s="134">
        <v>0.33333333333333331</v>
      </c>
      <c r="D606" s="134">
        <v>0.58333333333333337</v>
      </c>
      <c r="E606" s="53">
        <f t="shared" si="124"/>
        <v>5.5000000000000018</v>
      </c>
      <c r="F606" s="51">
        <v>0.5</v>
      </c>
      <c r="G606" s="53"/>
      <c r="H606" s="53">
        <f t="shared" ref="H606:H607" si="129">IF(WEEKDAY(A606, 2)&lt;6, E606-2, E606)</f>
        <v>3.5000000000000018</v>
      </c>
      <c r="I606" s="51">
        <f t="shared" si="123"/>
        <v>3.5000000000000018</v>
      </c>
    </row>
    <row r="607" spans="1:9" x14ac:dyDescent="0.25">
      <c r="A607" s="133">
        <v>45576</v>
      </c>
      <c r="B607" s="51" t="s">
        <v>414</v>
      </c>
      <c r="C607" s="134">
        <v>0.33333333333333331</v>
      </c>
      <c r="D607" s="134">
        <v>0.58333333333333337</v>
      </c>
      <c r="E607" s="53">
        <f t="shared" si="124"/>
        <v>5.5000000000000018</v>
      </c>
      <c r="F607" s="51">
        <v>0.5</v>
      </c>
      <c r="G607" s="53"/>
      <c r="H607" s="53">
        <f t="shared" si="129"/>
        <v>3.5000000000000018</v>
      </c>
      <c r="I607" s="51">
        <f t="shared" si="123"/>
        <v>3.5000000000000018</v>
      </c>
    </row>
    <row r="608" spans="1:9" x14ac:dyDescent="0.25">
      <c r="A608" s="133">
        <v>45576</v>
      </c>
      <c r="B608" s="51" t="s">
        <v>46</v>
      </c>
      <c r="C608" s="134">
        <v>0.45833333333333331</v>
      </c>
      <c r="D608" s="134">
        <v>0.79166666666666663</v>
      </c>
      <c r="E608" s="53">
        <f t="shared" si="124"/>
        <v>7.5</v>
      </c>
      <c r="F608" s="51">
        <v>0.5</v>
      </c>
      <c r="G608" s="53">
        <f t="shared" ref="G608:G612" si="130">IF(WEEKDAY(A608, 2)&lt;6, E608+2, E608)</f>
        <v>9.5</v>
      </c>
      <c r="H608" s="51"/>
      <c r="I608" s="51">
        <f t="shared" si="123"/>
        <v>9.5</v>
      </c>
    </row>
    <row r="609" spans="1:9" x14ac:dyDescent="0.25">
      <c r="A609" s="133">
        <v>45577</v>
      </c>
      <c r="B609" s="51" t="s">
        <v>53</v>
      </c>
      <c r="C609" s="134">
        <v>0.625</v>
      </c>
      <c r="D609" s="134">
        <v>4.1666666666666664E-2</v>
      </c>
      <c r="E609" s="53">
        <f>MOD((D609-C609),1) *24 - F609</f>
        <v>9</v>
      </c>
      <c r="F609" s="51">
        <v>1</v>
      </c>
      <c r="G609" s="53">
        <f t="shared" si="130"/>
        <v>9</v>
      </c>
      <c r="H609" s="51"/>
      <c r="I609" s="51">
        <f t="shared" si="123"/>
        <v>9</v>
      </c>
    </row>
    <row r="610" spans="1:9" x14ac:dyDescent="0.25">
      <c r="A610" s="133">
        <v>45577</v>
      </c>
      <c r="B610" s="51" t="s">
        <v>49</v>
      </c>
      <c r="C610" s="134">
        <v>0.375</v>
      </c>
      <c r="D610" s="134">
        <v>0.5</v>
      </c>
      <c r="E610" s="53">
        <f t="shared" si="124"/>
        <v>3</v>
      </c>
      <c r="F610" s="51"/>
      <c r="G610" s="53">
        <f t="shared" si="130"/>
        <v>3</v>
      </c>
      <c r="H610" s="51"/>
      <c r="I610" s="51">
        <f t="shared" si="123"/>
        <v>3</v>
      </c>
    </row>
    <row r="611" spans="1:9" x14ac:dyDescent="0.25">
      <c r="A611" s="133">
        <v>45577</v>
      </c>
      <c r="B611" s="51" t="s">
        <v>56</v>
      </c>
      <c r="C611" s="134">
        <v>0.27083333333333331</v>
      </c>
      <c r="D611" s="134">
        <v>0.54166666666666663</v>
      </c>
      <c r="E611" s="53">
        <f t="shared" si="124"/>
        <v>6</v>
      </c>
      <c r="F611" s="51">
        <v>0.5</v>
      </c>
      <c r="G611" s="53">
        <f t="shared" si="130"/>
        <v>6</v>
      </c>
      <c r="H611" s="53"/>
      <c r="I611" s="51">
        <f t="shared" si="123"/>
        <v>6</v>
      </c>
    </row>
    <row r="612" spans="1:9" x14ac:dyDescent="0.25">
      <c r="A612" s="133">
        <v>45578</v>
      </c>
      <c r="B612" s="51" t="s">
        <v>49</v>
      </c>
      <c r="C612" s="134">
        <v>0.60416666666666663</v>
      </c>
      <c r="D612" s="134">
        <v>0.72916666666666663</v>
      </c>
      <c r="E612" s="53">
        <f t="shared" si="124"/>
        <v>3</v>
      </c>
      <c r="F612" s="51"/>
      <c r="G612" s="53">
        <f t="shared" si="130"/>
        <v>3</v>
      </c>
      <c r="H612" s="51"/>
      <c r="I612" s="51">
        <f t="shared" si="123"/>
        <v>3</v>
      </c>
    </row>
    <row r="613" spans="1:9" x14ac:dyDescent="0.25">
      <c r="A613" s="133">
        <v>45579</v>
      </c>
      <c r="B613" s="51" t="s">
        <v>414</v>
      </c>
      <c r="C613" s="134">
        <v>0.33333333333333331</v>
      </c>
      <c r="D613" s="134">
        <v>0.58333333333333337</v>
      </c>
      <c r="E613" s="53">
        <f t="shared" si="124"/>
        <v>5.5000000000000018</v>
      </c>
      <c r="F613" s="51">
        <v>0.5</v>
      </c>
      <c r="G613" s="53"/>
      <c r="H613" s="53">
        <f t="shared" ref="H613:H614" si="131">IF(WEEKDAY(A613, 2)&lt;6, E613-2, E613)</f>
        <v>3.5000000000000018</v>
      </c>
      <c r="I613" s="51">
        <f t="shared" si="123"/>
        <v>3.5000000000000018</v>
      </c>
    </row>
    <row r="614" spans="1:9" x14ac:dyDescent="0.25">
      <c r="A614" s="133">
        <v>45580</v>
      </c>
      <c r="B614" s="51" t="s">
        <v>414</v>
      </c>
      <c r="C614" s="134">
        <v>0.33333333333333331</v>
      </c>
      <c r="D614" s="134">
        <v>0.58333333333333337</v>
      </c>
      <c r="E614" s="53">
        <f t="shared" si="124"/>
        <v>5.5000000000000018</v>
      </c>
      <c r="F614" s="51">
        <v>0.5</v>
      </c>
      <c r="G614" s="53"/>
      <c r="H614" s="53">
        <f t="shared" si="131"/>
        <v>3.5000000000000018</v>
      </c>
      <c r="I614" s="51">
        <f t="shared" si="123"/>
        <v>3.5000000000000018</v>
      </c>
    </row>
    <row r="615" spans="1:9" x14ac:dyDescent="0.25">
      <c r="A615" s="133">
        <v>45581</v>
      </c>
      <c r="B615" s="51" t="s">
        <v>56</v>
      </c>
      <c r="C615" s="134">
        <v>0.33333333333333331</v>
      </c>
      <c r="D615" s="134">
        <v>0.45833333333333331</v>
      </c>
      <c r="E615" s="53">
        <f t="shared" si="124"/>
        <v>3</v>
      </c>
      <c r="F615" s="51"/>
      <c r="G615" s="53">
        <f>IF(WEEKDAY(A615, 2)&lt;6, E615+2, E615)</f>
        <v>5</v>
      </c>
      <c r="H615" s="53"/>
      <c r="I615" s="51">
        <f t="shared" si="123"/>
        <v>5</v>
      </c>
    </row>
    <row r="616" spans="1:9" x14ac:dyDescent="0.25">
      <c r="A616" s="133">
        <v>45581</v>
      </c>
      <c r="B616" s="51" t="s">
        <v>414</v>
      </c>
      <c r="C616" s="134">
        <v>0.45833333333333331</v>
      </c>
      <c r="D616" s="134">
        <v>0.58333333333333337</v>
      </c>
      <c r="E616" s="53">
        <f t="shared" si="124"/>
        <v>3.0000000000000013</v>
      </c>
      <c r="F616" s="51"/>
      <c r="G616" s="53"/>
      <c r="H616" s="53">
        <f>IF(WEEKDAY(A616, 2)&lt;6, E616-2, E616)</f>
        <v>1.0000000000000013</v>
      </c>
      <c r="I616" s="51">
        <f t="shared" si="123"/>
        <v>1.0000000000000013</v>
      </c>
    </row>
    <row r="617" spans="1:9" x14ac:dyDescent="0.25">
      <c r="A617" s="133">
        <v>45581</v>
      </c>
      <c r="B617" s="51" t="s">
        <v>56</v>
      </c>
      <c r="C617" s="134">
        <v>0.6875</v>
      </c>
      <c r="D617" s="134">
        <v>0.89583333333333337</v>
      </c>
      <c r="E617" s="53">
        <f t="shared" si="124"/>
        <v>5.0000000000000009</v>
      </c>
      <c r="F617" s="51"/>
      <c r="G617" s="53">
        <f>IF(WEEKDAY(A617, 2)&lt;6, E617+2, E617)</f>
        <v>7.0000000000000009</v>
      </c>
      <c r="H617" s="53"/>
      <c r="I617" s="51">
        <f t="shared" si="123"/>
        <v>7.0000000000000009</v>
      </c>
    </row>
    <row r="618" spans="1:9" x14ac:dyDescent="0.25">
      <c r="A618" s="133">
        <v>45582</v>
      </c>
      <c r="B618" s="51" t="s">
        <v>414</v>
      </c>
      <c r="C618" s="134">
        <v>0.33333333333333331</v>
      </c>
      <c r="D618" s="134">
        <v>0.58333333333333337</v>
      </c>
      <c r="E618" s="53">
        <f t="shared" si="124"/>
        <v>5.5000000000000018</v>
      </c>
      <c r="F618" s="51">
        <v>0.5</v>
      </c>
      <c r="G618" s="53"/>
      <c r="H618" s="53">
        <f>IF(WEEKDAY(A618, 2)&lt;6, E618-2, E618)</f>
        <v>3.5000000000000018</v>
      </c>
      <c r="I618" s="51">
        <f t="shared" si="123"/>
        <v>3.5000000000000018</v>
      </c>
    </row>
    <row r="619" spans="1:9" x14ac:dyDescent="0.25">
      <c r="A619" s="133">
        <v>45582</v>
      </c>
      <c r="B619" s="51" t="s">
        <v>56</v>
      </c>
      <c r="C619" s="134">
        <v>0.70833333333333337</v>
      </c>
      <c r="D619" s="134">
        <v>0.95833333333333337</v>
      </c>
      <c r="E619" s="53">
        <f t="shared" si="124"/>
        <v>5.5</v>
      </c>
      <c r="F619" s="51">
        <v>0.5</v>
      </c>
      <c r="G619" s="53">
        <f>IF(WEEKDAY(A619, 2)&lt;6, E619+2, E619)</f>
        <v>7.5</v>
      </c>
      <c r="H619" s="53"/>
      <c r="I619" s="51">
        <f t="shared" si="123"/>
        <v>7.5</v>
      </c>
    </row>
    <row r="620" spans="1:9" x14ac:dyDescent="0.25">
      <c r="A620" s="133">
        <v>45583</v>
      </c>
      <c r="B620" s="51" t="s">
        <v>414</v>
      </c>
      <c r="C620" s="134">
        <v>0.33333333333333331</v>
      </c>
      <c r="D620" s="134">
        <v>0.58333333333333337</v>
      </c>
      <c r="E620" s="53">
        <f t="shared" si="124"/>
        <v>5.5000000000000018</v>
      </c>
      <c r="F620" s="51">
        <v>0.5</v>
      </c>
      <c r="G620" s="53"/>
      <c r="H620" s="53">
        <f>IF(WEEKDAY(A620, 2)&lt;6, E620-2, E620)</f>
        <v>3.5000000000000018</v>
      </c>
      <c r="I620" s="51">
        <f t="shared" si="123"/>
        <v>3.5000000000000018</v>
      </c>
    </row>
    <row r="621" spans="1:9" x14ac:dyDescent="0.25">
      <c r="A621" s="133">
        <v>45583</v>
      </c>
      <c r="B621" s="51" t="s">
        <v>56</v>
      </c>
      <c r="C621" s="134">
        <v>0.625</v>
      </c>
      <c r="D621" s="134">
        <v>0.83333333333333337</v>
      </c>
      <c r="E621" s="53">
        <f t="shared" si="124"/>
        <v>5.0000000000000009</v>
      </c>
      <c r="F621" s="51"/>
      <c r="G621" s="53">
        <f t="shared" ref="G621:G629" si="132">IF(WEEKDAY(A621, 2)&lt;6, E621+2, E621)</f>
        <v>7.0000000000000009</v>
      </c>
      <c r="H621" s="53"/>
      <c r="I621" s="51">
        <f t="shared" si="123"/>
        <v>7.0000000000000009</v>
      </c>
    </row>
    <row r="622" spans="1:9" x14ac:dyDescent="0.25">
      <c r="A622" s="133">
        <v>45584</v>
      </c>
      <c r="B622" s="51" t="s">
        <v>48</v>
      </c>
      <c r="C622" s="134">
        <v>0.5</v>
      </c>
      <c r="D622" s="134">
        <v>0.75</v>
      </c>
      <c r="E622" s="53">
        <f t="shared" si="124"/>
        <v>5.5</v>
      </c>
      <c r="F622" s="51">
        <v>0.5</v>
      </c>
      <c r="G622" s="53">
        <f t="shared" si="132"/>
        <v>5.5</v>
      </c>
      <c r="H622" s="51"/>
      <c r="I622" s="51">
        <f t="shared" si="123"/>
        <v>5.5</v>
      </c>
    </row>
    <row r="623" spans="1:9" x14ac:dyDescent="0.25">
      <c r="A623" s="133">
        <v>45584</v>
      </c>
      <c r="B623" s="51" t="s">
        <v>49</v>
      </c>
      <c r="C623" s="134">
        <v>0.375</v>
      </c>
      <c r="D623" s="134">
        <v>0.5</v>
      </c>
      <c r="E623" s="53">
        <f t="shared" si="124"/>
        <v>3</v>
      </c>
      <c r="F623" s="51"/>
      <c r="G623" s="53">
        <f t="shared" si="132"/>
        <v>3</v>
      </c>
      <c r="H623" s="51"/>
      <c r="I623" s="51">
        <f t="shared" si="123"/>
        <v>3</v>
      </c>
    </row>
    <row r="624" spans="1:9" x14ac:dyDescent="0.25">
      <c r="A624" s="133">
        <v>45584</v>
      </c>
      <c r="B624" s="51" t="s">
        <v>58</v>
      </c>
      <c r="C624" s="134">
        <v>0.54166666666666663</v>
      </c>
      <c r="D624" s="134">
        <v>0.77083333333333337</v>
      </c>
      <c r="E624" s="53">
        <f t="shared" si="124"/>
        <v>5.0000000000000018</v>
      </c>
      <c r="F624" s="51">
        <v>0.5</v>
      </c>
      <c r="G624" s="53">
        <f t="shared" si="132"/>
        <v>5.0000000000000018</v>
      </c>
      <c r="H624" s="51"/>
      <c r="I624" s="51">
        <f t="shared" si="123"/>
        <v>5.0000000000000018</v>
      </c>
    </row>
    <row r="625" spans="1:9" x14ac:dyDescent="0.25">
      <c r="A625" s="133">
        <v>45584</v>
      </c>
      <c r="B625" s="51" t="s">
        <v>58</v>
      </c>
      <c r="C625" s="134">
        <v>0.77083333333333337</v>
      </c>
      <c r="D625" s="134">
        <v>0</v>
      </c>
      <c r="E625" s="53">
        <f t="shared" si="124"/>
        <v>4.9999999999999991</v>
      </c>
      <c r="F625" s="51">
        <v>0.5</v>
      </c>
      <c r="G625" s="53">
        <f t="shared" si="132"/>
        <v>4.9999999999999991</v>
      </c>
      <c r="H625" s="51"/>
      <c r="I625" s="51">
        <f t="shared" si="123"/>
        <v>4.9999999999999991</v>
      </c>
    </row>
    <row r="626" spans="1:9" x14ac:dyDescent="0.25">
      <c r="A626" s="133">
        <v>45584</v>
      </c>
      <c r="B626" s="51" t="s">
        <v>56</v>
      </c>
      <c r="C626" s="134">
        <v>0.27083333333333331</v>
      </c>
      <c r="D626" s="134">
        <v>0.41666666666666669</v>
      </c>
      <c r="E626" s="53">
        <f t="shared" si="124"/>
        <v>3.5000000000000009</v>
      </c>
      <c r="F626" s="51"/>
      <c r="G626" s="53">
        <f t="shared" si="132"/>
        <v>3.5000000000000009</v>
      </c>
      <c r="H626" s="53"/>
      <c r="I626" s="51">
        <f t="shared" si="123"/>
        <v>3.5000000000000009</v>
      </c>
    </row>
    <row r="627" spans="1:9" x14ac:dyDescent="0.25">
      <c r="A627" s="133">
        <v>45584</v>
      </c>
      <c r="B627" s="51" t="s">
        <v>56</v>
      </c>
      <c r="C627" s="134">
        <v>0.33333333333333331</v>
      </c>
      <c r="D627" s="134">
        <v>0.54166666666666663</v>
      </c>
      <c r="E627" s="53">
        <f t="shared" si="124"/>
        <v>5</v>
      </c>
      <c r="F627" s="51"/>
      <c r="G627" s="53">
        <f t="shared" si="132"/>
        <v>5</v>
      </c>
      <c r="H627" s="53"/>
      <c r="I627" s="51">
        <f t="shared" si="123"/>
        <v>5</v>
      </c>
    </row>
    <row r="628" spans="1:9" x14ac:dyDescent="0.25">
      <c r="A628" s="133">
        <v>45585</v>
      </c>
      <c r="B628" s="51" t="s">
        <v>58</v>
      </c>
      <c r="C628" s="134">
        <v>0.41666666666666669</v>
      </c>
      <c r="D628" s="134">
        <v>0.79166666666666663</v>
      </c>
      <c r="E628" s="53">
        <f t="shared" si="124"/>
        <v>7.9999999999999982</v>
      </c>
      <c r="F628" s="51">
        <v>1</v>
      </c>
      <c r="G628" s="53">
        <f t="shared" si="132"/>
        <v>7.9999999999999982</v>
      </c>
      <c r="H628" s="51"/>
      <c r="I628" s="51">
        <f t="shared" si="123"/>
        <v>7.9999999999999982</v>
      </c>
    </row>
    <row r="629" spans="1:9" x14ac:dyDescent="0.25">
      <c r="A629" s="133">
        <v>45585</v>
      </c>
      <c r="B629" s="51" t="s">
        <v>49</v>
      </c>
      <c r="C629" s="134">
        <v>0.60416666666666663</v>
      </c>
      <c r="D629" s="134">
        <v>0.72916666666666663</v>
      </c>
      <c r="E629" s="53">
        <f t="shared" si="124"/>
        <v>3</v>
      </c>
      <c r="F629" s="51"/>
      <c r="G629" s="53">
        <f t="shared" si="132"/>
        <v>3</v>
      </c>
      <c r="H629" s="51"/>
      <c r="I629" s="51">
        <f t="shared" si="123"/>
        <v>3</v>
      </c>
    </row>
    <row r="630" spans="1:9" x14ac:dyDescent="0.25">
      <c r="A630" s="133">
        <v>45586</v>
      </c>
      <c r="B630" s="51" t="s">
        <v>414</v>
      </c>
      <c r="C630" s="134">
        <v>0.33333333333333331</v>
      </c>
      <c r="D630" s="134">
        <v>0.58333333333333337</v>
      </c>
      <c r="E630" s="53">
        <f t="shared" si="124"/>
        <v>5.5000000000000018</v>
      </c>
      <c r="F630" s="51">
        <v>0.5</v>
      </c>
      <c r="G630" s="53"/>
      <c r="H630" s="53">
        <f t="shared" ref="H630:H631" si="133">IF(WEEKDAY(A630, 2)&lt;6, E630-2, E630)</f>
        <v>3.5000000000000018</v>
      </c>
      <c r="I630" s="51">
        <f t="shared" si="123"/>
        <v>3.5000000000000018</v>
      </c>
    </row>
    <row r="631" spans="1:9" x14ac:dyDescent="0.25">
      <c r="A631" s="133">
        <v>45587</v>
      </c>
      <c r="B631" s="51" t="s">
        <v>414</v>
      </c>
      <c r="C631" s="134">
        <v>0.33333333333333331</v>
      </c>
      <c r="D631" s="134">
        <v>0.58333333333333337</v>
      </c>
      <c r="E631" s="53">
        <f t="shared" si="124"/>
        <v>5.5000000000000018</v>
      </c>
      <c r="F631" s="51">
        <v>0.5</v>
      </c>
      <c r="G631" s="53"/>
      <c r="H631" s="53">
        <f t="shared" si="133"/>
        <v>3.5000000000000018</v>
      </c>
      <c r="I631" s="51">
        <f t="shared" si="123"/>
        <v>3.5000000000000018</v>
      </c>
    </row>
    <row r="632" spans="1:9" x14ac:dyDescent="0.25">
      <c r="A632" s="133">
        <v>45588</v>
      </c>
      <c r="B632" s="51" t="s">
        <v>49</v>
      </c>
      <c r="C632" s="134">
        <v>0.70833333333333337</v>
      </c>
      <c r="D632" s="134">
        <v>0.89583333333333337</v>
      </c>
      <c r="E632" s="53">
        <f t="shared" si="124"/>
        <v>4.5</v>
      </c>
      <c r="F632" s="51"/>
      <c r="G632" s="53">
        <f>IF(WEEKDAY(A632, 2)&lt;6, E632+2, E632)</f>
        <v>6.5</v>
      </c>
      <c r="H632" s="51"/>
      <c r="I632" s="51">
        <f t="shared" si="123"/>
        <v>6.5</v>
      </c>
    </row>
    <row r="633" spans="1:9" x14ac:dyDescent="0.25">
      <c r="A633" s="133">
        <v>45588</v>
      </c>
      <c r="B633" s="51" t="s">
        <v>414</v>
      </c>
      <c r="C633" s="134">
        <v>0.33333333333333331</v>
      </c>
      <c r="D633" s="134">
        <v>0.58333333333333337</v>
      </c>
      <c r="E633" s="53">
        <f t="shared" si="124"/>
        <v>5.5000000000000018</v>
      </c>
      <c r="F633" s="51">
        <v>0.5</v>
      </c>
      <c r="G633" s="53"/>
      <c r="H633" s="53">
        <f>IF(WEEKDAY(A633, 2)&lt;6, E633-2, E633)</f>
        <v>3.5000000000000018</v>
      </c>
      <c r="I633" s="51">
        <f t="shared" si="123"/>
        <v>3.5000000000000018</v>
      </c>
    </row>
    <row r="634" spans="1:9" x14ac:dyDescent="0.25">
      <c r="A634" s="133">
        <v>45589</v>
      </c>
      <c r="B634" s="51" t="s">
        <v>49</v>
      </c>
      <c r="C634" s="134">
        <v>0.75</v>
      </c>
      <c r="D634" s="134">
        <v>0.97916666666666663</v>
      </c>
      <c r="E634" s="53">
        <f t="shared" si="124"/>
        <v>4.9999999999999991</v>
      </c>
      <c r="F634" s="51">
        <v>0.5</v>
      </c>
      <c r="G634" s="53">
        <f>IF(WEEKDAY(A634, 2)&lt;6, E634+2, E634)</f>
        <v>6.9999999999999991</v>
      </c>
      <c r="H634" s="51"/>
      <c r="I634" s="51">
        <f t="shared" si="123"/>
        <v>6.9999999999999991</v>
      </c>
    </row>
    <row r="635" spans="1:9" x14ac:dyDescent="0.25">
      <c r="A635" s="133">
        <v>45589</v>
      </c>
      <c r="B635" s="51" t="s">
        <v>414</v>
      </c>
      <c r="C635" s="134">
        <v>0.33333333333333331</v>
      </c>
      <c r="D635" s="134">
        <v>0.58333333333333337</v>
      </c>
      <c r="E635" s="53">
        <f t="shared" si="124"/>
        <v>5.5000000000000018</v>
      </c>
      <c r="F635" s="51">
        <v>0.5</v>
      </c>
      <c r="G635" s="53"/>
      <c r="H635" s="53">
        <f>IF(WEEKDAY(A635, 2)&lt;6, E635-2, E635)</f>
        <v>3.5000000000000018</v>
      </c>
      <c r="I635" s="51">
        <f t="shared" si="123"/>
        <v>3.5000000000000018</v>
      </c>
    </row>
    <row r="636" spans="1:9" x14ac:dyDescent="0.25">
      <c r="A636" s="133">
        <v>45589</v>
      </c>
      <c r="B636" s="51" t="s">
        <v>56</v>
      </c>
      <c r="C636" s="134">
        <v>0.70833333333333337</v>
      </c>
      <c r="D636" s="134">
        <v>0.95833333333333337</v>
      </c>
      <c r="E636" s="53">
        <f t="shared" si="124"/>
        <v>5.5</v>
      </c>
      <c r="F636" s="51">
        <v>0.5</v>
      </c>
      <c r="G636" s="53">
        <f t="shared" ref="G636:G638" si="134">IF(WEEKDAY(A636, 2)&lt;6, E636+2, E636)</f>
        <v>7.5</v>
      </c>
      <c r="H636" s="53"/>
      <c r="I636" s="51">
        <f t="shared" si="123"/>
        <v>7.5</v>
      </c>
    </row>
    <row r="637" spans="1:9" x14ac:dyDescent="0.25">
      <c r="A637" s="133">
        <v>45589</v>
      </c>
      <c r="B637" s="51" t="s">
        <v>53</v>
      </c>
      <c r="C637" s="134">
        <v>0.47916666666666669</v>
      </c>
      <c r="D637" s="134">
        <v>0.72916666666666663</v>
      </c>
      <c r="E637" s="53">
        <f t="shared" si="124"/>
        <v>5.4999999999999982</v>
      </c>
      <c r="F637" s="51">
        <v>0.5</v>
      </c>
      <c r="G637" s="53">
        <f t="shared" si="134"/>
        <v>7.4999999999999982</v>
      </c>
      <c r="H637" s="51"/>
      <c r="I637" s="51">
        <f t="shared" si="123"/>
        <v>7.4999999999999982</v>
      </c>
    </row>
    <row r="638" spans="1:9" x14ac:dyDescent="0.25">
      <c r="A638" s="133">
        <v>45590</v>
      </c>
      <c r="B638" s="51" t="s">
        <v>49</v>
      </c>
      <c r="C638" s="134">
        <v>0.47916666666666669</v>
      </c>
      <c r="D638" s="134">
        <v>0.72916666666666663</v>
      </c>
      <c r="E638" s="53">
        <f t="shared" si="124"/>
        <v>5.4999999999999982</v>
      </c>
      <c r="F638" s="51">
        <v>0.5</v>
      </c>
      <c r="G638" s="53">
        <f t="shared" si="134"/>
        <v>7.4999999999999982</v>
      </c>
      <c r="H638" s="51"/>
      <c r="I638" s="51">
        <f t="shared" si="123"/>
        <v>7.4999999999999982</v>
      </c>
    </row>
    <row r="639" spans="1:9" x14ac:dyDescent="0.25">
      <c r="A639" s="133">
        <v>45590</v>
      </c>
      <c r="B639" s="51" t="s">
        <v>414</v>
      </c>
      <c r="C639" s="134">
        <v>0.33333333333333331</v>
      </c>
      <c r="D639" s="134">
        <v>0.58333333333333337</v>
      </c>
      <c r="E639" s="53">
        <f t="shared" si="124"/>
        <v>5.5000000000000018</v>
      </c>
      <c r="F639" s="51">
        <v>0.5</v>
      </c>
      <c r="G639" s="53"/>
      <c r="H639" s="53">
        <f>IF(WEEKDAY(A639, 2)&lt;6, E639-2, E639)</f>
        <v>3.5000000000000018</v>
      </c>
      <c r="I639" s="51">
        <f t="shared" si="123"/>
        <v>3.5000000000000018</v>
      </c>
    </row>
    <row r="640" spans="1:9" x14ac:dyDescent="0.25">
      <c r="A640" s="133">
        <v>45591</v>
      </c>
      <c r="B640" s="51" t="s">
        <v>58</v>
      </c>
      <c r="C640" s="134">
        <v>0.27083333333333331</v>
      </c>
      <c r="D640" s="134">
        <v>0.60416666666666663</v>
      </c>
      <c r="E640" s="53">
        <f t="shared" si="124"/>
        <v>7.5</v>
      </c>
      <c r="F640" s="51">
        <v>0.5</v>
      </c>
      <c r="G640" s="53">
        <f t="shared" ref="G640:G647" si="135">IF(WEEKDAY(A640, 2)&lt;6, E640+2, E640)</f>
        <v>7.5</v>
      </c>
      <c r="H640" s="51"/>
      <c r="I640" s="51">
        <f t="shared" si="123"/>
        <v>7.5</v>
      </c>
    </row>
    <row r="641" spans="1:9" x14ac:dyDescent="0.25">
      <c r="A641" s="133">
        <v>45591</v>
      </c>
      <c r="B641" s="51" t="s">
        <v>53</v>
      </c>
      <c r="C641" s="134">
        <v>0.33333333333333331</v>
      </c>
      <c r="D641" s="134">
        <v>0.58333333333333337</v>
      </c>
      <c r="E641" s="53">
        <f t="shared" si="124"/>
        <v>5.5000000000000018</v>
      </c>
      <c r="F641" s="51">
        <v>0.5</v>
      </c>
      <c r="G641" s="53">
        <f t="shared" si="135"/>
        <v>5.5000000000000018</v>
      </c>
      <c r="H641" s="51"/>
      <c r="I641" s="51">
        <f t="shared" si="123"/>
        <v>5.5000000000000018</v>
      </c>
    </row>
    <row r="642" spans="1:9" x14ac:dyDescent="0.25">
      <c r="A642" s="133">
        <v>45591</v>
      </c>
      <c r="B642" s="51" t="s">
        <v>53</v>
      </c>
      <c r="C642" s="134">
        <v>0.58333333333333337</v>
      </c>
      <c r="D642" s="134">
        <v>0.77083333333333337</v>
      </c>
      <c r="E642" s="53">
        <f t="shared" si="124"/>
        <v>4.5</v>
      </c>
      <c r="F642" s="51"/>
      <c r="G642" s="53">
        <f t="shared" si="135"/>
        <v>4.5</v>
      </c>
      <c r="H642" s="51"/>
      <c r="I642" s="51">
        <f t="shared" ref="I642:I705" si="136">IF(G642&lt;&gt;"",G642,H642)</f>
        <v>4.5</v>
      </c>
    </row>
    <row r="643" spans="1:9" x14ac:dyDescent="0.25">
      <c r="A643" s="133">
        <v>45591</v>
      </c>
      <c r="B643" s="51" t="s">
        <v>58</v>
      </c>
      <c r="C643" s="134">
        <v>0.58333333333333337</v>
      </c>
      <c r="D643" s="134">
        <v>4.1666666666666664E-2</v>
      </c>
      <c r="E643" s="53">
        <f t="shared" ref="E643:E706" si="137">MOD((D643-C643),1) *24 - F643</f>
        <v>9.9999999999999982</v>
      </c>
      <c r="F643" s="51">
        <v>1</v>
      </c>
      <c r="G643" s="53">
        <f t="shared" si="135"/>
        <v>9.9999999999999982</v>
      </c>
      <c r="H643" s="51"/>
      <c r="I643" s="51">
        <f t="shared" si="136"/>
        <v>9.9999999999999982</v>
      </c>
    </row>
    <row r="644" spans="1:9" x14ac:dyDescent="0.25">
      <c r="A644" s="133">
        <v>45591</v>
      </c>
      <c r="B644" s="51" t="s">
        <v>46</v>
      </c>
      <c r="C644" s="134">
        <v>0.60416666666666663</v>
      </c>
      <c r="D644" s="134">
        <v>0.85416666666666663</v>
      </c>
      <c r="E644" s="53">
        <f t="shared" si="137"/>
        <v>5.5</v>
      </c>
      <c r="F644" s="51">
        <v>0.5</v>
      </c>
      <c r="G644" s="53">
        <f t="shared" si="135"/>
        <v>5.5</v>
      </c>
      <c r="H644" s="51"/>
      <c r="I644" s="51">
        <f t="shared" si="136"/>
        <v>5.5</v>
      </c>
    </row>
    <row r="645" spans="1:9" x14ac:dyDescent="0.25">
      <c r="A645" s="133">
        <v>45591</v>
      </c>
      <c r="B645" s="51" t="s">
        <v>55</v>
      </c>
      <c r="C645" s="134">
        <v>0.72916666666666663</v>
      </c>
      <c r="D645" s="134">
        <v>0.89583333333333337</v>
      </c>
      <c r="E645" s="53">
        <f t="shared" si="137"/>
        <v>4.0000000000000018</v>
      </c>
      <c r="F645" s="51"/>
      <c r="G645" s="53">
        <f t="shared" si="135"/>
        <v>4.0000000000000018</v>
      </c>
      <c r="H645" s="51"/>
      <c r="I645" s="51">
        <f t="shared" si="136"/>
        <v>4.0000000000000018</v>
      </c>
    </row>
    <row r="646" spans="1:9" x14ac:dyDescent="0.25">
      <c r="A646" s="133">
        <v>45592</v>
      </c>
      <c r="B646" s="51" t="s">
        <v>53</v>
      </c>
      <c r="C646" s="134">
        <v>0.5</v>
      </c>
      <c r="D646" s="134">
        <v>0.75</v>
      </c>
      <c r="E646" s="53">
        <f t="shared" si="137"/>
        <v>5.5</v>
      </c>
      <c r="F646" s="51">
        <v>0.5</v>
      </c>
      <c r="G646" s="53">
        <f t="shared" si="135"/>
        <v>5.5</v>
      </c>
      <c r="H646" s="51"/>
      <c r="I646" s="51">
        <f t="shared" si="136"/>
        <v>5.5</v>
      </c>
    </row>
    <row r="647" spans="1:9" x14ac:dyDescent="0.25">
      <c r="A647" s="133">
        <v>45592</v>
      </c>
      <c r="B647" s="51" t="s">
        <v>58</v>
      </c>
      <c r="C647" s="134">
        <v>0.5625</v>
      </c>
      <c r="D647" s="134">
        <v>0.77083333333333337</v>
      </c>
      <c r="E647" s="53">
        <f t="shared" si="137"/>
        <v>5.0000000000000009</v>
      </c>
      <c r="F647" s="51"/>
      <c r="G647" s="53">
        <f t="shared" si="135"/>
        <v>5.0000000000000009</v>
      </c>
      <c r="H647" s="51"/>
      <c r="I647" s="51">
        <f t="shared" si="136"/>
        <v>5.0000000000000009</v>
      </c>
    </row>
    <row r="648" spans="1:9" x14ac:dyDescent="0.25">
      <c r="A648" s="133">
        <v>45593</v>
      </c>
      <c r="B648" s="51" t="s">
        <v>414</v>
      </c>
      <c r="C648" s="134">
        <v>0.33333333333333331</v>
      </c>
      <c r="D648" s="134">
        <v>0.58333333333333337</v>
      </c>
      <c r="E648" s="53">
        <f t="shared" si="137"/>
        <v>5.5000000000000018</v>
      </c>
      <c r="F648" s="51">
        <v>0.5</v>
      </c>
      <c r="G648" s="53"/>
      <c r="H648" s="53">
        <f t="shared" ref="H648:H649" si="138">IF(WEEKDAY(A648, 2)&lt;6, E648-2, E648)</f>
        <v>3.5000000000000018</v>
      </c>
      <c r="I648" s="51">
        <f t="shared" si="136"/>
        <v>3.5000000000000018</v>
      </c>
    </row>
    <row r="649" spans="1:9" x14ac:dyDescent="0.25">
      <c r="A649" s="133">
        <v>45594</v>
      </c>
      <c r="B649" s="51" t="s">
        <v>414</v>
      </c>
      <c r="C649" s="134">
        <v>0.33333333333333331</v>
      </c>
      <c r="D649" s="134">
        <v>0.58333333333333337</v>
      </c>
      <c r="E649" s="53">
        <f t="shared" si="137"/>
        <v>5.5000000000000018</v>
      </c>
      <c r="F649" s="51">
        <v>0.5</v>
      </c>
      <c r="G649" s="53"/>
      <c r="H649" s="53">
        <f t="shared" si="138"/>
        <v>3.5000000000000018</v>
      </c>
      <c r="I649" s="51">
        <f t="shared" si="136"/>
        <v>3.5000000000000018</v>
      </c>
    </row>
    <row r="650" spans="1:9" x14ac:dyDescent="0.25">
      <c r="A650" s="133">
        <v>45595</v>
      </c>
      <c r="B650" s="51" t="s">
        <v>49</v>
      </c>
      <c r="C650" s="134">
        <v>0.70833333333333337</v>
      </c>
      <c r="D650" s="134">
        <v>0.89583333333333337</v>
      </c>
      <c r="E650" s="53">
        <f t="shared" si="137"/>
        <v>4.5</v>
      </c>
      <c r="F650" s="51"/>
      <c r="G650" s="53">
        <f>IF(WEEKDAY(A650, 2)&lt;6, E650+2, E650)</f>
        <v>6.5</v>
      </c>
      <c r="H650" s="51"/>
      <c r="I650" s="51">
        <f t="shared" si="136"/>
        <v>6.5</v>
      </c>
    </row>
    <row r="651" spans="1:9" x14ac:dyDescent="0.25">
      <c r="A651" s="133">
        <v>45595</v>
      </c>
      <c r="B651" s="51" t="s">
        <v>414</v>
      </c>
      <c r="C651" s="134">
        <v>0.33333333333333331</v>
      </c>
      <c r="D651" s="134">
        <v>0.58333333333333337</v>
      </c>
      <c r="E651" s="53">
        <f t="shared" si="137"/>
        <v>5.5000000000000018</v>
      </c>
      <c r="F651" s="51">
        <v>0.5</v>
      </c>
      <c r="G651" s="53"/>
      <c r="H651" s="53">
        <f>IF(WEEKDAY(A651, 2)&lt;6, E651-2, E651)</f>
        <v>3.5000000000000018</v>
      </c>
      <c r="I651" s="51">
        <f t="shared" si="136"/>
        <v>3.5000000000000018</v>
      </c>
    </row>
    <row r="652" spans="1:9" x14ac:dyDescent="0.25">
      <c r="A652" s="133">
        <v>45596</v>
      </c>
      <c r="B652" s="51" t="s">
        <v>56</v>
      </c>
      <c r="C652" s="134">
        <v>0.77083333333333337</v>
      </c>
      <c r="D652" s="134">
        <v>0.91666666666666663</v>
      </c>
      <c r="E652" s="53">
        <f t="shared" si="137"/>
        <v>3.4999999999999982</v>
      </c>
      <c r="F652" s="51"/>
      <c r="G652" s="53">
        <f>IF(WEEKDAY(A652, 2)&lt;6, E652+2, E652)</f>
        <v>5.4999999999999982</v>
      </c>
      <c r="H652" s="53"/>
      <c r="I652" s="51">
        <f t="shared" si="136"/>
        <v>5.4999999999999982</v>
      </c>
    </row>
    <row r="653" spans="1:9" x14ac:dyDescent="0.25">
      <c r="A653" s="133">
        <v>45596</v>
      </c>
      <c r="B653" s="51" t="s">
        <v>414</v>
      </c>
      <c r="C653" s="134">
        <v>0.33333333333333331</v>
      </c>
      <c r="D653" s="134">
        <v>0.58333333333333337</v>
      </c>
      <c r="E653" s="53">
        <f t="shared" si="137"/>
        <v>5.5000000000000018</v>
      </c>
      <c r="F653" s="51">
        <v>0.5</v>
      </c>
      <c r="G653" s="53"/>
      <c r="H653" s="53">
        <f t="shared" ref="H653:H654" si="139">IF(WEEKDAY(A653, 2)&lt;6, E653-2, E653)</f>
        <v>3.5000000000000018</v>
      </c>
      <c r="I653" s="51">
        <f t="shared" si="136"/>
        <v>3.5000000000000018</v>
      </c>
    </row>
    <row r="654" spans="1:9" x14ac:dyDescent="0.25">
      <c r="A654" s="133">
        <v>45597</v>
      </c>
      <c r="B654" s="51" t="s">
        <v>414</v>
      </c>
      <c r="C654" s="134">
        <v>0.33333333333333331</v>
      </c>
      <c r="D654" s="134">
        <v>0.58333333333333337</v>
      </c>
      <c r="E654" s="53">
        <f t="shared" si="137"/>
        <v>5.5000000000000018</v>
      </c>
      <c r="F654" s="51">
        <v>0.5</v>
      </c>
      <c r="G654" s="53"/>
      <c r="H654" s="53">
        <f t="shared" si="139"/>
        <v>3.5000000000000018</v>
      </c>
      <c r="I654" s="51">
        <f t="shared" si="136"/>
        <v>3.5000000000000018</v>
      </c>
    </row>
    <row r="655" spans="1:9" x14ac:dyDescent="0.25">
      <c r="A655" s="133">
        <v>45597</v>
      </c>
      <c r="B655" s="51" t="s">
        <v>53</v>
      </c>
      <c r="C655" s="134">
        <v>0.75</v>
      </c>
      <c r="D655" s="134">
        <v>0.95833333333333337</v>
      </c>
      <c r="E655" s="53">
        <f t="shared" si="137"/>
        <v>5.0000000000000009</v>
      </c>
      <c r="F655" s="51"/>
      <c r="G655" s="53">
        <f t="shared" ref="G655:G665" si="140">IF(WEEKDAY(A655, 2)&lt;6, E655+2, E655)</f>
        <v>7.0000000000000009</v>
      </c>
      <c r="H655" s="51"/>
      <c r="I655" s="51">
        <f t="shared" si="136"/>
        <v>7.0000000000000009</v>
      </c>
    </row>
    <row r="656" spans="1:9" x14ac:dyDescent="0.25">
      <c r="A656" s="133">
        <v>45597</v>
      </c>
      <c r="B656" s="51" t="s">
        <v>53</v>
      </c>
      <c r="C656" s="134">
        <v>0.45833333333333331</v>
      </c>
      <c r="D656" s="134">
        <v>0.66666666666666663</v>
      </c>
      <c r="E656" s="53">
        <f t="shared" si="137"/>
        <v>5</v>
      </c>
      <c r="F656" s="51"/>
      <c r="G656" s="53">
        <f t="shared" si="140"/>
        <v>7</v>
      </c>
      <c r="H656" s="51"/>
      <c r="I656" s="51">
        <f t="shared" si="136"/>
        <v>7</v>
      </c>
    </row>
    <row r="657" spans="1:9" x14ac:dyDescent="0.25">
      <c r="A657" s="133">
        <v>45598</v>
      </c>
      <c r="B657" s="51" t="s">
        <v>48</v>
      </c>
      <c r="C657" s="134">
        <v>0.41666666666666669</v>
      </c>
      <c r="D657" s="134">
        <v>0.54166666666666663</v>
      </c>
      <c r="E657" s="53">
        <f t="shared" si="137"/>
        <v>2.9999999999999987</v>
      </c>
      <c r="F657" s="51"/>
      <c r="G657" s="53">
        <f t="shared" si="140"/>
        <v>2.9999999999999987</v>
      </c>
      <c r="H657" s="51"/>
      <c r="I657" s="51">
        <f t="shared" si="136"/>
        <v>2.9999999999999987</v>
      </c>
    </row>
    <row r="658" spans="1:9" x14ac:dyDescent="0.25">
      <c r="A658" s="133">
        <v>45598</v>
      </c>
      <c r="B658" s="51" t="s">
        <v>49</v>
      </c>
      <c r="C658" s="134">
        <v>0.375</v>
      </c>
      <c r="D658" s="134">
        <v>0.45833333333333331</v>
      </c>
      <c r="E658" s="53">
        <f t="shared" si="137"/>
        <v>1.9999999999999996</v>
      </c>
      <c r="F658" s="51"/>
      <c r="G658" s="53">
        <f t="shared" si="140"/>
        <v>1.9999999999999996</v>
      </c>
      <c r="H658" s="51"/>
      <c r="I658" s="51">
        <f t="shared" si="136"/>
        <v>1.9999999999999996</v>
      </c>
    </row>
    <row r="659" spans="1:9" x14ac:dyDescent="0.25">
      <c r="A659" s="133">
        <v>45598</v>
      </c>
      <c r="B659" s="51" t="s">
        <v>58</v>
      </c>
      <c r="C659" s="134">
        <v>0.27083333333333331</v>
      </c>
      <c r="D659" s="134">
        <v>0.54166666666666663</v>
      </c>
      <c r="E659" s="53">
        <f t="shared" si="137"/>
        <v>6</v>
      </c>
      <c r="F659" s="51">
        <v>0.5</v>
      </c>
      <c r="G659" s="53">
        <f t="shared" si="140"/>
        <v>6</v>
      </c>
      <c r="H659" s="51"/>
      <c r="I659" s="51">
        <f t="shared" si="136"/>
        <v>6</v>
      </c>
    </row>
    <row r="660" spans="1:9" x14ac:dyDescent="0.25">
      <c r="A660" s="133">
        <v>45598</v>
      </c>
      <c r="B660" s="51" t="s">
        <v>53</v>
      </c>
      <c r="C660" s="134">
        <v>0.54166666666666663</v>
      </c>
      <c r="D660" s="134">
        <v>6.25E-2</v>
      </c>
      <c r="E660" s="53">
        <f t="shared" si="137"/>
        <v>11.5</v>
      </c>
      <c r="F660" s="51">
        <v>1</v>
      </c>
      <c r="G660" s="53">
        <f t="shared" si="140"/>
        <v>11.5</v>
      </c>
      <c r="H660" s="51"/>
      <c r="I660" s="51">
        <f t="shared" si="136"/>
        <v>11.5</v>
      </c>
    </row>
    <row r="661" spans="1:9" x14ac:dyDescent="0.25">
      <c r="A661" s="133">
        <v>45598</v>
      </c>
      <c r="B661" s="51" t="s">
        <v>58</v>
      </c>
      <c r="C661" s="134">
        <v>0.54166666666666663</v>
      </c>
      <c r="D661" s="134">
        <v>0.91666666666666663</v>
      </c>
      <c r="E661" s="53">
        <f t="shared" si="137"/>
        <v>8</v>
      </c>
      <c r="F661" s="51">
        <v>1</v>
      </c>
      <c r="G661" s="53">
        <f t="shared" si="140"/>
        <v>8</v>
      </c>
      <c r="H661" s="51"/>
      <c r="I661" s="51">
        <f t="shared" si="136"/>
        <v>8</v>
      </c>
    </row>
    <row r="662" spans="1:9" x14ac:dyDescent="0.25">
      <c r="A662" s="133">
        <v>45598</v>
      </c>
      <c r="B662" s="51" t="s">
        <v>48</v>
      </c>
      <c r="C662" s="134">
        <v>0.54166666666666663</v>
      </c>
      <c r="D662" s="134">
        <v>0.70833333333333337</v>
      </c>
      <c r="E662" s="53">
        <f t="shared" si="137"/>
        <v>4.0000000000000018</v>
      </c>
      <c r="F662" s="51"/>
      <c r="G662" s="53">
        <f t="shared" si="140"/>
        <v>4.0000000000000018</v>
      </c>
      <c r="H662" s="51"/>
      <c r="I662" s="51">
        <f t="shared" si="136"/>
        <v>4.0000000000000018</v>
      </c>
    </row>
    <row r="663" spans="1:9" x14ac:dyDescent="0.25">
      <c r="A663" s="133">
        <v>45598</v>
      </c>
      <c r="B663" s="51" t="s">
        <v>46</v>
      </c>
      <c r="C663" s="134">
        <v>0.45833333333333331</v>
      </c>
      <c r="D663" s="134">
        <v>0.79166666666666663</v>
      </c>
      <c r="E663" s="53">
        <f t="shared" si="137"/>
        <v>7.5</v>
      </c>
      <c r="F663" s="51">
        <v>0.5</v>
      </c>
      <c r="G663" s="53">
        <f t="shared" si="140"/>
        <v>7.5</v>
      </c>
      <c r="H663" s="51"/>
      <c r="I663" s="51">
        <f t="shared" si="136"/>
        <v>7.5</v>
      </c>
    </row>
    <row r="664" spans="1:9" x14ac:dyDescent="0.25">
      <c r="A664" s="133">
        <v>45599</v>
      </c>
      <c r="B664" s="51" t="s">
        <v>49</v>
      </c>
      <c r="C664" s="134">
        <v>0.625</v>
      </c>
      <c r="D664" s="134">
        <v>0.70833333333333337</v>
      </c>
      <c r="E664" s="53">
        <f t="shared" si="137"/>
        <v>2.0000000000000009</v>
      </c>
      <c r="F664" s="51"/>
      <c r="G664" s="53">
        <f t="shared" si="140"/>
        <v>2.0000000000000009</v>
      </c>
      <c r="H664" s="51"/>
      <c r="I664" s="51">
        <f t="shared" si="136"/>
        <v>2.0000000000000009</v>
      </c>
    </row>
    <row r="665" spans="1:9" x14ac:dyDescent="0.25">
      <c r="A665" s="133">
        <v>45600</v>
      </c>
      <c r="B665" s="51" t="s">
        <v>56</v>
      </c>
      <c r="C665" s="134">
        <v>0.75</v>
      </c>
      <c r="D665" s="134">
        <v>0.95833333333333337</v>
      </c>
      <c r="E665" s="53">
        <f t="shared" si="137"/>
        <v>5.0000000000000009</v>
      </c>
      <c r="F665" s="51"/>
      <c r="G665" s="53">
        <f t="shared" si="140"/>
        <v>7.0000000000000009</v>
      </c>
      <c r="H665" s="53"/>
      <c r="I665" s="51">
        <f t="shared" si="136"/>
        <v>7.0000000000000009</v>
      </c>
    </row>
    <row r="666" spans="1:9" x14ac:dyDescent="0.25">
      <c r="A666" s="133">
        <v>45600</v>
      </c>
      <c r="B666" s="51" t="s">
        <v>414</v>
      </c>
      <c r="C666" s="134">
        <v>0.33333333333333331</v>
      </c>
      <c r="D666" s="134">
        <v>0.58333333333333337</v>
      </c>
      <c r="E666" s="53">
        <f t="shared" si="137"/>
        <v>5.5000000000000018</v>
      </c>
      <c r="F666" s="51">
        <v>0.5</v>
      </c>
      <c r="G666" s="53"/>
      <c r="H666" s="53">
        <f t="shared" ref="H666:H667" si="141">IF(WEEKDAY(A666, 2)&lt;6, E666-2, E666)</f>
        <v>3.5000000000000018</v>
      </c>
      <c r="I666" s="51">
        <f t="shared" si="136"/>
        <v>3.5000000000000018</v>
      </c>
    </row>
    <row r="667" spans="1:9" x14ac:dyDescent="0.25">
      <c r="A667" s="133">
        <v>45601</v>
      </c>
      <c r="B667" s="51" t="s">
        <v>414</v>
      </c>
      <c r="C667" s="134">
        <v>0.33333333333333331</v>
      </c>
      <c r="D667" s="134">
        <v>0.58333333333333337</v>
      </c>
      <c r="E667" s="53">
        <f t="shared" si="137"/>
        <v>5.5000000000000018</v>
      </c>
      <c r="F667" s="51">
        <v>0.5</v>
      </c>
      <c r="G667" s="53"/>
      <c r="H667" s="53">
        <f t="shared" si="141"/>
        <v>3.5000000000000018</v>
      </c>
      <c r="I667" s="51">
        <f t="shared" si="136"/>
        <v>3.5000000000000018</v>
      </c>
    </row>
    <row r="668" spans="1:9" x14ac:dyDescent="0.25">
      <c r="A668" s="133">
        <v>45601</v>
      </c>
      <c r="B668" s="51" t="s">
        <v>53</v>
      </c>
      <c r="C668" s="134">
        <v>0.70833333333333337</v>
      </c>
      <c r="D668" s="134">
        <v>0.9375</v>
      </c>
      <c r="E668" s="53">
        <f t="shared" si="137"/>
        <v>4.9999999999999991</v>
      </c>
      <c r="F668" s="51">
        <v>0.5</v>
      </c>
      <c r="G668" s="53">
        <f t="shared" ref="G668:G669" si="142">IF(WEEKDAY(A668, 2)&lt;6, E668+2, E668)</f>
        <v>6.9999999999999991</v>
      </c>
      <c r="H668" s="51"/>
      <c r="I668" s="51">
        <f t="shared" si="136"/>
        <v>6.9999999999999991</v>
      </c>
    </row>
    <row r="669" spans="1:9" x14ac:dyDescent="0.25">
      <c r="A669" s="133">
        <v>45602</v>
      </c>
      <c r="B669" s="51" t="s">
        <v>49</v>
      </c>
      <c r="C669" s="134">
        <v>0.625</v>
      </c>
      <c r="D669" s="134">
        <v>0.89583333333333337</v>
      </c>
      <c r="E669" s="53">
        <f t="shared" si="137"/>
        <v>6.0000000000000009</v>
      </c>
      <c r="F669" s="51">
        <v>0.5</v>
      </c>
      <c r="G669" s="53">
        <f t="shared" si="142"/>
        <v>8</v>
      </c>
      <c r="H669" s="51"/>
      <c r="I669" s="51">
        <f t="shared" si="136"/>
        <v>8</v>
      </c>
    </row>
    <row r="670" spans="1:9" x14ac:dyDescent="0.25">
      <c r="A670" s="133">
        <v>45602</v>
      </c>
      <c r="B670" s="51" t="s">
        <v>414</v>
      </c>
      <c r="C670" s="134">
        <v>0.33333333333333331</v>
      </c>
      <c r="D670" s="134">
        <v>0.58333333333333337</v>
      </c>
      <c r="E670" s="53">
        <f t="shared" si="137"/>
        <v>5.5000000000000018</v>
      </c>
      <c r="F670" s="51">
        <v>0.5</v>
      </c>
      <c r="G670" s="53"/>
      <c r="H670" s="53">
        <f>IF(WEEKDAY(A670, 2)&lt;6, E670-2, E670)</f>
        <v>3.5000000000000018</v>
      </c>
      <c r="I670" s="51">
        <f t="shared" si="136"/>
        <v>3.5000000000000018</v>
      </c>
    </row>
    <row r="671" spans="1:9" x14ac:dyDescent="0.25">
      <c r="A671" s="133">
        <v>45603</v>
      </c>
      <c r="B671" s="51" t="s">
        <v>56</v>
      </c>
      <c r="C671" s="134">
        <v>0.77083333333333337</v>
      </c>
      <c r="D671" s="134">
        <v>0.9375</v>
      </c>
      <c r="E671" s="53">
        <f t="shared" si="137"/>
        <v>3.9999999999999991</v>
      </c>
      <c r="F671" s="51"/>
      <c r="G671" s="53">
        <f t="shared" ref="G671:G672" si="143">IF(WEEKDAY(A671, 2)&lt;6, E671+2, E671)</f>
        <v>5.9999999999999991</v>
      </c>
      <c r="H671" s="53"/>
      <c r="I671" s="51">
        <f t="shared" si="136"/>
        <v>5.9999999999999991</v>
      </c>
    </row>
    <row r="672" spans="1:9" x14ac:dyDescent="0.25">
      <c r="A672" s="133">
        <v>45603</v>
      </c>
      <c r="B672" s="51" t="s">
        <v>53</v>
      </c>
      <c r="C672" s="134">
        <v>0.33333333333333331</v>
      </c>
      <c r="D672" s="134">
        <v>0.70833333333333337</v>
      </c>
      <c r="E672" s="53">
        <f t="shared" si="137"/>
        <v>8.0000000000000018</v>
      </c>
      <c r="F672" s="51">
        <v>1</v>
      </c>
      <c r="G672" s="53">
        <f t="shared" si="143"/>
        <v>10.000000000000002</v>
      </c>
      <c r="H672" s="51"/>
      <c r="I672" s="51">
        <f t="shared" si="136"/>
        <v>10.000000000000002</v>
      </c>
    </row>
    <row r="673" spans="1:9" x14ac:dyDescent="0.25">
      <c r="A673" s="133">
        <v>45603</v>
      </c>
      <c r="B673" s="51" t="s">
        <v>414</v>
      </c>
      <c r="C673" s="134">
        <v>0.33333333333333331</v>
      </c>
      <c r="D673" s="134">
        <v>0.58333333333333337</v>
      </c>
      <c r="E673" s="53">
        <f t="shared" si="137"/>
        <v>5.5000000000000018</v>
      </c>
      <c r="F673" s="51">
        <v>0.5</v>
      </c>
      <c r="G673" s="53"/>
      <c r="H673" s="53">
        <f t="shared" ref="H673:H674" si="144">IF(WEEKDAY(A673, 2)&lt;6, E673-2, E673)</f>
        <v>3.5000000000000018</v>
      </c>
      <c r="I673" s="51">
        <f t="shared" si="136"/>
        <v>3.5000000000000018</v>
      </c>
    </row>
    <row r="674" spans="1:9" x14ac:dyDescent="0.25">
      <c r="A674" s="133">
        <v>45604</v>
      </c>
      <c r="B674" s="51" t="s">
        <v>414</v>
      </c>
      <c r="C674" s="134">
        <v>0.33333333333333331</v>
      </c>
      <c r="D674" s="134">
        <v>0.58333333333333337</v>
      </c>
      <c r="E674" s="53">
        <f t="shared" si="137"/>
        <v>5.5000000000000018</v>
      </c>
      <c r="F674" s="51">
        <v>0.5</v>
      </c>
      <c r="G674" s="53"/>
      <c r="H674" s="53">
        <f t="shared" si="144"/>
        <v>3.5000000000000018</v>
      </c>
      <c r="I674" s="51">
        <f t="shared" si="136"/>
        <v>3.5000000000000018</v>
      </c>
    </row>
    <row r="675" spans="1:9" x14ac:dyDescent="0.25">
      <c r="A675" s="133">
        <v>45604</v>
      </c>
      <c r="B675" s="51" t="s">
        <v>56</v>
      </c>
      <c r="C675" s="134">
        <v>0.6875</v>
      </c>
      <c r="D675" s="134">
        <v>0.89583333333333337</v>
      </c>
      <c r="E675" s="53">
        <f t="shared" si="137"/>
        <v>5.0000000000000009</v>
      </c>
      <c r="F675" s="51"/>
      <c r="G675" s="53">
        <f t="shared" ref="G675:G687" si="145">IF(WEEKDAY(A675, 2)&lt;6, E675+2, E675)</f>
        <v>7.0000000000000009</v>
      </c>
      <c r="H675" s="53"/>
      <c r="I675" s="51">
        <f t="shared" si="136"/>
        <v>7.0000000000000009</v>
      </c>
    </row>
    <row r="676" spans="1:9" x14ac:dyDescent="0.25">
      <c r="A676" s="133">
        <v>45605</v>
      </c>
      <c r="B676" s="51" t="s">
        <v>56</v>
      </c>
      <c r="C676" s="134">
        <v>0.33333333333333331</v>
      </c>
      <c r="D676" s="134">
        <v>0.54166666666666663</v>
      </c>
      <c r="E676" s="53">
        <f t="shared" si="137"/>
        <v>5</v>
      </c>
      <c r="F676" s="51"/>
      <c r="G676" s="53">
        <f t="shared" si="145"/>
        <v>5</v>
      </c>
      <c r="H676" s="53"/>
      <c r="I676" s="51">
        <f t="shared" si="136"/>
        <v>5</v>
      </c>
    </row>
    <row r="677" spans="1:9" x14ac:dyDescent="0.25">
      <c r="A677" s="133">
        <v>45605</v>
      </c>
      <c r="B677" s="51" t="s">
        <v>58</v>
      </c>
      <c r="C677" s="134">
        <v>0.27083333333333331</v>
      </c>
      <c r="D677" s="134">
        <v>0.41666666666666669</v>
      </c>
      <c r="E677" s="53">
        <f t="shared" si="137"/>
        <v>3.5000000000000009</v>
      </c>
      <c r="F677" s="51"/>
      <c r="G677" s="53">
        <f t="shared" si="145"/>
        <v>3.5000000000000009</v>
      </c>
      <c r="H677" s="51"/>
      <c r="I677" s="51">
        <f t="shared" si="136"/>
        <v>3.5000000000000009</v>
      </c>
    </row>
    <row r="678" spans="1:9" x14ac:dyDescent="0.25">
      <c r="A678" s="133">
        <v>45605</v>
      </c>
      <c r="B678" s="51" t="s">
        <v>53</v>
      </c>
      <c r="C678" s="134">
        <v>0.29166666666666669</v>
      </c>
      <c r="D678" s="134">
        <v>0.5625</v>
      </c>
      <c r="E678" s="53">
        <f t="shared" si="137"/>
        <v>6</v>
      </c>
      <c r="F678" s="51">
        <v>0.5</v>
      </c>
      <c r="G678" s="53">
        <f t="shared" si="145"/>
        <v>6</v>
      </c>
      <c r="H678" s="51"/>
      <c r="I678" s="51">
        <f t="shared" si="136"/>
        <v>6</v>
      </c>
    </row>
    <row r="679" spans="1:9" x14ac:dyDescent="0.25">
      <c r="A679" s="133">
        <v>45605</v>
      </c>
      <c r="B679" s="51" t="s">
        <v>48</v>
      </c>
      <c r="C679" s="134">
        <v>0.70833333333333337</v>
      </c>
      <c r="D679" s="134">
        <v>6.25E-2</v>
      </c>
      <c r="E679" s="53">
        <f t="shared" si="137"/>
        <v>7.5</v>
      </c>
      <c r="F679" s="51">
        <v>1</v>
      </c>
      <c r="G679" s="53">
        <f t="shared" si="145"/>
        <v>7.5</v>
      </c>
      <c r="H679" s="51"/>
      <c r="I679" s="51">
        <f t="shared" si="136"/>
        <v>7.5</v>
      </c>
    </row>
    <row r="680" spans="1:9" x14ac:dyDescent="0.25">
      <c r="A680" s="133">
        <v>45605</v>
      </c>
      <c r="B680" s="51" t="s">
        <v>58</v>
      </c>
      <c r="C680" s="134">
        <v>0.58333333333333337</v>
      </c>
      <c r="D680" s="134">
        <v>0.75</v>
      </c>
      <c r="E680" s="53">
        <f t="shared" si="137"/>
        <v>3.9999999999999991</v>
      </c>
      <c r="F680" s="51"/>
      <c r="G680" s="53">
        <f t="shared" si="145"/>
        <v>3.9999999999999991</v>
      </c>
      <c r="H680" s="51"/>
      <c r="I680" s="51">
        <f t="shared" si="136"/>
        <v>3.9999999999999991</v>
      </c>
    </row>
    <row r="681" spans="1:9" x14ac:dyDescent="0.25">
      <c r="A681" s="133">
        <v>45605</v>
      </c>
      <c r="B681" s="51" t="s">
        <v>53</v>
      </c>
      <c r="C681" s="134">
        <v>0.54166666666666663</v>
      </c>
      <c r="D681" s="134">
        <v>0.79166666666666663</v>
      </c>
      <c r="E681" s="53">
        <f t="shared" si="137"/>
        <v>5.5</v>
      </c>
      <c r="F681" s="51">
        <v>0.5</v>
      </c>
      <c r="G681" s="53">
        <f t="shared" si="145"/>
        <v>5.5</v>
      </c>
      <c r="H681" s="51"/>
      <c r="I681" s="51">
        <f t="shared" si="136"/>
        <v>5.5</v>
      </c>
    </row>
    <row r="682" spans="1:9" x14ac:dyDescent="0.25">
      <c r="A682" s="133">
        <v>45605</v>
      </c>
      <c r="B682" s="51" t="s">
        <v>49</v>
      </c>
      <c r="C682" s="134">
        <v>0.375</v>
      </c>
      <c r="D682" s="134">
        <v>0.5</v>
      </c>
      <c r="E682" s="53">
        <f t="shared" si="137"/>
        <v>3</v>
      </c>
      <c r="F682" s="51"/>
      <c r="G682" s="53">
        <f t="shared" si="145"/>
        <v>3</v>
      </c>
      <c r="H682" s="51"/>
      <c r="I682" s="51">
        <f t="shared" si="136"/>
        <v>3</v>
      </c>
    </row>
    <row r="683" spans="1:9" x14ac:dyDescent="0.25">
      <c r="A683" s="133">
        <v>45605</v>
      </c>
      <c r="B683" s="51" t="s">
        <v>46</v>
      </c>
      <c r="C683" s="134">
        <v>0.375</v>
      </c>
      <c r="D683" s="134">
        <v>0.64583333333333337</v>
      </c>
      <c r="E683" s="53">
        <f t="shared" si="137"/>
        <v>6.0000000000000009</v>
      </c>
      <c r="F683" s="51">
        <v>0.5</v>
      </c>
      <c r="G683" s="53">
        <f t="shared" si="145"/>
        <v>6.0000000000000009</v>
      </c>
      <c r="H683" s="51"/>
      <c r="I683" s="51">
        <f t="shared" si="136"/>
        <v>6.0000000000000009</v>
      </c>
    </row>
    <row r="684" spans="1:9" x14ac:dyDescent="0.25">
      <c r="A684" s="133">
        <v>45605</v>
      </c>
      <c r="B684" s="51" t="s">
        <v>58</v>
      </c>
      <c r="C684" s="134">
        <v>0.77083333333333337</v>
      </c>
      <c r="D684" s="134">
        <v>0.95833333333333337</v>
      </c>
      <c r="E684" s="53">
        <f t="shared" si="137"/>
        <v>4.5</v>
      </c>
      <c r="F684" s="51"/>
      <c r="G684" s="53">
        <f t="shared" si="145"/>
        <v>4.5</v>
      </c>
      <c r="H684" s="51"/>
      <c r="I684" s="51">
        <f t="shared" si="136"/>
        <v>4.5</v>
      </c>
    </row>
    <row r="685" spans="1:9" x14ac:dyDescent="0.25">
      <c r="A685" s="133">
        <v>45606</v>
      </c>
      <c r="B685" s="51" t="s">
        <v>53</v>
      </c>
      <c r="C685" s="134">
        <v>0.41666666666666669</v>
      </c>
      <c r="D685" s="134">
        <v>0.75</v>
      </c>
      <c r="E685" s="53">
        <f t="shared" si="137"/>
        <v>7</v>
      </c>
      <c r="F685" s="51">
        <v>1</v>
      </c>
      <c r="G685" s="53">
        <f t="shared" si="145"/>
        <v>7</v>
      </c>
      <c r="H685" s="51"/>
      <c r="I685" s="51">
        <f t="shared" si="136"/>
        <v>7</v>
      </c>
    </row>
    <row r="686" spans="1:9" x14ac:dyDescent="0.25">
      <c r="A686" s="133">
        <v>45606</v>
      </c>
      <c r="B686" s="51" t="s">
        <v>48</v>
      </c>
      <c r="C686" s="134">
        <v>0.5625</v>
      </c>
      <c r="D686" s="134">
        <v>0.77083333333333337</v>
      </c>
      <c r="E686" s="53">
        <f t="shared" si="137"/>
        <v>5.0000000000000009</v>
      </c>
      <c r="F686" s="51"/>
      <c r="G686" s="53">
        <f t="shared" si="145"/>
        <v>5.0000000000000009</v>
      </c>
      <c r="H686" s="51"/>
      <c r="I686" s="51">
        <f t="shared" si="136"/>
        <v>5.0000000000000009</v>
      </c>
    </row>
    <row r="687" spans="1:9" x14ac:dyDescent="0.25">
      <c r="A687" s="133">
        <v>45606</v>
      </c>
      <c r="B687" s="51" t="s">
        <v>58</v>
      </c>
      <c r="C687" s="134">
        <v>0.5</v>
      </c>
      <c r="D687" s="134">
        <v>0.75</v>
      </c>
      <c r="E687" s="53">
        <f t="shared" si="137"/>
        <v>5.5</v>
      </c>
      <c r="F687" s="51">
        <v>0.5</v>
      </c>
      <c r="G687" s="53">
        <f t="shared" si="145"/>
        <v>5.5</v>
      </c>
      <c r="H687" s="51"/>
      <c r="I687" s="51">
        <f t="shared" si="136"/>
        <v>5.5</v>
      </c>
    </row>
    <row r="688" spans="1:9" x14ac:dyDescent="0.25">
      <c r="A688" s="133">
        <v>45608</v>
      </c>
      <c r="B688" s="51" t="s">
        <v>414</v>
      </c>
      <c r="C688" s="134">
        <v>0.33333333333333331</v>
      </c>
      <c r="D688" s="134">
        <v>0.58333333333333337</v>
      </c>
      <c r="E688" s="53">
        <f t="shared" si="137"/>
        <v>5.5000000000000018</v>
      </c>
      <c r="F688" s="51">
        <v>0.5</v>
      </c>
      <c r="G688" s="53"/>
      <c r="H688" s="53">
        <f>IF(WEEKDAY(A688, 2)&lt;6, E688-2, E688)</f>
        <v>3.5000000000000018</v>
      </c>
      <c r="I688" s="51">
        <f t="shared" si="136"/>
        <v>3.5000000000000018</v>
      </c>
    </row>
    <row r="689" spans="1:9" x14ac:dyDescent="0.25">
      <c r="A689" s="133">
        <v>45608</v>
      </c>
      <c r="B689" s="51" t="s">
        <v>53</v>
      </c>
      <c r="C689" s="134">
        <v>0.72916666666666663</v>
      </c>
      <c r="D689" s="134">
        <v>0.85416666666666663</v>
      </c>
      <c r="E689" s="53">
        <f t="shared" si="137"/>
        <v>3</v>
      </c>
      <c r="F689" s="51"/>
      <c r="G689" s="53">
        <f t="shared" ref="G689:G690" si="146">IF(WEEKDAY(A689, 2)&lt;6, E689+2, E689)</f>
        <v>5</v>
      </c>
      <c r="H689" s="51"/>
      <c r="I689" s="51">
        <f t="shared" si="136"/>
        <v>5</v>
      </c>
    </row>
    <row r="690" spans="1:9" x14ac:dyDescent="0.25">
      <c r="A690" s="133">
        <v>45609</v>
      </c>
      <c r="B690" s="51" t="s">
        <v>49</v>
      </c>
      <c r="C690" s="134">
        <v>0.625</v>
      </c>
      <c r="D690" s="134">
        <v>0.89583333333333337</v>
      </c>
      <c r="E690" s="53">
        <f t="shared" si="137"/>
        <v>6.0000000000000009</v>
      </c>
      <c r="F690" s="51">
        <v>0.5</v>
      </c>
      <c r="G690" s="53">
        <f t="shared" si="146"/>
        <v>8</v>
      </c>
      <c r="H690" s="51"/>
      <c r="I690" s="51">
        <f t="shared" si="136"/>
        <v>8</v>
      </c>
    </row>
    <row r="691" spans="1:9" x14ac:dyDescent="0.25">
      <c r="A691" s="133">
        <v>45609</v>
      </c>
      <c r="B691" s="51" t="s">
        <v>414</v>
      </c>
      <c r="C691" s="134">
        <v>0.33333333333333331</v>
      </c>
      <c r="D691" s="134">
        <v>0.58333333333333337</v>
      </c>
      <c r="E691" s="53">
        <f t="shared" si="137"/>
        <v>5.5000000000000018</v>
      </c>
      <c r="F691" s="51">
        <v>0.5</v>
      </c>
      <c r="G691" s="53"/>
      <c r="H691" s="53">
        <f>IF(WEEKDAY(A691, 2)&lt;6, E691-2, E691)</f>
        <v>3.5000000000000018</v>
      </c>
      <c r="I691" s="51">
        <f t="shared" si="136"/>
        <v>3.5000000000000018</v>
      </c>
    </row>
    <row r="692" spans="1:9" x14ac:dyDescent="0.25">
      <c r="A692" s="133">
        <v>45610</v>
      </c>
      <c r="B692" s="51" t="s">
        <v>51</v>
      </c>
      <c r="C692" s="134">
        <v>0.6875</v>
      </c>
      <c r="D692" s="134">
        <v>0.91666666666666663</v>
      </c>
      <c r="E692" s="53">
        <f t="shared" si="137"/>
        <v>4.9999999999999991</v>
      </c>
      <c r="F692" s="51">
        <v>0.5</v>
      </c>
      <c r="G692" s="53">
        <f t="shared" ref="G692:G694" si="147">IF(WEEKDAY(A692, 2)&lt;6, E692+2, E692)</f>
        <v>6.9999999999999991</v>
      </c>
      <c r="H692" s="51"/>
      <c r="I692" s="51">
        <f t="shared" si="136"/>
        <v>6.9999999999999991</v>
      </c>
    </row>
    <row r="693" spans="1:9" x14ac:dyDescent="0.25">
      <c r="A693" s="133">
        <v>45610</v>
      </c>
      <c r="B693" s="51" t="s">
        <v>56</v>
      </c>
      <c r="C693" s="134">
        <v>0.70833333333333337</v>
      </c>
      <c r="D693" s="134">
        <v>0.9375</v>
      </c>
      <c r="E693" s="53">
        <f t="shared" si="137"/>
        <v>4.9999999999999991</v>
      </c>
      <c r="F693" s="51">
        <v>0.5</v>
      </c>
      <c r="G693" s="53">
        <f t="shared" si="147"/>
        <v>6.9999999999999991</v>
      </c>
      <c r="H693" s="53"/>
      <c r="I693" s="51">
        <f t="shared" si="136"/>
        <v>6.9999999999999991</v>
      </c>
    </row>
    <row r="694" spans="1:9" x14ac:dyDescent="0.25">
      <c r="A694" s="133">
        <v>45611</v>
      </c>
      <c r="B694" s="51" t="s">
        <v>53</v>
      </c>
      <c r="C694" s="134">
        <v>0.72916666666666663</v>
      </c>
      <c r="D694" s="134">
        <v>0.89583333333333337</v>
      </c>
      <c r="E694" s="53">
        <f t="shared" si="137"/>
        <v>4.0000000000000018</v>
      </c>
      <c r="F694" s="51"/>
      <c r="G694" s="53">
        <f t="shared" si="147"/>
        <v>6.0000000000000018</v>
      </c>
      <c r="H694" s="51"/>
      <c r="I694" s="51">
        <f t="shared" si="136"/>
        <v>6.0000000000000018</v>
      </c>
    </row>
    <row r="695" spans="1:9" x14ac:dyDescent="0.25">
      <c r="A695" s="133">
        <v>45611</v>
      </c>
      <c r="B695" s="51" t="s">
        <v>414</v>
      </c>
      <c r="C695" s="134">
        <v>0.33333333333333331</v>
      </c>
      <c r="D695" s="134">
        <v>0.58333333333333337</v>
      </c>
      <c r="E695" s="53">
        <f t="shared" si="137"/>
        <v>5.5000000000000018</v>
      </c>
      <c r="F695" s="51">
        <v>0.5</v>
      </c>
      <c r="G695" s="53"/>
      <c r="H695" s="53">
        <f>IF(WEEKDAY(A695, 2)&lt;6, E695-2, E695)</f>
        <v>3.5000000000000018</v>
      </c>
      <c r="I695" s="51">
        <f t="shared" si="136"/>
        <v>3.5000000000000018</v>
      </c>
    </row>
    <row r="696" spans="1:9" x14ac:dyDescent="0.25">
      <c r="A696" s="133">
        <v>45612</v>
      </c>
      <c r="B696" s="51" t="s">
        <v>56</v>
      </c>
      <c r="C696" s="134">
        <v>0.33333333333333331</v>
      </c>
      <c r="D696" s="134">
        <v>0.54166666666666663</v>
      </c>
      <c r="E696" s="53">
        <f t="shared" si="137"/>
        <v>5</v>
      </c>
      <c r="F696" s="51"/>
      <c r="G696" s="53">
        <f t="shared" ref="G696:G704" si="148">IF(WEEKDAY(A696, 2)&lt;6, E696+2, E696)</f>
        <v>5</v>
      </c>
      <c r="H696" s="53"/>
      <c r="I696" s="51">
        <f t="shared" si="136"/>
        <v>5</v>
      </c>
    </row>
    <row r="697" spans="1:9" x14ac:dyDescent="0.25">
      <c r="A697" s="133">
        <v>45612</v>
      </c>
      <c r="B697" s="51" t="s">
        <v>58</v>
      </c>
      <c r="C697" s="134">
        <v>0.27083333333333331</v>
      </c>
      <c r="D697" s="134">
        <v>0.41666666666666669</v>
      </c>
      <c r="E697" s="53">
        <f t="shared" si="137"/>
        <v>3.5000000000000009</v>
      </c>
      <c r="F697" s="51"/>
      <c r="G697" s="53">
        <f t="shared" si="148"/>
        <v>3.5000000000000009</v>
      </c>
      <c r="H697" s="51"/>
      <c r="I697" s="51">
        <f t="shared" si="136"/>
        <v>3.5000000000000009</v>
      </c>
    </row>
    <row r="698" spans="1:9" x14ac:dyDescent="0.25">
      <c r="A698" s="133">
        <v>45612</v>
      </c>
      <c r="B698" s="51" t="s">
        <v>47</v>
      </c>
      <c r="C698" s="134">
        <v>0.54166666666666663</v>
      </c>
      <c r="D698" s="134">
        <v>0.77083333333333337</v>
      </c>
      <c r="E698" s="53">
        <f t="shared" si="137"/>
        <v>5.0000000000000018</v>
      </c>
      <c r="F698" s="51">
        <v>0.5</v>
      </c>
      <c r="G698" s="53">
        <f t="shared" si="148"/>
        <v>5.0000000000000018</v>
      </c>
      <c r="H698" s="51"/>
      <c r="I698" s="51">
        <f t="shared" si="136"/>
        <v>5.0000000000000018</v>
      </c>
    </row>
    <row r="699" spans="1:9" x14ac:dyDescent="0.25">
      <c r="A699" s="133">
        <v>45612</v>
      </c>
      <c r="B699" s="51" t="s">
        <v>49</v>
      </c>
      <c r="C699" s="134">
        <v>0.375</v>
      </c>
      <c r="D699" s="134">
        <v>0.64583333333333337</v>
      </c>
      <c r="E699" s="53">
        <f t="shared" si="137"/>
        <v>6.0000000000000009</v>
      </c>
      <c r="F699" s="51">
        <v>0.5</v>
      </c>
      <c r="G699" s="53">
        <f t="shared" si="148"/>
        <v>6.0000000000000009</v>
      </c>
      <c r="H699" s="51"/>
      <c r="I699" s="51">
        <f t="shared" si="136"/>
        <v>6.0000000000000009</v>
      </c>
    </row>
    <row r="700" spans="1:9" x14ac:dyDescent="0.25">
      <c r="A700" s="133">
        <v>45612</v>
      </c>
      <c r="B700" s="51" t="s">
        <v>58</v>
      </c>
      <c r="C700" s="134">
        <v>0.54166666666666663</v>
      </c>
      <c r="D700" s="134">
        <v>0.83333333333333337</v>
      </c>
      <c r="E700" s="53">
        <f t="shared" si="137"/>
        <v>6.5000000000000018</v>
      </c>
      <c r="F700" s="51">
        <v>0.5</v>
      </c>
      <c r="G700" s="53">
        <f t="shared" si="148"/>
        <v>6.5000000000000018</v>
      </c>
      <c r="H700" s="51"/>
      <c r="I700" s="51">
        <f t="shared" si="136"/>
        <v>6.5000000000000018</v>
      </c>
    </row>
    <row r="701" spans="1:9" x14ac:dyDescent="0.25">
      <c r="A701" s="133">
        <v>45613</v>
      </c>
      <c r="B701" s="51" t="s">
        <v>46</v>
      </c>
      <c r="C701" s="134">
        <v>0.41666666666666669</v>
      </c>
      <c r="D701" s="134">
        <v>0.6875</v>
      </c>
      <c r="E701" s="53">
        <f t="shared" si="137"/>
        <v>6</v>
      </c>
      <c r="F701" s="51">
        <v>0.5</v>
      </c>
      <c r="G701" s="53">
        <f t="shared" si="148"/>
        <v>6</v>
      </c>
      <c r="H701" s="51"/>
      <c r="I701" s="51">
        <f t="shared" si="136"/>
        <v>6</v>
      </c>
    </row>
    <row r="702" spans="1:9" x14ac:dyDescent="0.25">
      <c r="A702" s="133">
        <v>45613</v>
      </c>
      <c r="B702" s="51" t="s">
        <v>58</v>
      </c>
      <c r="C702" s="134">
        <v>0.625</v>
      </c>
      <c r="D702" s="134">
        <v>0.97916666666666663</v>
      </c>
      <c r="E702" s="53">
        <f t="shared" si="137"/>
        <v>7.5</v>
      </c>
      <c r="F702" s="51">
        <v>1</v>
      </c>
      <c r="G702" s="53">
        <f t="shared" si="148"/>
        <v>7.5</v>
      </c>
      <c r="H702" s="51"/>
      <c r="I702" s="51">
        <f t="shared" si="136"/>
        <v>7.5</v>
      </c>
    </row>
    <row r="703" spans="1:9" x14ac:dyDescent="0.25">
      <c r="A703" s="133">
        <v>45613</v>
      </c>
      <c r="B703" s="51" t="s">
        <v>53</v>
      </c>
      <c r="C703" s="134">
        <v>0.70833333333333337</v>
      </c>
      <c r="D703" s="134">
        <v>0.95833333333333337</v>
      </c>
      <c r="E703" s="53">
        <f t="shared" si="137"/>
        <v>5.5</v>
      </c>
      <c r="F703" s="51">
        <v>0.5</v>
      </c>
      <c r="G703" s="53">
        <f t="shared" si="148"/>
        <v>5.5</v>
      </c>
      <c r="H703" s="51"/>
      <c r="I703" s="51">
        <f t="shared" si="136"/>
        <v>5.5</v>
      </c>
    </row>
    <row r="704" spans="1:9" x14ac:dyDescent="0.25">
      <c r="A704" s="133">
        <v>45613</v>
      </c>
      <c r="B704" s="51" t="s">
        <v>53</v>
      </c>
      <c r="C704" s="134">
        <v>0.54166666666666663</v>
      </c>
      <c r="D704" s="134">
        <v>0.70833333333333337</v>
      </c>
      <c r="E704" s="53">
        <f t="shared" si="137"/>
        <v>4.0000000000000018</v>
      </c>
      <c r="F704" s="51"/>
      <c r="G704" s="53">
        <f t="shared" si="148"/>
        <v>4.0000000000000018</v>
      </c>
      <c r="H704" s="51"/>
      <c r="I704" s="51">
        <f t="shared" si="136"/>
        <v>4.0000000000000018</v>
      </c>
    </row>
    <row r="705" spans="1:9" x14ac:dyDescent="0.25">
      <c r="A705" s="133">
        <v>45614</v>
      </c>
      <c r="B705" s="51" t="s">
        <v>414</v>
      </c>
      <c r="C705" s="134">
        <v>0.33333333333333331</v>
      </c>
      <c r="D705" s="134">
        <v>0.58333333333333337</v>
      </c>
      <c r="E705" s="53">
        <f t="shared" si="137"/>
        <v>5.5000000000000018</v>
      </c>
      <c r="F705" s="51">
        <v>0.5</v>
      </c>
      <c r="G705" s="53"/>
      <c r="H705" s="53">
        <f>IF(WEEKDAY(A705, 2)&lt;6, E705-2, E705)</f>
        <v>3.5000000000000018</v>
      </c>
      <c r="I705" s="51">
        <f t="shared" si="136"/>
        <v>3.5000000000000018</v>
      </c>
    </row>
    <row r="706" spans="1:9" x14ac:dyDescent="0.25">
      <c r="A706" s="133">
        <v>45614</v>
      </c>
      <c r="B706" s="51" t="s">
        <v>49</v>
      </c>
      <c r="C706" s="134">
        <v>0.70833333333333337</v>
      </c>
      <c r="D706" s="134">
        <v>0.91666666666666663</v>
      </c>
      <c r="E706" s="53">
        <f t="shared" si="137"/>
        <v>4.9999999999999982</v>
      </c>
      <c r="F706" s="51"/>
      <c r="G706" s="53">
        <f t="shared" ref="G706:G707" si="149">IF(WEEKDAY(A706, 2)&lt;6, E706+2, E706)</f>
        <v>6.9999999999999982</v>
      </c>
      <c r="H706" s="51"/>
      <c r="I706" s="51">
        <f t="shared" ref="I706:I769" si="150">IF(G706&lt;&gt;"",G706,H706)</f>
        <v>6.9999999999999982</v>
      </c>
    </row>
    <row r="707" spans="1:9" x14ac:dyDescent="0.25">
      <c r="A707" s="133">
        <v>45615</v>
      </c>
      <c r="B707" s="51" t="s">
        <v>53</v>
      </c>
      <c r="C707" s="134">
        <v>0.72916666666666663</v>
      </c>
      <c r="D707" s="134">
        <v>0.85416666666666663</v>
      </c>
      <c r="E707" s="53">
        <f t="shared" ref="E707:E770" si="151">MOD((D707-C707),1) *24 - F707</f>
        <v>3</v>
      </c>
      <c r="F707" s="51"/>
      <c r="G707" s="53">
        <f t="shared" si="149"/>
        <v>5</v>
      </c>
      <c r="H707" s="51"/>
      <c r="I707" s="51">
        <f t="shared" si="150"/>
        <v>5</v>
      </c>
    </row>
    <row r="708" spans="1:9" x14ac:dyDescent="0.25">
      <c r="A708" s="133">
        <v>45615</v>
      </c>
      <c r="B708" s="51" t="s">
        <v>414</v>
      </c>
      <c r="C708" s="134">
        <v>0.33333333333333331</v>
      </c>
      <c r="D708" s="134">
        <v>0.58333333333333337</v>
      </c>
      <c r="E708" s="53">
        <f t="shared" si="151"/>
        <v>5.5000000000000018</v>
      </c>
      <c r="F708" s="51">
        <v>0.5</v>
      </c>
      <c r="G708" s="53"/>
      <c r="H708" s="53">
        <f t="shared" ref="H708:H709" si="152">IF(WEEKDAY(A708, 2)&lt;6, E708-2, E708)</f>
        <v>3.5000000000000018</v>
      </c>
      <c r="I708" s="51">
        <f t="shared" si="150"/>
        <v>3.5000000000000018</v>
      </c>
    </row>
    <row r="709" spans="1:9" x14ac:dyDescent="0.25">
      <c r="A709" s="133">
        <v>45616</v>
      </c>
      <c r="B709" s="51" t="s">
        <v>414</v>
      </c>
      <c r="C709" s="134">
        <v>0.33333333333333331</v>
      </c>
      <c r="D709" s="134">
        <v>0.58333333333333337</v>
      </c>
      <c r="E709" s="53">
        <f t="shared" si="151"/>
        <v>5.5000000000000018</v>
      </c>
      <c r="F709" s="51">
        <v>0.5</v>
      </c>
      <c r="G709" s="53"/>
      <c r="H709" s="53">
        <f t="shared" si="152"/>
        <v>3.5000000000000018</v>
      </c>
      <c r="I709" s="51">
        <f t="shared" si="150"/>
        <v>3.5000000000000018</v>
      </c>
    </row>
    <row r="710" spans="1:9" x14ac:dyDescent="0.25">
      <c r="A710" s="133">
        <v>45616</v>
      </c>
      <c r="B710" s="51" t="s">
        <v>49</v>
      </c>
      <c r="C710" s="134">
        <v>0.625</v>
      </c>
      <c r="D710" s="134">
        <v>0.89583333333333337</v>
      </c>
      <c r="E710" s="53">
        <f t="shared" si="151"/>
        <v>6.0000000000000009</v>
      </c>
      <c r="F710" s="51">
        <v>0.5</v>
      </c>
      <c r="G710" s="53">
        <f>IF(WEEKDAY(A710, 2)&lt;6, E710+2, E710)</f>
        <v>8</v>
      </c>
      <c r="H710" s="51"/>
      <c r="I710" s="51">
        <f t="shared" si="150"/>
        <v>8</v>
      </c>
    </row>
    <row r="711" spans="1:9" x14ac:dyDescent="0.25">
      <c r="A711" s="133">
        <v>45617</v>
      </c>
      <c r="B711" s="51" t="s">
        <v>414</v>
      </c>
      <c r="C711" s="134">
        <v>0.33333333333333331</v>
      </c>
      <c r="D711" s="134">
        <v>0.58333333333333337</v>
      </c>
      <c r="E711" s="53">
        <f t="shared" si="151"/>
        <v>5.5000000000000018</v>
      </c>
      <c r="F711" s="51">
        <v>0.5</v>
      </c>
      <c r="G711" s="53"/>
      <c r="H711" s="53">
        <f>IF(WEEKDAY(A711, 2)&lt;6, E711-2, E711)</f>
        <v>3.5000000000000018</v>
      </c>
      <c r="I711" s="51">
        <f t="shared" si="150"/>
        <v>3.5000000000000018</v>
      </c>
    </row>
    <row r="712" spans="1:9" x14ac:dyDescent="0.25">
      <c r="A712" s="133">
        <v>45617</v>
      </c>
      <c r="B712" s="51" t="s">
        <v>56</v>
      </c>
      <c r="C712" s="134">
        <v>0.77083333333333337</v>
      </c>
      <c r="D712" s="134">
        <v>0.91666666666666663</v>
      </c>
      <c r="E712" s="53">
        <f t="shared" si="151"/>
        <v>3.4999999999999982</v>
      </c>
      <c r="F712" s="51"/>
      <c r="G712" s="53">
        <f>IF(WEEKDAY(A712, 2)&lt;6, E712+2, E712)</f>
        <v>5.4999999999999982</v>
      </c>
      <c r="H712" s="53"/>
      <c r="I712" s="51">
        <f t="shared" si="150"/>
        <v>5.4999999999999982</v>
      </c>
    </row>
    <row r="713" spans="1:9" x14ac:dyDescent="0.25">
      <c r="A713" s="133">
        <v>45618</v>
      </c>
      <c r="B713" s="51" t="s">
        <v>414</v>
      </c>
      <c r="C713" s="134">
        <v>0.33333333333333331</v>
      </c>
      <c r="D713" s="134">
        <v>0.58333333333333337</v>
      </c>
      <c r="E713" s="53">
        <f t="shared" si="151"/>
        <v>5.5000000000000018</v>
      </c>
      <c r="F713" s="51">
        <v>0.5</v>
      </c>
      <c r="G713" s="53"/>
      <c r="H713" s="53">
        <f>IF(WEEKDAY(A713, 2)&lt;6, E713-2, E713)</f>
        <v>3.5000000000000018</v>
      </c>
      <c r="I713" s="51">
        <f t="shared" si="150"/>
        <v>3.5000000000000018</v>
      </c>
    </row>
    <row r="714" spans="1:9" x14ac:dyDescent="0.25">
      <c r="A714" s="133">
        <v>45618</v>
      </c>
      <c r="B714" s="51" t="s">
        <v>56</v>
      </c>
      <c r="C714" s="134">
        <v>0.6875</v>
      </c>
      <c r="D714" s="134">
        <v>0.77083333333333337</v>
      </c>
      <c r="E714" s="53">
        <f t="shared" si="151"/>
        <v>2.0000000000000009</v>
      </c>
      <c r="F714" s="51"/>
      <c r="G714" s="53">
        <f t="shared" ref="G714:G725" si="153">IF(WEEKDAY(A714, 2)&lt;6, E714+2, E714)</f>
        <v>4.0000000000000009</v>
      </c>
      <c r="H714" s="53"/>
      <c r="I714" s="51">
        <f t="shared" si="150"/>
        <v>4.0000000000000009</v>
      </c>
    </row>
    <row r="715" spans="1:9" x14ac:dyDescent="0.25">
      <c r="A715" s="133">
        <v>45619</v>
      </c>
      <c r="B715" s="51" t="s">
        <v>56</v>
      </c>
      <c r="C715" s="134">
        <v>0.33333333333333331</v>
      </c>
      <c r="D715" s="134">
        <v>0.54166666666666663</v>
      </c>
      <c r="E715" s="53">
        <f t="shared" si="151"/>
        <v>5</v>
      </c>
      <c r="F715" s="51"/>
      <c r="G715" s="53">
        <f t="shared" si="153"/>
        <v>5</v>
      </c>
      <c r="H715" s="53"/>
      <c r="I715" s="51">
        <f t="shared" si="150"/>
        <v>5</v>
      </c>
    </row>
    <row r="716" spans="1:9" x14ac:dyDescent="0.25">
      <c r="A716" s="133">
        <v>45619</v>
      </c>
      <c r="B716" s="51" t="s">
        <v>58</v>
      </c>
      <c r="C716" s="134">
        <v>0.27083333333333331</v>
      </c>
      <c r="D716" s="134">
        <v>0.41666666666666669</v>
      </c>
      <c r="E716" s="53">
        <f t="shared" si="151"/>
        <v>3.5000000000000009</v>
      </c>
      <c r="F716" s="51"/>
      <c r="G716" s="53">
        <f t="shared" si="153"/>
        <v>3.5000000000000009</v>
      </c>
      <c r="H716" s="51"/>
      <c r="I716" s="51">
        <f t="shared" si="150"/>
        <v>3.5000000000000009</v>
      </c>
    </row>
    <row r="717" spans="1:9" x14ac:dyDescent="0.25">
      <c r="A717" s="133">
        <v>45619</v>
      </c>
      <c r="B717" s="51" t="s">
        <v>53</v>
      </c>
      <c r="C717" s="134">
        <v>0.79166666666666663</v>
      </c>
      <c r="D717" s="134">
        <v>4.1666666666666664E-2</v>
      </c>
      <c r="E717" s="53">
        <f t="shared" si="151"/>
        <v>5.5</v>
      </c>
      <c r="F717" s="51">
        <v>0.5</v>
      </c>
      <c r="G717" s="53">
        <f t="shared" si="153"/>
        <v>5.5</v>
      </c>
      <c r="H717" s="51"/>
      <c r="I717" s="51">
        <f t="shared" si="150"/>
        <v>5.5</v>
      </c>
    </row>
    <row r="718" spans="1:9" x14ac:dyDescent="0.25">
      <c r="A718" s="133">
        <v>45619</v>
      </c>
      <c r="B718" s="51" t="s">
        <v>48</v>
      </c>
      <c r="C718" s="134">
        <v>0.72916666666666663</v>
      </c>
      <c r="D718" s="134">
        <v>0.91666666666666663</v>
      </c>
      <c r="E718" s="53">
        <f t="shared" si="151"/>
        <v>4.5</v>
      </c>
      <c r="F718" s="51"/>
      <c r="G718" s="53">
        <f t="shared" si="153"/>
        <v>4.5</v>
      </c>
      <c r="H718" s="51"/>
      <c r="I718" s="51">
        <f t="shared" si="150"/>
        <v>4.5</v>
      </c>
    </row>
    <row r="719" spans="1:9" x14ac:dyDescent="0.25">
      <c r="A719" s="133">
        <v>45619</v>
      </c>
      <c r="B719" s="51" t="s">
        <v>49</v>
      </c>
      <c r="C719" s="134">
        <v>0.33333333333333331</v>
      </c>
      <c r="D719" s="134">
        <v>0.5</v>
      </c>
      <c r="E719" s="53">
        <f t="shared" si="151"/>
        <v>4</v>
      </c>
      <c r="F719" s="51"/>
      <c r="G719" s="53">
        <f t="shared" si="153"/>
        <v>4</v>
      </c>
      <c r="H719" s="51"/>
      <c r="I719" s="51">
        <f t="shared" si="150"/>
        <v>4</v>
      </c>
    </row>
    <row r="720" spans="1:9" x14ac:dyDescent="0.25">
      <c r="A720" s="133">
        <v>45619</v>
      </c>
      <c r="B720" s="51" t="s">
        <v>47</v>
      </c>
      <c r="C720" s="134">
        <v>0.33333333333333331</v>
      </c>
      <c r="D720" s="134">
        <v>0.54166666666666663</v>
      </c>
      <c r="E720" s="53">
        <f t="shared" si="151"/>
        <v>5</v>
      </c>
      <c r="F720" s="51"/>
      <c r="G720" s="53">
        <f t="shared" si="153"/>
        <v>5</v>
      </c>
      <c r="H720" s="51"/>
      <c r="I720" s="51">
        <f t="shared" si="150"/>
        <v>5</v>
      </c>
    </row>
    <row r="721" spans="1:9" x14ac:dyDescent="0.25">
      <c r="A721" s="133">
        <v>45619</v>
      </c>
      <c r="B721" s="51" t="s">
        <v>53</v>
      </c>
      <c r="C721" s="134">
        <v>0.5625</v>
      </c>
      <c r="D721" s="134">
        <v>0.79166666666666663</v>
      </c>
      <c r="E721" s="53">
        <f t="shared" si="151"/>
        <v>4.9999999999999991</v>
      </c>
      <c r="F721" s="51">
        <v>0.5</v>
      </c>
      <c r="G721" s="53">
        <f t="shared" si="153"/>
        <v>4.9999999999999991</v>
      </c>
      <c r="H721" s="51"/>
      <c r="I721" s="51">
        <f t="shared" si="150"/>
        <v>4.9999999999999991</v>
      </c>
    </row>
    <row r="722" spans="1:9" x14ac:dyDescent="0.25">
      <c r="A722" s="133">
        <v>45619</v>
      </c>
      <c r="B722" s="51" t="s">
        <v>47</v>
      </c>
      <c r="C722" s="134">
        <v>0.54166666666666663</v>
      </c>
      <c r="D722" s="134">
        <v>0.72916666666666663</v>
      </c>
      <c r="E722" s="53">
        <f t="shared" si="151"/>
        <v>4.5</v>
      </c>
      <c r="F722" s="51"/>
      <c r="G722" s="53">
        <f t="shared" si="153"/>
        <v>4.5</v>
      </c>
      <c r="H722" s="51"/>
      <c r="I722" s="51">
        <f t="shared" si="150"/>
        <v>4.5</v>
      </c>
    </row>
    <row r="723" spans="1:9" x14ac:dyDescent="0.25">
      <c r="A723" s="133">
        <v>45620</v>
      </c>
      <c r="B723" s="51" t="s">
        <v>46</v>
      </c>
      <c r="C723" s="134">
        <v>0.41666666666666669</v>
      </c>
      <c r="D723" s="134">
        <v>0.70833333333333337</v>
      </c>
      <c r="E723" s="53">
        <f t="shared" si="151"/>
        <v>6.5</v>
      </c>
      <c r="F723" s="51">
        <v>0.5</v>
      </c>
      <c r="G723" s="53">
        <f t="shared" si="153"/>
        <v>6.5</v>
      </c>
      <c r="H723" s="51"/>
      <c r="I723" s="51">
        <f t="shared" si="150"/>
        <v>6.5</v>
      </c>
    </row>
    <row r="724" spans="1:9" x14ac:dyDescent="0.25">
      <c r="A724" s="133">
        <v>45620</v>
      </c>
      <c r="B724" s="51" t="s">
        <v>53</v>
      </c>
      <c r="C724" s="134">
        <v>0.6875</v>
      </c>
      <c r="D724" s="134">
        <v>0.97916666666666663</v>
      </c>
      <c r="E724" s="53">
        <f t="shared" si="151"/>
        <v>6.4999999999999991</v>
      </c>
      <c r="F724" s="51">
        <v>0.5</v>
      </c>
      <c r="G724" s="53">
        <f t="shared" si="153"/>
        <v>6.4999999999999991</v>
      </c>
      <c r="H724" s="51"/>
      <c r="I724" s="51">
        <f t="shared" si="150"/>
        <v>6.4999999999999991</v>
      </c>
    </row>
    <row r="725" spans="1:9" x14ac:dyDescent="0.25">
      <c r="A725" s="133">
        <v>45620</v>
      </c>
      <c r="B725" s="51" t="s">
        <v>58</v>
      </c>
      <c r="C725" s="134">
        <v>0.41666666666666669</v>
      </c>
      <c r="D725" s="134">
        <v>0.72916666666666663</v>
      </c>
      <c r="E725" s="53">
        <f t="shared" si="151"/>
        <v>7.4999999999999982</v>
      </c>
      <c r="F725" s="51"/>
      <c r="G725" s="53">
        <f t="shared" si="153"/>
        <v>7.4999999999999982</v>
      </c>
      <c r="H725" s="51"/>
      <c r="I725" s="51">
        <f t="shared" si="150"/>
        <v>7.4999999999999982</v>
      </c>
    </row>
    <row r="726" spans="1:9" x14ac:dyDescent="0.25">
      <c r="A726" s="133">
        <v>45621</v>
      </c>
      <c r="B726" s="51" t="s">
        <v>414</v>
      </c>
      <c r="C726" s="134">
        <v>0.33333333333333331</v>
      </c>
      <c r="D726" s="134">
        <v>0.58333333333333337</v>
      </c>
      <c r="E726" s="53">
        <f t="shared" si="151"/>
        <v>6.0000000000000018</v>
      </c>
      <c r="F726" s="51"/>
      <c r="G726" s="53"/>
      <c r="H726" s="53">
        <f t="shared" ref="H726:H728" si="154">IF(WEEKDAY(A726, 2)&lt;6, E726-2, E726)</f>
        <v>4.0000000000000018</v>
      </c>
      <c r="I726" s="51">
        <f t="shared" si="150"/>
        <v>4.0000000000000018</v>
      </c>
    </row>
    <row r="727" spans="1:9" x14ac:dyDescent="0.25">
      <c r="A727" s="133">
        <v>45622</v>
      </c>
      <c r="B727" s="51" t="s">
        <v>414</v>
      </c>
      <c r="C727" s="134">
        <v>0.33333333333333331</v>
      </c>
      <c r="D727" s="134">
        <v>0.58333333333333337</v>
      </c>
      <c r="E727" s="53">
        <f t="shared" si="151"/>
        <v>6.0000000000000018</v>
      </c>
      <c r="F727" s="51"/>
      <c r="G727" s="53"/>
      <c r="H727" s="53">
        <f t="shared" si="154"/>
        <v>4.0000000000000018</v>
      </c>
      <c r="I727" s="51">
        <f t="shared" si="150"/>
        <v>4.0000000000000018</v>
      </c>
    </row>
    <row r="728" spans="1:9" x14ac:dyDescent="0.25">
      <c r="A728" s="133">
        <v>45623</v>
      </c>
      <c r="B728" s="51" t="s">
        <v>414</v>
      </c>
      <c r="C728" s="134">
        <v>0.33333333333333331</v>
      </c>
      <c r="D728" s="134">
        <v>0.58333333333333337</v>
      </c>
      <c r="E728" s="53">
        <f t="shared" si="151"/>
        <v>6.0000000000000018</v>
      </c>
      <c r="F728" s="51"/>
      <c r="G728" s="53"/>
      <c r="H728" s="53">
        <f t="shared" si="154"/>
        <v>4.0000000000000018</v>
      </c>
      <c r="I728" s="51">
        <f t="shared" si="150"/>
        <v>4.0000000000000018</v>
      </c>
    </row>
    <row r="729" spans="1:9" x14ac:dyDescent="0.25">
      <c r="A729" s="133">
        <v>45623</v>
      </c>
      <c r="B729" s="51" t="s">
        <v>49</v>
      </c>
      <c r="C729" s="134">
        <v>0.60416666666666663</v>
      </c>
      <c r="D729" s="134">
        <v>0.89583333333333337</v>
      </c>
      <c r="E729" s="53">
        <f t="shared" si="151"/>
        <v>7.0000000000000018</v>
      </c>
      <c r="F729" s="51"/>
      <c r="G729" s="53">
        <f t="shared" ref="G729:G732" si="155">IF(WEEKDAY(A729, 2)&lt;6, E729+2, E729)</f>
        <v>9.0000000000000018</v>
      </c>
      <c r="H729" s="51"/>
      <c r="I729" s="51">
        <f t="shared" si="150"/>
        <v>9.0000000000000018</v>
      </c>
    </row>
    <row r="730" spans="1:9" x14ac:dyDescent="0.25">
      <c r="A730" s="133">
        <v>45626</v>
      </c>
      <c r="B730" s="51" t="s">
        <v>56</v>
      </c>
      <c r="C730" s="134">
        <v>0.33333333333333331</v>
      </c>
      <c r="D730" s="134">
        <v>0.54166666666666663</v>
      </c>
      <c r="E730" s="53">
        <f t="shared" si="151"/>
        <v>5</v>
      </c>
      <c r="F730" s="51"/>
      <c r="G730" s="53">
        <f t="shared" si="155"/>
        <v>5</v>
      </c>
      <c r="H730" s="53"/>
      <c r="I730" s="51">
        <f t="shared" si="150"/>
        <v>5</v>
      </c>
    </row>
    <row r="731" spans="1:9" x14ac:dyDescent="0.25">
      <c r="A731" s="133">
        <v>45626</v>
      </c>
      <c r="B731" s="51" t="s">
        <v>58</v>
      </c>
      <c r="C731" s="134">
        <v>0.58333333333333337</v>
      </c>
      <c r="D731" s="134">
        <v>0.91666666666666663</v>
      </c>
      <c r="E731" s="53">
        <f t="shared" si="151"/>
        <v>7.9999999999999982</v>
      </c>
      <c r="F731" s="51"/>
      <c r="G731" s="53">
        <f t="shared" si="155"/>
        <v>7.9999999999999982</v>
      </c>
      <c r="H731" s="51"/>
      <c r="I731" s="51">
        <f t="shared" si="150"/>
        <v>7.9999999999999982</v>
      </c>
    </row>
    <row r="732" spans="1:9" x14ac:dyDescent="0.25">
      <c r="A732" s="133">
        <v>45626</v>
      </c>
      <c r="B732" s="51" t="s">
        <v>53</v>
      </c>
      <c r="C732" s="134">
        <v>0.54166666666666663</v>
      </c>
      <c r="D732" s="134">
        <v>0.875</v>
      </c>
      <c r="E732" s="53">
        <f t="shared" si="151"/>
        <v>8</v>
      </c>
      <c r="F732" s="51"/>
      <c r="G732" s="53">
        <f t="shared" si="155"/>
        <v>8</v>
      </c>
      <c r="H732" s="51"/>
      <c r="I732" s="51">
        <f t="shared" si="150"/>
        <v>8</v>
      </c>
    </row>
    <row r="733" spans="1:9" x14ac:dyDescent="0.25">
      <c r="A733" s="133">
        <v>45628</v>
      </c>
      <c r="B733" s="51" t="s">
        <v>414</v>
      </c>
      <c r="C733" s="134">
        <v>0.33333333333333331</v>
      </c>
      <c r="D733" s="134">
        <v>0.58333333333333337</v>
      </c>
      <c r="E733" s="53">
        <f t="shared" si="151"/>
        <v>5.5000000000000018</v>
      </c>
      <c r="F733" s="51">
        <v>0.5</v>
      </c>
      <c r="G733" s="53"/>
      <c r="H733" s="53">
        <f>IF(WEEKDAY(A733, 2)&lt;6, E733-2, E733)</f>
        <v>3.5000000000000018</v>
      </c>
      <c r="I733" s="51">
        <f t="shared" si="150"/>
        <v>3.5000000000000018</v>
      </c>
    </row>
    <row r="734" spans="1:9" x14ac:dyDescent="0.25">
      <c r="A734" s="133">
        <v>45628</v>
      </c>
      <c r="B734" s="51" t="s">
        <v>49</v>
      </c>
      <c r="C734" s="134">
        <v>0.70833333333333337</v>
      </c>
      <c r="D734" s="134">
        <v>0.79166666666666663</v>
      </c>
      <c r="E734" s="53">
        <f t="shared" si="151"/>
        <v>1.9999999999999982</v>
      </c>
      <c r="F734" s="51"/>
      <c r="G734" s="53">
        <f t="shared" ref="G734:G735" si="156">IF(WEEKDAY(A734, 2)&lt;6, E734+2, E734)</f>
        <v>3.9999999999999982</v>
      </c>
      <c r="H734" s="51"/>
      <c r="I734" s="51">
        <f t="shared" si="150"/>
        <v>3.9999999999999982</v>
      </c>
    </row>
    <row r="735" spans="1:9" x14ac:dyDescent="0.25">
      <c r="A735" s="133">
        <v>45629</v>
      </c>
      <c r="B735" s="51" t="s">
        <v>53</v>
      </c>
      <c r="C735" s="134">
        <v>0.72916666666666663</v>
      </c>
      <c r="D735" s="134">
        <v>0.85416666666666663</v>
      </c>
      <c r="E735" s="53">
        <f t="shared" si="151"/>
        <v>3</v>
      </c>
      <c r="F735" s="51"/>
      <c r="G735" s="53">
        <f t="shared" si="156"/>
        <v>5</v>
      </c>
      <c r="H735" s="51"/>
      <c r="I735" s="51">
        <f t="shared" si="150"/>
        <v>5</v>
      </c>
    </row>
    <row r="736" spans="1:9" x14ac:dyDescent="0.25">
      <c r="A736" s="133">
        <v>45629</v>
      </c>
      <c r="B736" s="51" t="s">
        <v>414</v>
      </c>
      <c r="C736" s="134">
        <v>0.33333333333333331</v>
      </c>
      <c r="D736" s="134">
        <v>0.58333333333333337</v>
      </c>
      <c r="E736" s="53">
        <f t="shared" si="151"/>
        <v>5.5000000000000018</v>
      </c>
      <c r="F736" s="51">
        <v>0.5</v>
      </c>
      <c r="G736" s="53"/>
      <c r="H736" s="53">
        <f>IF(WEEKDAY(A736, 2)&lt;6, E736-2, E736)</f>
        <v>3.5000000000000018</v>
      </c>
      <c r="I736" s="51">
        <f t="shared" si="150"/>
        <v>3.5000000000000018</v>
      </c>
    </row>
    <row r="737" spans="1:9" x14ac:dyDescent="0.25">
      <c r="A737" s="133">
        <v>45630</v>
      </c>
      <c r="B737" s="51" t="s">
        <v>56</v>
      </c>
      <c r="C737" s="134">
        <v>0.70833333333333337</v>
      </c>
      <c r="D737" s="134">
        <v>0.91666666666666663</v>
      </c>
      <c r="E737" s="53">
        <f t="shared" si="151"/>
        <v>4.9999999999999982</v>
      </c>
      <c r="F737" s="51"/>
      <c r="G737" s="53">
        <f>IF(WEEKDAY(A737, 2)&lt;6, E737+2, E737)</f>
        <v>6.9999999999999982</v>
      </c>
      <c r="H737" s="53"/>
      <c r="I737" s="51">
        <f t="shared" si="150"/>
        <v>6.9999999999999982</v>
      </c>
    </row>
    <row r="738" spans="1:9" x14ac:dyDescent="0.25">
      <c r="A738" s="133">
        <v>45630</v>
      </c>
      <c r="B738" s="51" t="s">
        <v>414</v>
      </c>
      <c r="C738" s="134">
        <v>0.33333333333333331</v>
      </c>
      <c r="D738" s="134">
        <v>0.58333333333333337</v>
      </c>
      <c r="E738" s="53">
        <f t="shared" si="151"/>
        <v>5.5000000000000018</v>
      </c>
      <c r="F738" s="51">
        <v>0.5</v>
      </c>
      <c r="G738" s="53"/>
      <c r="H738" s="53">
        <f t="shared" ref="H738:H739" si="157">IF(WEEKDAY(A738, 2)&lt;6, E738-2, E738)</f>
        <v>3.5000000000000018</v>
      </c>
      <c r="I738" s="51">
        <f t="shared" si="150"/>
        <v>3.5000000000000018</v>
      </c>
    </row>
    <row r="739" spans="1:9" x14ac:dyDescent="0.25">
      <c r="A739" s="133">
        <v>45631</v>
      </c>
      <c r="B739" s="51" t="s">
        <v>414</v>
      </c>
      <c r="C739" s="134">
        <v>0.33333333333333331</v>
      </c>
      <c r="D739" s="134">
        <v>0.58333333333333337</v>
      </c>
      <c r="E739" s="53">
        <f t="shared" si="151"/>
        <v>5.5000000000000018</v>
      </c>
      <c r="F739" s="51">
        <v>0.5</v>
      </c>
      <c r="G739" s="53"/>
      <c r="H739" s="53">
        <f t="shared" si="157"/>
        <v>3.5000000000000018</v>
      </c>
      <c r="I739" s="51">
        <f t="shared" si="150"/>
        <v>3.5000000000000018</v>
      </c>
    </row>
    <row r="740" spans="1:9" x14ac:dyDescent="0.25">
      <c r="A740" s="133">
        <v>45631</v>
      </c>
      <c r="B740" s="51" t="s">
        <v>47</v>
      </c>
      <c r="C740" s="134">
        <v>0.77083333333333337</v>
      </c>
      <c r="D740" s="134">
        <v>0.9375</v>
      </c>
      <c r="E740" s="53">
        <f t="shared" si="151"/>
        <v>3.9999999999999991</v>
      </c>
      <c r="F740" s="51"/>
      <c r="G740" s="53">
        <f t="shared" ref="G740:G741" si="158">IF(WEEKDAY(A740, 2)&lt;6, E740+2, E740)</f>
        <v>5.9999999999999991</v>
      </c>
      <c r="H740" s="51"/>
      <c r="I740" s="51">
        <f t="shared" si="150"/>
        <v>5.9999999999999991</v>
      </c>
    </row>
    <row r="741" spans="1:9" x14ac:dyDescent="0.25">
      <c r="A741" s="133">
        <v>45632</v>
      </c>
      <c r="B741" s="51" t="s">
        <v>53</v>
      </c>
      <c r="C741" s="134">
        <v>0.5</v>
      </c>
      <c r="D741" s="134">
        <v>0.66666666666666663</v>
      </c>
      <c r="E741" s="53">
        <f t="shared" si="151"/>
        <v>3.9999999999999991</v>
      </c>
      <c r="F741" s="51"/>
      <c r="G741" s="53">
        <f t="shared" si="158"/>
        <v>5.9999999999999991</v>
      </c>
      <c r="H741" s="51"/>
      <c r="I741" s="51">
        <f t="shared" si="150"/>
        <v>5.9999999999999991</v>
      </c>
    </row>
    <row r="742" spans="1:9" x14ac:dyDescent="0.25">
      <c r="A742" s="133">
        <v>45632</v>
      </c>
      <c r="B742" s="51" t="s">
        <v>414</v>
      </c>
      <c r="C742" s="134">
        <v>0.33333333333333331</v>
      </c>
      <c r="D742" s="134">
        <v>0.58333333333333337</v>
      </c>
      <c r="E742" s="53">
        <f t="shared" si="151"/>
        <v>5.5000000000000018</v>
      </c>
      <c r="F742" s="51">
        <v>0.5</v>
      </c>
      <c r="G742" s="53"/>
      <c r="H742" s="53">
        <f>IF(WEEKDAY(A742, 2)&lt;6, E742-2, E742)</f>
        <v>3.5000000000000018</v>
      </c>
      <c r="I742" s="51">
        <f t="shared" si="150"/>
        <v>3.5000000000000018</v>
      </c>
    </row>
    <row r="743" spans="1:9" x14ac:dyDescent="0.25">
      <c r="A743" s="133">
        <v>45632</v>
      </c>
      <c r="B743" s="51" t="s">
        <v>53</v>
      </c>
      <c r="C743" s="134">
        <v>0.70833333333333337</v>
      </c>
      <c r="D743" s="134">
        <v>0.9375</v>
      </c>
      <c r="E743" s="53">
        <f t="shared" si="151"/>
        <v>5.4999999999999991</v>
      </c>
      <c r="F743" s="51"/>
      <c r="G743" s="53">
        <f t="shared" ref="G743:G752" si="159">IF(WEEKDAY(A743, 2)&lt;6, E743+2, E743)</f>
        <v>7.4999999999999991</v>
      </c>
      <c r="H743" s="51"/>
      <c r="I743" s="51">
        <f t="shared" si="150"/>
        <v>7.4999999999999991</v>
      </c>
    </row>
    <row r="744" spans="1:9" x14ac:dyDescent="0.25">
      <c r="A744" s="133">
        <v>45633</v>
      </c>
      <c r="B744" s="51" t="s">
        <v>56</v>
      </c>
      <c r="C744" s="134">
        <v>0.33333333333333331</v>
      </c>
      <c r="D744" s="134">
        <v>0.54166666666666663</v>
      </c>
      <c r="E744" s="53">
        <f t="shared" si="151"/>
        <v>5</v>
      </c>
      <c r="F744" s="51"/>
      <c r="G744" s="53">
        <f t="shared" si="159"/>
        <v>5</v>
      </c>
      <c r="H744" s="53"/>
      <c r="I744" s="51">
        <f t="shared" si="150"/>
        <v>5</v>
      </c>
    </row>
    <row r="745" spans="1:9" x14ac:dyDescent="0.25">
      <c r="A745" s="133">
        <v>45633</v>
      </c>
      <c r="B745" s="51" t="s">
        <v>48</v>
      </c>
      <c r="C745" s="134">
        <v>0.77083333333333337</v>
      </c>
      <c r="D745" s="134">
        <v>0.95833333333333337</v>
      </c>
      <c r="E745" s="53">
        <f t="shared" si="151"/>
        <v>4.5</v>
      </c>
      <c r="F745" s="51"/>
      <c r="G745" s="53">
        <f t="shared" si="159"/>
        <v>4.5</v>
      </c>
      <c r="H745" s="51"/>
      <c r="I745" s="51">
        <f t="shared" si="150"/>
        <v>4.5</v>
      </c>
    </row>
    <row r="746" spans="1:9" x14ac:dyDescent="0.25">
      <c r="A746" s="133">
        <v>45633</v>
      </c>
      <c r="B746" s="51" t="s">
        <v>48</v>
      </c>
      <c r="C746" s="134">
        <v>0.625</v>
      </c>
      <c r="D746" s="134">
        <v>0.77083333333333337</v>
      </c>
      <c r="E746" s="53">
        <f t="shared" si="151"/>
        <v>3.5000000000000009</v>
      </c>
      <c r="F746" s="51"/>
      <c r="G746" s="53">
        <f t="shared" si="159"/>
        <v>3.5000000000000009</v>
      </c>
      <c r="H746" s="51"/>
      <c r="I746" s="51">
        <f t="shared" si="150"/>
        <v>3.5000000000000009</v>
      </c>
    </row>
    <row r="747" spans="1:9" x14ac:dyDescent="0.25">
      <c r="A747" s="133">
        <v>45633</v>
      </c>
      <c r="B747" s="51" t="s">
        <v>56</v>
      </c>
      <c r="C747" s="134">
        <v>0.54166666666666663</v>
      </c>
      <c r="D747" s="134">
        <v>0.75</v>
      </c>
      <c r="E747" s="53">
        <f t="shared" si="151"/>
        <v>5.0000000000000009</v>
      </c>
      <c r="F747" s="51"/>
      <c r="G747" s="53">
        <f t="shared" si="159"/>
        <v>5.0000000000000009</v>
      </c>
      <c r="H747" s="53"/>
      <c r="I747" s="51">
        <f t="shared" si="150"/>
        <v>5.0000000000000009</v>
      </c>
    </row>
    <row r="748" spans="1:9" x14ac:dyDescent="0.25">
      <c r="A748" s="133">
        <v>45633</v>
      </c>
      <c r="B748" s="51" t="s">
        <v>49</v>
      </c>
      <c r="C748" s="134">
        <v>0.375</v>
      </c>
      <c r="D748" s="134">
        <v>0.5</v>
      </c>
      <c r="E748" s="53">
        <f t="shared" si="151"/>
        <v>3</v>
      </c>
      <c r="F748" s="51"/>
      <c r="G748" s="53">
        <f t="shared" si="159"/>
        <v>3</v>
      </c>
      <c r="H748" s="51"/>
      <c r="I748" s="51">
        <f t="shared" si="150"/>
        <v>3</v>
      </c>
    </row>
    <row r="749" spans="1:9" x14ac:dyDescent="0.25">
      <c r="A749" s="133">
        <v>45633</v>
      </c>
      <c r="B749" s="51" t="s">
        <v>47</v>
      </c>
      <c r="C749" s="134">
        <v>0.375</v>
      </c>
      <c r="D749" s="134">
        <v>0.58333333333333337</v>
      </c>
      <c r="E749" s="53">
        <f t="shared" si="151"/>
        <v>5.0000000000000009</v>
      </c>
      <c r="F749" s="51"/>
      <c r="G749" s="53">
        <f t="shared" si="159"/>
        <v>5.0000000000000009</v>
      </c>
      <c r="H749" s="51"/>
      <c r="I749" s="51">
        <f t="shared" si="150"/>
        <v>5.0000000000000009</v>
      </c>
    </row>
    <row r="750" spans="1:9" x14ac:dyDescent="0.25">
      <c r="A750" s="133">
        <v>45634</v>
      </c>
      <c r="B750" s="51" t="s">
        <v>53</v>
      </c>
      <c r="C750" s="134">
        <v>0.33333333333333331</v>
      </c>
      <c r="D750" s="134">
        <v>0.54166666666666663</v>
      </c>
      <c r="E750" s="53">
        <f t="shared" si="151"/>
        <v>5</v>
      </c>
      <c r="F750" s="51"/>
      <c r="G750" s="53">
        <f t="shared" si="159"/>
        <v>5</v>
      </c>
      <c r="H750" s="51"/>
      <c r="I750" s="51">
        <f t="shared" si="150"/>
        <v>5</v>
      </c>
    </row>
    <row r="751" spans="1:9" x14ac:dyDescent="0.25">
      <c r="A751" s="133">
        <v>45634</v>
      </c>
      <c r="B751" s="51" t="s">
        <v>58</v>
      </c>
      <c r="C751" s="134">
        <v>0.54166666666666663</v>
      </c>
      <c r="D751" s="134">
        <v>0.77083333333333337</v>
      </c>
      <c r="E751" s="53">
        <f t="shared" si="151"/>
        <v>5.0000000000000018</v>
      </c>
      <c r="F751" s="51">
        <v>0.5</v>
      </c>
      <c r="G751" s="53">
        <f t="shared" si="159"/>
        <v>5.0000000000000018</v>
      </c>
      <c r="H751" s="51"/>
      <c r="I751" s="51">
        <f t="shared" si="150"/>
        <v>5.0000000000000018</v>
      </c>
    </row>
    <row r="752" spans="1:9" x14ac:dyDescent="0.25">
      <c r="A752" s="133">
        <v>45634</v>
      </c>
      <c r="B752" s="51" t="s">
        <v>53</v>
      </c>
      <c r="C752" s="134">
        <v>0.54166666666666663</v>
      </c>
      <c r="D752" s="134">
        <v>0.91666666666666663</v>
      </c>
      <c r="E752" s="53">
        <f t="shared" si="151"/>
        <v>8</v>
      </c>
      <c r="F752" s="51">
        <v>1</v>
      </c>
      <c r="G752" s="53">
        <f t="shared" si="159"/>
        <v>8</v>
      </c>
      <c r="H752" s="51"/>
      <c r="I752" s="51">
        <f t="shared" si="150"/>
        <v>8</v>
      </c>
    </row>
    <row r="753" spans="1:9" x14ac:dyDescent="0.25">
      <c r="A753" s="133">
        <v>45635</v>
      </c>
      <c r="B753" s="51" t="s">
        <v>414</v>
      </c>
      <c r="C753" s="134">
        <v>0.33333333333333331</v>
      </c>
      <c r="D753" s="134">
        <v>0.58333333333333337</v>
      </c>
      <c r="E753" s="53">
        <f t="shared" si="151"/>
        <v>5.5000000000000018</v>
      </c>
      <c r="F753" s="51">
        <v>0.5</v>
      </c>
      <c r="G753" s="53"/>
      <c r="H753" s="53">
        <f>IF(WEEKDAY(A753, 2)&lt;6, E753-2, E753)</f>
        <v>3.5000000000000018</v>
      </c>
      <c r="I753" s="51">
        <f t="shared" si="150"/>
        <v>3.5000000000000018</v>
      </c>
    </row>
    <row r="754" spans="1:9" x14ac:dyDescent="0.25">
      <c r="A754" s="133">
        <v>45635</v>
      </c>
      <c r="B754" s="51" t="s">
        <v>49</v>
      </c>
      <c r="C754" s="134">
        <v>0.70833333333333337</v>
      </c>
      <c r="D754" s="134">
        <v>0.79166666666666663</v>
      </c>
      <c r="E754" s="53">
        <f t="shared" si="151"/>
        <v>1.9999999999999982</v>
      </c>
      <c r="F754" s="51"/>
      <c r="G754" s="53">
        <f t="shared" ref="G754:G757" si="160">IF(WEEKDAY(A754, 2)&lt;6, E754+2, E754)</f>
        <v>3.9999999999999982</v>
      </c>
      <c r="H754" s="51"/>
      <c r="I754" s="51">
        <f t="shared" si="150"/>
        <v>3.9999999999999982</v>
      </c>
    </row>
    <row r="755" spans="1:9" x14ac:dyDescent="0.25">
      <c r="A755" s="133">
        <v>45636</v>
      </c>
      <c r="B755" s="51" t="s">
        <v>56</v>
      </c>
      <c r="C755" s="134">
        <v>0.33333333333333331</v>
      </c>
      <c r="D755" s="134">
        <v>0.60416666666666663</v>
      </c>
      <c r="E755" s="53">
        <f t="shared" si="151"/>
        <v>6</v>
      </c>
      <c r="F755" s="51">
        <v>0.5</v>
      </c>
      <c r="G755" s="53">
        <f t="shared" si="160"/>
        <v>8</v>
      </c>
      <c r="H755" s="53"/>
      <c r="I755" s="51">
        <f t="shared" si="150"/>
        <v>8</v>
      </c>
    </row>
    <row r="756" spans="1:9" x14ac:dyDescent="0.25">
      <c r="A756" s="133">
        <v>45636</v>
      </c>
      <c r="B756" s="51" t="s">
        <v>53</v>
      </c>
      <c r="C756" s="134">
        <v>0.72916666666666663</v>
      </c>
      <c r="D756" s="134">
        <v>0.85416666666666663</v>
      </c>
      <c r="E756" s="53">
        <f t="shared" si="151"/>
        <v>3</v>
      </c>
      <c r="F756" s="51"/>
      <c r="G756" s="53">
        <f t="shared" si="160"/>
        <v>5</v>
      </c>
      <c r="H756" s="51"/>
      <c r="I756" s="51">
        <f t="shared" si="150"/>
        <v>5</v>
      </c>
    </row>
    <row r="757" spans="1:9" x14ac:dyDescent="0.25">
      <c r="A757" s="133">
        <v>45637</v>
      </c>
      <c r="B757" s="51" t="s">
        <v>49</v>
      </c>
      <c r="C757" s="134">
        <v>0.70833333333333337</v>
      </c>
      <c r="D757" s="134">
        <v>0.89583333333333337</v>
      </c>
      <c r="E757" s="53">
        <f t="shared" si="151"/>
        <v>4.5</v>
      </c>
      <c r="F757" s="51"/>
      <c r="G757" s="53">
        <f t="shared" si="160"/>
        <v>6.5</v>
      </c>
      <c r="H757" s="51"/>
      <c r="I757" s="51">
        <f t="shared" si="150"/>
        <v>6.5</v>
      </c>
    </row>
    <row r="758" spans="1:9" x14ac:dyDescent="0.25">
      <c r="A758" s="133">
        <v>45637</v>
      </c>
      <c r="B758" s="51" t="s">
        <v>414</v>
      </c>
      <c r="C758" s="134">
        <v>0.33333333333333331</v>
      </c>
      <c r="D758" s="134">
        <v>0.58333333333333337</v>
      </c>
      <c r="E758" s="53">
        <f t="shared" si="151"/>
        <v>5.5000000000000018</v>
      </c>
      <c r="F758" s="51">
        <v>0.5</v>
      </c>
      <c r="G758" s="53"/>
      <c r="H758" s="53">
        <f>IF(WEEKDAY(A758, 2)&lt;6, E758-2, E758)</f>
        <v>3.5000000000000018</v>
      </c>
      <c r="I758" s="51">
        <f t="shared" si="150"/>
        <v>3.5000000000000018</v>
      </c>
    </row>
    <row r="759" spans="1:9" x14ac:dyDescent="0.25">
      <c r="A759" s="133">
        <v>45638</v>
      </c>
      <c r="B759" s="51" t="s">
        <v>56</v>
      </c>
      <c r="C759" s="134">
        <v>0.75</v>
      </c>
      <c r="D759" s="134">
        <v>0.95833333333333337</v>
      </c>
      <c r="E759" s="53">
        <f t="shared" si="151"/>
        <v>5.0000000000000009</v>
      </c>
      <c r="F759" s="51"/>
      <c r="G759" s="53">
        <f t="shared" ref="G759:G760" si="161">IF(WEEKDAY(A759, 2)&lt;6, E759+2, E759)</f>
        <v>7.0000000000000009</v>
      </c>
      <c r="H759" s="53"/>
      <c r="I759" s="51">
        <f t="shared" si="150"/>
        <v>7.0000000000000009</v>
      </c>
    </row>
    <row r="760" spans="1:9" x14ac:dyDescent="0.25">
      <c r="A760" s="133">
        <v>45638</v>
      </c>
      <c r="B760" s="51" t="s">
        <v>49</v>
      </c>
      <c r="C760" s="134">
        <v>0.5</v>
      </c>
      <c r="D760" s="134">
        <v>0.66666666666666663</v>
      </c>
      <c r="E760" s="53">
        <f t="shared" si="151"/>
        <v>3.9999999999999991</v>
      </c>
      <c r="F760" s="51"/>
      <c r="G760" s="53">
        <f t="shared" si="161"/>
        <v>5.9999999999999991</v>
      </c>
      <c r="H760" s="51"/>
      <c r="I760" s="51">
        <f t="shared" si="150"/>
        <v>5.9999999999999991</v>
      </c>
    </row>
    <row r="761" spans="1:9" x14ac:dyDescent="0.25">
      <c r="A761" s="133">
        <v>45638</v>
      </c>
      <c r="B761" s="51" t="s">
        <v>414</v>
      </c>
      <c r="C761" s="134">
        <v>0.33333333333333331</v>
      </c>
      <c r="D761" s="134">
        <v>0.58333333333333337</v>
      </c>
      <c r="E761" s="53">
        <f t="shared" si="151"/>
        <v>5.5000000000000018</v>
      </c>
      <c r="F761" s="51">
        <v>0.5</v>
      </c>
      <c r="G761" s="53"/>
      <c r="H761" s="53">
        <f>IF(WEEKDAY(A761, 2)&lt;6, E761-2, E761)</f>
        <v>3.5000000000000018</v>
      </c>
      <c r="I761" s="51">
        <f t="shared" si="150"/>
        <v>3.5000000000000018</v>
      </c>
    </row>
    <row r="762" spans="1:9" x14ac:dyDescent="0.25">
      <c r="A762" s="133">
        <v>45639</v>
      </c>
      <c r="B762" s="51" t="s">
        <v>56</v>
      </c>
      <c r="C762" s="134">
        <v>0.64583333333333337</v>
      </c>
      <c r="D762" s="134">
        <v>0.89583333333333337</v>
      </c>
      <c r="E762" s="53">
        <f t="shared" si="151"/>
        <v>5.5</v>
      </c>
      <c r="F762" s="51">
        <v>0.5</v>
      </c>
      <c r="G762" s="53">
        <f t="shared" ref="G762:G763" si="162">IF(WEEKDAY(A762, 2)&lt;6, E762+2, E762)</f>
        <v>7.5</v>
      </c>
      <c r="H762" s="53"/>
      <c r="I762" s="51">
        <f t="shared" si="150"/>
        <v>7.5</v>
      </c>
    </row>
    <row r="763" spans="1:9" x14ac:dyDescent="0.25">
      <c r="A763" s="133">
        <v>45639</v>
      </c>
      <c r="B763" s="51" t="s">
        <v>53</v>
      </c>
      <c r="C763" s="134">
        <v>0.64583333333333337</v>
      </c>
      <c r="D763" s="134">
        <v>0.91666666666666663</v>
      </c>
      <c r="E763" s="53">
        <f t="shared" si="151"/>
        <v>5.9999999999999982</v>
      </c>
      <c r="F763" s="51">
        <v>0.5</v>
      </c>
      <c r="G763" s="53">
        <f t="shared" si="162"/>
        <v>7.9999999999999982</v>
      </c>
      <c r="H763" s="51"/>
      <c r="I763" s="51">
        <f t="shared" si="150"/>
        <v>7.9999999999999982</v>
      </c>
    </row>
    <row r="764" spans="1:9" x14ac:dyDescent="0.25">
      <c r="A764" s="133">
        <v>45639</v>
      </c>
      <c r="B764" s="51" t="s">
        <v>414</v>
      </c>
      <c r="C764" s="134">
        <v>0.33333333333333331</v>
      </c>
      <c r="D764" s="134">
        <v>0.58333333333333337</v>
      </c>
      <c r="E764" s="53">
        <f t="shared" si="151"/>
        <v>5.5000000000000018</v>
      </c>
      <c r="F764" s="51">
        <v>0.5</v>
      </c>
      <c r="G764" s="53"/>
      <c r="H764" s="53">
        <f>IF(WEEKDAY(A764, 2)&lt;6, E764-2, E764)</f>
        <v>3.5000000000000018</v>
      </c>
      <c r="I764" s="51">
        <f t="shared" si="150"/>
        <v>3.5000000000000018</v>
      </c>
    </row>
    <row r="765" spans="1:9" x14ac:dyDescent="0.25">
      <c r="A765" s="133">
        <v>45640</v>
      </c>
      <c r="B765" s="51" t="s">
        <v>47</v>
      </c>
      <c r="C765" s="134">
        <v>0.375</v>
      </c>
      <c r="D765" s="134">
        <v>0.58333333333333337</v>
      </c>
      <c r="E765" s="53">
        <f t="shared" si="151"/>
        <v>5.0000000000000009</v>
      </c>
      <c r="F765" s="51"/>
      <c r="G765" s="53">
        <f t="shared" ref="G765:G776" si="163">IF(WEEKDAY(A765, 2)&lt;6, E765+2, E765)</f>
        <v>5.0000000000000009</v>
      </c>
      <c r="H765" s="51"/>
      <c r="I765" s="51">
        <f t="shared" si="150"/>
        <v>5.0000000000000009</v>
      </c>
    </row>
    <row r="766" spans="1:9" x14ac:dyDescent="0.25">
      <c r="A766" s="133">
        <v>45640</v>
      </c>
      <c r="B766" s="51" t="s">
        <v>49</v>
      </c>
      <c r="C766" s="134">
        <v>0.375</v>
      </c>
      <c r="D766" s="134">
        <v>0.5</v>
      </c>
      <c r="E766" s="53">
        <f t="shared" si="151"/>
        <v>3</v>
      </c>
      <c r="F766" s="51"/>
      <c r="G766" s="53">
        <f t="shared" si="163"/>
        <v>3</v>
      </c>
      <c r="H766" s="51"/>
      <c r="I766" s="51">
        <f t="shared" si="150"/>
        <v>3</v>
      </c>
    </row>
    <row r="767" spans="1:9" x14ac:dyDescent="0.25">
      <c r="A767" s="133">
        <v>45640</v>
      </c>
      <c r="B767" s="51" t="s">
        <v>53</v>
      </c>
      <c r="C767" s="134">
        <v>0.41666666666666669</v>
      </c>
      <c r="D767" s="134">
        <v>0.66666666666666663</v>
      </c>
      <c r="E767" s="53">
        <f t="shared" si="151"/>
        <v>5.4999999999999982</v>
      </c>
      <c r="F767" s="51">
        <v>0.5</v>
      </c>
      <c r="G767" s="53">
        <f t="shared" si="163"/>
        <v>5.4999999999999982</v>
      </c>
      <c r="H767" s="51"/>
      <c r="I767" s="51">
        <f t="shared" si="150"/>
        <v>5.4999999999999982</v>
      </c>
    </row>
    <row r="768" spans="1:9" x14ac:dyDescent="0.25">
      <c r="A768" s="133">
        <v>45640</v>
      </c>
      <c r="B768" s="51" t="s">
        <v>58</v>
      </c>
      <c r="C768" s="134">
        <v>0.58333333333333337</v>
      </c>
      <c r="D768" s="134">
        <v>0.8125</v>
      </c>
      <c r="E768" s="53">
        <f t="shared" si="151"/>
        <v>4.9999999999999991</v>
      </c>
      <c r="F768" s="51">
        <v>0.5</v>
      </c>
      <c r="G768" s="53">
        <f t="shared" si="163"/>
        <v>4.9999999999999991</v>
      </c>
      <c r="H768" s="51"/>
      <c r="I768" s="51">
        <f t="shared" si="150"/>
        <v>4.9999999999999991</v>
      </c>
    </row>
    <row r="769" spans="1:9" x14ac:dyDescent="0.25">
      <c r="A769" s="133">
        <v>45640</v>
      </c>
      <c r="B769" s="51" t="s">
        <v>58</v>
      </c>
      <c r="C769" s="134">
        <v>0.8125</v>
      </c>
      <c r="D769" s="134">
        <v>4.1666666666666664E-2</v>
      </c>
      <c r="E769" s="53">
        <f t="shared" si="151"/>
        <v>4.9999999999999991</v>
      </c>
      <c r="F769" s="51">
        <v>0.5</v>
      </c>
      <c r="G769" s="53">
        <f t="shared" si="163"/>
        <v>4.9999999999999991</v>
      </c>
      <c r="H769" s="51"/>
      <c r="I769" s="51">
        <f t="shared" si="150"/>
        <v>4.9999999999999991</v>
      </c>
    </row>
    <row r="770" spans="1:9" x14ac:dyDescent="0.25">
      <c r="A770" s="133">
        <v>45640</v>
      </c>
      <c r="B770" s="51" t="s">
        <v>56</v>
      </c>
      <c r="C770" s="134">
        <v>0.33333333333333331</v>
      </c>
      <c r="D770" s="134">
        <v>0.54166666666666663</v>
      </c>
      <c r="E770" s="53">
        <f t="shared" si="151"/>
        <v>5</v>
      </c>
      <c r="F770" s="51"/>
      <c r="G770" s="53">
        <f t="shared" si="163"/>
        <v>5</v>
      </c>
      <c r="H770" s="53"/>
      <c r="I770" s="51">
        <f t="shared" ref="I770:I833" si="164">IF(G770&lt;&gt;"",G770,H770)</f>
        <v>5</v>
      </c>
    </row>
    <row r="771" spans="1:9" x14ac:dyDescent="0.25">
      <c r="A771" s="133">
        <v>45641</v>
      </c>
      <c r="B771" s="51" t="s">
        <v>48</v>
      </c>
      <c r="C771" s="134">
        <v>0.39583333333333331</v>
      </c>
      <c r="D771" s="134">
        <v>0.60416666666666663</v>
      </c>
      <c r="E771" s="53">
        <f t="shared" ref="E771:E834" si="165">MOD((D771-C771),1) *24 - F771</f>
        <v>5</v>
      </c>
      <c r="F771" s="51"/>
      <c r="G771" s="53">
        <f t="shared" si="163"/>
        <v>5</v>
      </c>
      <c r="H771" s="51"/>
      <c r="I771" s="51">
        <f t="shared" si="164"/>
        <v>5</v>
      </c>
    </row>
    <row r="772" spans="1:9" x14ac:dyDescent="0.25">
      <c r="A772" s="133">
        <v>45641</v>
      </c>
      <c r="B772" s="51" t="s">
        <v>53</v>
      </c>
      <c r="C772" s="134">
        <v>0.375</v>
      </c>
      <c r="D772" s="134">
        <v>0.625</v>
      </c>
      <c r="E772" s="53">
        <f t="shared" si="165"/>
        <v>5</v>
      </c>
      <c r="F772" s="51">
        <v>1</v>
      </c>
      <c r="G772" s="53">
        <f t="shared" si="163"/>
        <v>5</v>
      </c>
      <c r="H772" s="51"/>
      <c r="I772" s="51">
        <f t="shared" si="164"/>
        <v>5</v>
      </c>
    </row>
    <row r="773" spans="1:9" x14ac:dyDescent="0.25">
      <c r="A773" s="133">
        <v>45641</v>
      </c>
      <c r="B773" s="51" t="s">
        <v>53</v>
      </c>
      <c r="C773" s="134">
        <v>0.625</v>
      </c>
      <c r="D773" s="134">
        <v>0.91666666666666663</v>
      </c>
      <c r="E773" s="53">
        <f t="shared" si="165"/>
        <v>6.4999999999999991</v>
      </c>
      <c r="F773" s="51">
        <v>0.5</v>
      </c>
      <c r="G773" s="53">
        <f t="shared" si="163"/>
        <v>6.4999999999999991</v>
      </c>
      <c r="H773" s="51"/>
      <c r="I773" s="51">
        <f t="shared" si="164"/>
        <v>6.4999999999999991</v>
      </c>
    </row>
    <row r="774" spans="1:9" x14ac:dyDescent="0.25">
      <c r="A774" s="133">
        <v>45641</v>
      </c>
      <c r="B774" s="51" t="s">
        <v>58</v>
      </c>
      <c r="C774" s="134">
        <v>0.45833333333333331</v>
      </c>
      <c r="D774" s="134">
        <v>0.79166666666666663</v>
      </c>
      <c r="E774" s="53">
        <f t="shared" si="165"/>
        <v>7.5</v>
      </c>
      <c r="F774" s="51">
        <v>0.5</v>
      </c>
      <c r="G774" s="53">
        <f t="shared" si="163"/>
        <v>7.5</v>
      </c>
      <c r="H774" s="51"/>
      <c r="I774" s="51">
        <f t="shared" si="164"/>
        <v>7.5</v>
      </c>
    </row>
    <row r="775" spans="1:9" x14ac:dyDescent="0.25">
      <c r="A775" s="133">
        <v>45642</v>
      </c>
      <c r="B775" s="51" t="s">
        <v>49</v>
      </c>
      <c r="C775" s="134">
        <v>0.41666666666666669</v>
      </c>
      <c r="D775" s="134">
        <v>0.66666666666666663</v>
      </c>
      <c r="E775" s="53">
        <f t="shared" si="165"/>
        <v>5.9999999999999982</v>
      </c>
      <c r="F775" s="51"/>
      <c r="G775" s="53">
        <f t="shared" si="163"/>
        <v>7.9999999999999982</v>
      </c>
      <c r="H775" s="51"/>
      <c r="I775" s="51">
        <f t="shared" si="164"/>
        <v>7.9999999999999982</v>
      </c>
    </row>
    <row r="776" spans="1:9" x14ac:dyDescent="0.25">
      <c r="A776" s="133">
        <v>45642</v>
      </c>
      <c r="B776" s="51" t="s">
        <v>49</v>
      </c>
      <c r="C776" s="134">
        <v>0.70833333333333337</v>
      </c>
      <c r="D776" s="134">
        <v>0.79166666666666663</v>
      </c>
      <c r="E776" s="53">
        <f t="shared" si="165"/>
        <v>1.9999999999999982</v>
      </c>
      <c r="F776" s="51"/>
      <c r="G776" s="53">
        <f t="shared" si="163"/>
        <v>3.9999999999999982</v>
      </c>
      <c r="H776" s="51"/>
      <c r="I776" s="51">
        <f t="shared" si="164"/>
        <v>3.9999999999999982</v>
      </c>
    </row>
    <row r="777" spans="1:9" x14ac:dyDescent="0.25">
      <c r="A777" s="133">
        <v>45642</v>
      </c>
      <c r="B777" s="51" t="s">
        <v>414</v>
      </c>
      <c r="C777" s="134">
        <v>0.33333333333333331</v>
      </c>
      <c r="D777" s="134">
        <v>0.58333333333333337</v>
      </c>
      <c r="E777" s="53">
        <f t="shared" si="165"/>
        <v>5.5000000000000018</v>
      </c>
      <c r="F777" s="51">
        <v>0.5</v>
      </c>
      <c r="G777" s="53"/>
      <c r="H777" s="53">
        <f>IF(WEEKDAY(A777, 2)&lt;6, E777-2, E777)</f>
        <v>3.5000000000000018</v>
      </c>
      <c r="I777" s="51">
        <f t="shared" si="164"/>
        <v>3.5000000000000018</v>
      </c>
    </row>
    <row r="778" spans="1:9" x14ac:dyDescent="0.25">
      <c r="A778" s="133">
        <v>45643</v>
      </c>
      <c r="B778" s="51" t="s">
        <v>53</v>
      </c>
      <c r="C778" s="134">
        <v>0.72916666666666663</v>
      </c>
      <c r="D778" s="134">
        <v>0.85416666666666663</v>
      </c>
      <c r="E778" s="53">
        <f t="shared" si="165"/>
        <v>3</v>
      </c>
      <c r="F778" s="51"/>
      <c r="G778" s="53">
        <f>IF(WEEKDAY(A778, 2)&lt;6, E778+2, E778)</f>
        <v>5</v>
      </c>
      <c r="H778" s="51"/>
      <c r="I778" s="51">
        <f t="shared" si="164"/>
        <v>5</v>
      </c>
    </row>
    <row r="779" spans="1:9" x14ac:dyDescent="0.25">
      <c r="A779" s="133">
        <v>45643</v>
      </c>
      <c r="B779" s="51" t="s">
        <v>414</v>
      </c>
      <c r="C779" s="134">
        <v>0.33333333333333331</v>
      </c>
      <c r="D779" s="134">
        <v>0.58333333333333337</v>
      </c>
      <c r="E779" s="53">
        <f t="shared" si="165"/>
        <v>5.5000000000000018</v>
      </c>
      <c r="F779" s="51">
        <v>0.5</v>
      </c>
      <c r="G779" s="53"/>
      <c r="H779" s="53">
        <f>IF(WEEKDAY(A779, 2)&lt;6, E779-2, E779)</f>
        <v>3.5000000000000018</v>
      </c>
      <c r="I779" s="51">
        <f t="shared" si="164"/>
        <v>3.5000000000000018</v>
      </c>
    </row>
    <row r="780" spans="1:9" x14ac:dyDescent="0.25">
      <c r="A780" s="133">
        <v>45644</v>
      </c>
      <c r="B780" s="51" t="s">
        <v>49</v>
      </c>
      <c r="C780" s="134">
        <v>0.70833333333333337</v>
      </c>
      <c r="D780" s="134">
        <v>0.89583333333333337</v>
      </c>
      <c r="E780" s="53">
        <f t="shared" si="165"/>
        <v>4.5</v>
      </c>
      <c r="F780" s="51"/>
      <c r="G780" s="53">
        <f>IF(WEEKDAY(A780, 2)&lt;6, E780+2, E780)</f>
        <v>6.5</v>
      </c>
      <c r="H780" s="51"/>
      <c r="I780" s="51">
        <f t="shared" si="164"/>
        <v>6.5</v>
      </c>
    </row>
    <row r="781" spans="1:9" x14ac:dyDescent="0.25">
      <c r="A781" s="133">
        <v>45644</v>
      </c>
      <c r="B781" s="51" t="s">
        <v>414</v>
      </c>
      <c r="C781" s="134">
        <v>0.33333333333333331</v>
      </c>
      <c r="D781" s="134">
        <v>0.58333333333333337</v>
      </c>
      <c r="E781" s="53">
        <f t="shared" si="165"/>
        <v>5.5000000000000018</v>
      </c>
      <c r="F781" s="51">
        <v>0.5</v>
      </c>
      <c r="G781" s="53"/>
      <c r="H781" s="53">
        <f>IF(WEEKDAY(A781, 2)&lt;6, E781-2, E781)</f>
        <v>3.5000000000000018</v>
      </c>
      <c r="I781" s="51">
        <f t="shared" si="164"/>
        <v>3.5000000000000018</v>
      </c>
    </row>
    <row r="782" spans="1:9" x14ac:dyDescent="0.25">
      <c r="A782" s="133">
        <v>45645</v>
      </c>
      <c r="B782" s="51" t="s">
        <v>56</v>
      </c>
      <c r="C782" s="134">
        <v>0.79166666666666663</v>
      </c>
      <c r="D782" s="134">
        <v>0.91666666666666663</v>
      </c>
      <c r="E782" s="53">
        <f t="shared" si="165"/>
        <v>3</v>
      </c>
      <c r="F782" s="51"/>
      <c r="G782" s="53">
        <f>IF(WEEKDAY(A782, 2)&lt;6, E782+2, E782)</f>
        <v>5</v>
      </c>
      <c r="H782" s="53"/>
      <c r="I782" s="51">
        <f t="shared" si="164"/>
        <v>5</v>
      </c>
    </row>
    <row r="783" spans="1:9" x14ac:dyDescent="0.25">
      <c r="A783" s="133">
        <v>45645</v>
      </c>
      <c r="B783" s="51" t="s">
        <v>414</v>
      </c>
      <c r="C783" s="134">
        <v>0.33333333333333331</v>
      </c>
      <c r="D783" s="134">
        <v>0.58333333333333337</v>
      </c>
      <c r="E783" s="53">
        <f t="shared" si="165"/>
        <v>5.5000000000000018</v>
      </c>
      <c r="F783" s="51">
        <v>0.5</v>
      </c>
      <c r="G783" s="53"/>
      <c r="H783" s="53">
        <f t="shared" ref="H783:H784" si="166">IF(WEEKDAY(A783, 2)&lt;6, E783-2, E783)</f>
        <v>3.5000000000000018</v>
      </c>
      <c r="I783" s="51">
        <f t="shared" si="164"/>
        <v>3.5000000000000018</v>
      </c>
    </row>
    <row r="784" spans="1:9" x14ac:dyDescent="0.25">
      <c r="A784" s="133">
        <v>45646</v>
      </c>
      <c r="B784" s="51" t="s">
        <v>414</v>
      </c>
      <c r="C784" s="134">
        <v>0.33333333333333331</v>
      </c>
      <c r="D784" s="134">
        <v>0.58333333333333337</v>
      </c>
      <c r="E784" s="53">
        <f t="shared" si="165"/>
        <v>5.5000000000000018</v>
      </c>
      <c r="F784" s="51">
        <v>0.5</v>
      </c>
      <c r="G784" s="53"/>
      <c r="H784" s="53">
        <f t="shared" si="166"/>
        <v>3.5000000000000018</v>
      </c>
      <c r="I784" s="51">
        <f t="shared" si="164"/>
        <v>3.5000000000000018</v>
      </c>
    </row>
    <row r="785" spans="1:9" x14ac:dyDescent="0.25">
      <c r="A785" s="133">
        <v>45647</v>
      </c>
      <c r="B785" s="51" t="s">
        <v>58</v>
      </c>
      <c r="C785" s="134">
        <v>0.54166666666666663</v>
      </c>
      <c r="D785" s="134">
        <v>0.83333333333333337</v>
      </c>
      <c r="E785" s="53">
        <f t="shared" si="165"/>
        <v>6.5000000000000018</v>
      </c>
      <c r="F785" s="51">
        <v>0.5</v>
      </c>
      <c r="G785" s="53">
        <f t="shared" ref="G785:G786" si="167">IF(WEEKDAY(A785, 2)&lt;6, E785+2, E785)</f>
        <v>6.5000000000000018</v>
      </c>
      <c r="H785" s="51"/>
      <c r="I785" s="51">
        <f t="shared" si="164"/>
        <v>6.5000000000000018</v>
      </c>
    </row>
    <row r="786" spans="1:9" x14ac:dyDescent="0.25">
      <c r="A786" s="133">
        <v>45647</v>
      </c>
      <c r="B786" s="51" t="s">
        <v>56</v>
      </c>
      <c r="C786" s="134">
        <v>0.33333333333333331</v>
      </c>
      <c r="D786" s="134">
        <v>0.54166666666666663</v>
      </c>
      <c r="E786" s="53">
        <f t="shared" si="165"/>
        <v>5</v>
      </c>
      <c r="F786" s="51"/>
      <c r="G786" s="53">
        <f t="shared" si="167"/>
        <v>5</v>
      </c>
      <c r="H786" s="53"/>
      <c r="I786" s="51">
        <f t="shared" si="164"/>
        <v>5</v>
      </c>
    </row>
    <row r="787" spans="1:9" x14ac:dyDescent="0.25">
      <c r="A787" s="133">
        <v>45321</v>
      </c>
      <c r="B787" s="51" t="s">
        <v>19</v>
      </c>
      <c r="C787" s="134">
        <v>0.375</v>
      </c>
      <c r="D787" s="134">
        <v>0.58333333333333337</v>
      </c>
      <c r="E787" s="53">
        <f t="shared" si="165"/>
        <v>5.0000000000000009</v>
      </c>
      <c r="F787" s="55"/>
      <c r="G787" s="53">
        <f t="shared" ref="G787:G834" si="168">IF(WEEKDAY(A787, 2)&lt;6, E787+2, E787)</f>
        <v>7.0000000000000009</v>
      </c>
      <c r="H787" s="51"/>
      <c r="I787" s="51">
        <f t="shared" si="164"/>
        <v>7.0000000000000009</v>
      </c>
    </row>
    <row r="788" spans="1:9" x14ac:dyDescent="0.25">
      <c r="A788" s="133">
        <v>45321</v>
      </c>
      <c r="B788" s="51" t="s">
        <v>19</v>
      </c>
      <c r="C788" s="134">
        <v>0.375</v>
      </c>
      <c r="D788" s="134">
        <v>0.58333333333333337</v>
      </c>
      <c r="E788" s="53">
        <f t="shared" si="165"/>
        <v>5.0000000000000009</v>
      </c>
      <c r="F788" s="55"/>
      <c r="G788" s="53">
        <f t="shared" si="168"/>
        <v>7.0000000000000009</v>
      </c>
      <c r="H788" s="51"/>
      <c r="I788" s="51">
        <f t="shared" si="164"/>
        <v>7.0000000000000009</v>
      </c>
    </row>
    <row r="789" spans="1:9" x14ac:dyDescent="0.25">
      <c r="A789" s="133">
        <v>45322</v>
      </c>
      <c r="B789" s="51" t="s">
        <v>19</v>
      </c>
      <c r="C789" s="134">
        <v>0.375</v>
      </c>
      <c r="D789" s="134">
        <v>0.66666666666666663</v>
      </c>
      <c r="E789" s="53">
        <f t="shared" si="165"/>
        <v>6.4999999999999991</v>
      </c>
      <c r="F789" s="51">
        <v>0.5</v>
      </c>
      <c r="G789" s="53">
        <f t="shared" si="168"/>
        <v>8.5</v>
      </c>
      <c r="H789" s="51"/>
      <c r="I789" s="51">
        <f t="shared" si="164"/>
        <v>8.5</v>
      </c>
    </row>
    <row r="790" spans="1:9" x14ac:dyDescent="0.25">
      <c r="A790" s="133">
        <v>45322</v>
      </c>
      <c r="B790" s="51" t="s">
        <v>19</v>
      </c>
      <c r="C790" s="134">
        <v>0.375</v>
      </c>
      <c r="D790" s="134">
        <v>0.66666666666666663</v>
      </c>
      <c r="E790" s="53">
        <f t="shared" si="165"/>
        <v>6.4999999999999991</v>
      </c>
      <c r="F790" s="51">
        <v>0.5</v>
      </c>
      <c r="G790" s="53">
        <f t="shared" si="168"/>
        <v>8.5</v>
      </c>
      <c r="H790" s="51"/>
      <c r="I790" s="51">
        <f t="shared" si="164"/>
        <v>8.5</v>
      </c>
    </row>
    <row r="791" spans="1:9" x14ac:dyDescent="0.25">
      <c r="A791" s="133">
        <v>45323</v>
      </c>
      <c r="B791" s="51" t="s">
        <v>19</v>
      </c>
      <c r="C791" s="134">
        <v>0.45833333333333331</v>
      </c>
      <c r="D791" s="134">
        <v>0.625</v>
      </c>
      <c r="E791" s="53">
        <f t="shared" si="165"/>
        <v>4</v>
      </c>
      <c r="F791" s="55"/>
      <c r="G791" s="53">
        <f t="shared" si="168"/>
        <v>6</v>
      </c>
      <c r="H791" s="51"/>
      <c r="I791" s="51">
        <f t="shared" si="164"/>
        <v>6</v>
      </c>
    </row>
    <row r="792" spans="1:9" x14ac:dyDescent="0.25">
      <c r="A792" s="133">
        <v>45323</v>
      </c>
      <c r="B792" s="51" t="s">
        <v>19</v>
      </c>
      <c r="C792" s="134">
        <v>0.45833333333333331</v>
      </c>
      <c r="D792" s="134">
        <v>0.625</v>
      </c>
      <c r="E792" s="53">
        <f t="shared" si="165"/>
        <v>4</v>
      </c>
      <c r="F792" s="55"/>
      <c r="G792" s="53">
        <f t="shared" si="168"/>
        <v>6</v>
      </c>
      <c r="H792" s="51"/>
      <c r="I792" s="51">
        <f t="shared" si="164"/>
        <v>6</v>
      </c>
    </row>
    <row r="793" spans="1:9" x14ac:dyDescent="0.25">
      <c r="A793" s="133">
        <v>45323</v>
      </c>
      <c r="B793" s="51" t="s">
        <v>19</v>
      </c>
      <c r="C793" s="134">
        <v>0.66666666666666663</v>
      </c>
      <c r="D793" s="134">
        <v>0.89583333333333337</v>
      </c>
      <c r="E793" s="53">
        <f t="shared" si="165"/>
        <v>5.5000000000000018</v>
      </c>
      <c r="F793" s="51"/>
      <c r="G793" s="53">
        <f t="shared" si="168"/>
        <v>7.5000000000000018</v>
      </c>
      <c r="H793" s="51"/>
      <c r="I793" s="51">
        <f t="shared" si="164"/>
        <v>7.5000000000000018</v>
      </c>
    </row>
    <row r="794" spans="1:9" x14ac:dyDescent="0.25">
      <c r="A794" s="133">
        <v>45323</v>
      </c>
      <c r="B794" s="51" t="s">
        <v>19</v>
      </c>
      <c r="C794" s="134">
        <v>0.66666666666666663</v>
      </c>
      <c r="D794" s="134">
        <v>0.89583333333333337</v>
      </c>
      <c r="E794" s="53">
        <f t="shared" si="165"/>
        <v>5.5000000000000018</v>
      </c>
      <c r="F794" s="51"/>
      <c r="G794" s="53">
        <f t="shared" si="168"/>
        <v>7.5000000000000018</v>
      </c>
      <c r="H794" s="51"/>
      <c r="I794" s="51">
        <f t="shared" si="164"/>
        <v>7.5000000000000018</v>
      </c>
    </row>
    <row r="795" spans="1:9" x14ac:dyDescent="0.25">
      <c r="A795" s="133">
        <v>45324</v>
      </c>
      <c r="B795" s="51" t="s">
        <v>19</v>
      </c>
      <c r="C795" s="134">
        <v>0.375</v>
      </c>
      <c r="D795" s="134">
        <v>0.625</v>
      </c>
      <c r="E795" s="53">
        <f t="shared" si="165"/>
        <v>5.5</v>
      </c>
      <c r="F795" s="51">
        <v>0.5</v>
      </c>
      <c r="G795" s="53">
        <f t="shared" si="168"/>
        <v>7.5</v>
      </c>
      <c r="H795" s="51"/>
      <c r="I795" s="51">
        <f t="shared" si="164"/>
        <v>7.5</v>
      </c>
    </row>
    <row r="796" spans="1:9" x14ac:dyDescent="0.25">
      <c r="A796" s="133">
        <v>45325</v>
      </c>
      <c r="B796" s="51" t="s">
        <v>19</v>
      </c>
      <c r="C796" s="134">
        <v>0.58333333333333337</v>
      </c>
      <c r="D796" s="134">
        <v>0.91666666666666663</v>
      </c>
      <c r="E796" s="53">
        <f t="shared" si="165"/>
        <v>7.4999999999999982</v>
      </c>
      <c r="F796" s="51">
        <v>0.5</v>
      </c>
      <c r="G796" s="53">
        <f t="shared" si="168"/>
        <v>7.4999999999999982</v>
      </c>
      <c r="H796" s="51"/>
      <c r="I796" s="51">
        <f t="shared" si="164"/>
        <v>7.4999999999999982</v>
      </c>
    </row>
    <row r="797" spans="1:9" x14ac:dyDescent="0.25">
      <c r="A797" s="133">
        <v>45325</v>
      </c>
      <c r="B797" s="51" t="s">
        <v>19</v>
      </c>
      <c r="C797" s="134">
        <v>0.58333333333333337</v>
      </c>
      <c r="D797" s="134">
        <v>0.91666666666666663</v>
      </c>
      <c r="E797" s="53">
        <f t="shared" si="165"/>
        <v>7.4999999999999982</v>
      </c>
      <c r="F797" s="51">
        <v>0.5</v>
      </c>
      <c r="G797" s="53">
        <f t="shared" si="168"/>
        <v>7.4999999999999982</v>
      </c>
      <c r="H797" s="51"/>
      <c r="I797" s="51">
        <f t="shared" si="164"/>
        <v>7.4999999999999982</v>
      </c>
    </row>
    <row r="798" spans="1:9" x14ac:dyDescent="0.25">
      <c r="A798" s="133">
        <v>45325</v>
      </c>
      <c r="B798" s="51" t="s">
        <v>19</v>
      </c>
      <c r="C798" s="134">
        <v>0.58333333333333337</v>
      </c>
      <c r="D798" s="134">
        <v>0.91666666666666663</v>
      </c>
      <c r="E798" s="53">
        <f t="shared" si="165"/>
        <v>7.4999999999999982</v>
      </c>
      <c r="F798" s="51">
        <v>0.5</v>
      </c>
      <c r="G798" s="53">
        <f t="shared" si="168"/>
        <v>7.4999999999999982</v>
      </c>
      <c r="H798" s="51"/>
      <c r="I798" s="51">
        <f t="shared" si="164"/>
        <v>7.4999999999999982</v>
      </c>
    </row>
    <row r="799" spans="1:9" x14ac:dyDescent="0.25">
      <c r="A799" s="133">
        <v>45325</v>
      </c>
      <c r="B799" s="51" t="s">
        <v>19</v>
      </c>
      <c r="C799" s="134">
        <v>0.58333333333333337</v>
      </c>
      <c r="D799" s="134">
        <v>0.91666666666666663</v>
      </c>
      <c r="E799" s="53">
        <f t="shared" si="165"/>
        <v>7.4999999999999982</v>
      </c>
      <c r="F799" s="51">
        <v>0.5</v>
      </c>
      <c r="G799" s="53">
        <f t="shared" si="168"/>
        <v>7.4999999999999982</v>
      </c>
      <c r="H799" s="51"/>
      <c r="I799" s="51">
        <f t="shared" si="164"/>
        <v>7.4999999999999982</v>
      </c>
    </row>
    <row r="800" spans="1:9" x14ac:dyDescent="0.25">
      <c r="A800" s="133">
        <v>45325</v>
      </c>
      <c r="B800" s="51" t="s">
        <v>19</v>
      </c>
      <c r="C800" s="134">
        <v>0.58333333333333337</v>
      </c>
      <c r="D800" s="134">
        <v>0.91666666666666663</v>
      </c>
      <c r="E800" s="53">
        <f t="shared" si="165"/>
        <v>7.4999999999999982</v>
      </c>
      <c r="F800" s="51">
        <v>0.5</v>
      </c>
      <c r="G800" s="53">
        <f t="shared" si="168"/>
        <v>7.4999999999999982</v>
      </c>
      <c r="H800" s="51"/>
      <c r="I800" s="51">
        <f t="shared" si="164"/>
        <v>7.4999999999999982</v>
      </c>
    </row>
    <row r="801" spans="1:9" x14ac:dyDescent="0.25">
      <c r="A801" s="133">
        <v>45325</v>
      </c>
      <c r="B801" s="51" t="s">
        <v>19</v>
      </c>
      <c r="C801" s="134">
        <v>0.58333333333333337</v>
      </c>
      <c r="D801" s="134">
        <v>0.91666666666666663</v>
      </c>
      <c r="E801" s="53">
        <f t="shared" si="165"/>
        <v>7.4999999999999982</v>
      </c>
      <c r="F801" s="51">
        <v>0.5</v>
      </c>
      <c r="G801" s="53">
        <f t="shared" si="168"/>
        <v>7.4999999999999982</v>
      </c>
      <c r="H801" s="51"/>
      <c r="I801" s="51">
        <f t="shared" si="164"/>
        <v>7.4999999999999982</v>
      </c>
    </row>
    <row r="802" spans="1:9" x14ac:dyDescent="0.25">
      <c r="A802" s="133">
        <v>45326</v>
      </c>
      <c r="B802" s="51" t="s">
        <v>19</v>
      </c>
      <c r="C802" s="134">
        <v>0.41666666666666669</v>
      </c>
      <c r="D802" s="134">
        <v>0.66666666666666663</v>
      </c>
      <c r="E802" s="53">
        <f t="shared" si="165"/>
        <v>5.4999999999999982</v>
      </c>
      <c r="F802" s="51">
        <v>0.5</v>
      </c>
      <c r="G802" s="53">
        <f t="shared" si="168"/>
        <v>5.4999999999999982</v>
      </c>
      <c r="H802" s="51"/>
      <c r="I802" s="51">
        <f t="shared" si="164"/>
        <v>5.4999999999999982</v>
      </c>
    </row>
    <row r="803" spans="1:9" x14ac:dyDescent="0.25">
      <c r="A803" s="133">
        <v>45326</v>
      </c>
      <c r="B803" s="51" t="s">
        <v>19</v>
      </c>
      <c r="C803" s="134">
        <v>0.41666666666666669</v>
      </c>
      <c r="D803" s="134">
        <v>0.66666666666666663</v>
      </c>
      <c r="E803" s="53">
        <f t="shared" si="165"/>
        <v>5.4999999999999982</v>
      </c>
      <c r="F803" s="51">
        <v>0.5</v>
      </c>
      <c r="G803" s="53">
        <f t="shared" si="168"/>
        <v>5.4999999999999982</v>
      </c>
      <c r="H803" s="51"/>
      <c r="I803" s="51">
        <f t="shared" si="164"/>
        <v>5.4999999999999982</v>
      </c>
    </row>
    <row r="804" spans="1:9" x14ac:dyDescent="0.25">
      <c r="A804" s="133">
        <v>45341</v>
      </c>
      <c r="B804" s="51" t="s">
        <v>19</v>
      </c>
      <c r="C804" s="134">
        <v>0.33333333333333331</v>
      </c>
      <c r="D804" s="134">
        <v>0.70833333333333337</v>
      </c>
      <c r="E804" s="53">
        <f t="shared" si="165"/>
        <v>8.0000000000000018</v>
      </c>
      <c r="F804" s="51">
        <v>1</v>
      </c>
      <c r="G804" s="53">
        <f t="shared" si="168"/>
        <v>10.000000000000002</v>
      </c>
      <c r="H804" s="51"/>
      <c r="I804" s="51">
        <f t="shared" si="164"/>
        <v>10.000000000000002</v>
      </c>
    </row>
    <row r="805" spans="1:9" x14ac:dyDescent="0.25">
      <c r="A805" s="133">
        <v>45354</v>
      </c>
      <c r="B805" s="51" t="s">
        <v>19</v>
      </c>
      <c r="C805" s="134">
        <v>0.41666666666666669</v>
      </c>
      <c r="D805" s="134">
        <v>0.66666666666666663</v>
      </c>
      <c r="E805" s="53">
        <f t="shared" si="165"/>
        <v>5.4999999999999982</v>
      </c>
      <c r="F805" s="51">
        <v>0.5</v>
      </c>
      <c r="G805" s="53">
        <f t="shared" si="168"/>
        <v>5.4999999999999982</v>
      </c>
      <c r="H805" s="51"/>
      <c r="I805" s="51">
        <f t="shared" si="164"/>
        <v>5.4999999999999982</v>
      </c>
    </row>
    <row r="806" spans="1:9" x14ac:dyDescent="0.25">
      <c r="A806" s="133">
        <v>45354</v>
      </c>
      <c r="B806" s="51" t="s">
        <v>19</v>
      </c>
      <c r="C806" s="134">
        <v>0.41666666666666669</v>
      </c>
      <c r="D806" s="134">
        <v>0.66666666666666663</v>
      </c>
      <c r="E806" s="53">
        <f t="shared" si="165"/>
        <v>5.4999999999999982</v>
      </c>
      <c r="F806" s="51">
        <v>0.5</v>
      </c>
      <c r="G806" s="53">
        <f t="shared" si="168"/>
        <v>5.4999999999999982</v>
      </c>
      <c r="H806" s="51"/>
      <c r="I806" s="51">
        <f t="shared" si="164"/>
        <v>5.4999999999999982</v>
      </c>
    </row>
    <row r="807" spans="1:9" x14ac:dyDescent="0.25">
      <c r="A807" s="133">
        <v>45354</v>
      </c>
      <c r="B807" s="51" t="s">
        <v>19</v>
      </c>
      <c r="C807" s="134">
        <v>0.41666666666666669</v>
      </c>
      <c r="D807" s="134">
        <v>0.54166666666666663</v>
      </c>
      <c r="E807" s="53">
        <f t="shared" si="165"/>
        <v>2.9999999999999987</v>
      </c>
      <c r="F807" s="51"/>
      <c r="G807" s="53">
        <f t="shared" si="168"/>
        <v>2.9999999999999987</v>
      </c>
      <c r="H807" s="51"/>
      <c r="I807" s="51">
        <f t="shared" si="164"/>
        <v>2.9999999999999987</v>
      </c>
    </row>
    <row r="808" spans="1:9" x14ac:dyDescent="0.25">
      <c r="A808" s="133">
        <v>45362</v>
      </c>
      <c r="B808" s="51" t="s">
        <v>19</v>
      </c>
      <c r="C808" s="134">
        <v>0.41666666666666669</v>
      </c>
      <c r="D808" s="134">
        <v>0.625</v>
      </c>
      <c r="E808" s="53">
        <f t="shared" si="165"/>
        <v>5</v>
      </c>
      <c r="F808" s="51"/>
      <c r="G808" s="53">
        <f t="shared" si="168"/>
        <v>7</v>
      </c>
      <c r="H808" s="51"/>
      <c r="I808" s="51">
        <f t="shared" si="164"/>
        <v>7</v>
      </c>
    </row>
    <row r="809" spans="1:9" x14ac:dyDescent="0.25">
      <c r="A809" s="133">
        <v>45362</v>
      </c>
      <c r="B809" s="51" t="s">
        <v>19</v>
      </c>
      <c r="C809" s="134">
        <v>0.41666666666666669</v>
      </c>
      <c r="D809" s="134">
        <v>0.625</v>
      </c>
      <c r="E809" s="53">
        <f t="shared" si="165"/>
        <v>5</v>
      </c>
      <c r="F809" s="51"/>
      <c r="G809" s="53">
        <f t="shared" si="168"/>
        <v>7</v>
      </c>
      <c r="H809" s="51"/>
      <c r="I809" s="51">
        <f t="shared" si="164"/>
        <v>7</v>
      </c>
    </row>
    <row r="810" spans="1:9" x14ac:dyDescent="0.25">
      <c r="A810" s="133">
        <v>45363</v>
      </c>
      <c r="B810" s="51" t="s">
        <v>19</v>
      </c>
      <c r="C810" s="134">
        <v>0.41666666666666669</v>
      </c>
      <c r="D810" s="134">
        <v>0.625</v>
      </c>
      <c r="E810" s="53">
        <f t="shared" si="165"/>
        <v>5</v>
      </c>
      <c r="F810" s="51"/>
      <c r="G810" s="53">
        <f t="shared" si="168"/>
        <v>7</v>
      </c>
      <c r="H810" s="51"/>
      <c r="I810" s="51">
        <f t="shared" si="164"/>
        <v>7</v>
      </c>
    </row>
    <row r="811" spans="1:9" x14ac:dyDescent="0.25">
      <c r="A811" s="133">
        <v>45363</v>
      </c>
      <c r="B811" s="51" t="s">
        <v>19</v>
      </c>
      <c r="C811" s="134">
        <v>0.41666666666666669</v>
      </c>
      <c r="D811" s="134">
        <v>0.625</v>
      </c>
      <c r="E811" s="53">
        <f t="shared" si="165"/>
        <v>5</v>
      </c>
      <c r="F811" s="51"/>
      <c r="G811" s="53">
        <f t="shared" si="168"/>
        <v>7</v>
      </c>
      <c r="H811" s="51"/>
      <c r="I811" s="51">
        <f t="shared" si="164"/>
        <v>7</v>
      </c>
    </row>
    <row r="812" spans="1:9" x14ac:dyDescent="0.25">
      <c r="A812" s="133">
        <v>45367</v>
      </c>
      <c r="B812" s="51" t="s">
        <v>19</v>
      </c>
      <c r="C812" s="134">
        <v>0.29166666666666669</v>
      </c>
      <c r="D812" s="134">
        <v>0.66666666666666663</v>
      </c>
      <c r="E812" s="53">
        <f t="shared" si="165"/>
        <v>7.9999999999999982</v>
      </c>
      <c r="F812" s="51">
        <v>1</v>
      </c>
      <c r="G812" s="53">
        <f t="shared" si="168"/>
        <v>7.9999999999999982</v>
      </c>
      <c r="H812" s="51"/>
      <c r="I812" s="51">
        <f t="shared" si="164"/>
        <v>7.9999999999999982</v>
      </c>
    </row>
    <row r="813" spans="1:9" x14ac:dyDescent="0.25">
      <c r="A813" s="133">
        <v>45367</v>
      </c>
      <c r="B813" s="51" t="s">
        <v>19</v>
      </c>
      <c r="C813" s="134">
        <v>0.29166666666666669</v>
      </c>
      <c r="D813" s="134">
        <v>0.5</v>
      </c>
      <c r="E813" s="53">
        <f t="shared" si="165"/>
        <v>5</v>
      </c>
      <c r="F813" s="51"/>
      <c r="G813" s="53">
        <f t="shared" si="168"/>
        <v>5</v>
      </c>
      <c r="H813" s="51"/>
      <c r="I813" s="51">
        <f t="shared" si="164"/>
        <v>5</v>
      </c>
    </row>
    <row r="814" spans="1:9" x14ac:dyDescent="0.25">
      <c r="A814" s="133">
        <v>45367</v>
      </c>
      <c r="B814" s="51" t="s">
        <v>19</v>
      </c>
      <c r="C814" s="134">
        <v>0.29166666666666669</v>
      </c>
      <c r="D814" s="134">
        <v>0.5</v>
      </c>
      <c r="E814" s="53">
        <f t="shared" si="165"/>
        <v>5</v>
      </c>
      <c r="F814" s="51"/>
      <c r="G814" s="53">
        <f t="shared" si="168"/>
        <v>5</v>
      </c>
      <c r="H814" s="51"/>
      <c r="I814" s="51">
        <f t="shared" si="164"/>
        <v>5</v>
      </c>
    </row>
    <row r="815" spans="1:9" x14ac:dyDescent="0.25">
      <c r="A815" s="133">
        <v>45367</v>
      </c>
      <c r="B815" s="51" t="s">
        <v>19</v>
      </c>
      <c r="C815" s="134">
        <v>0.29166666666666669</v>
      </c>
      <c r="D815" s="134">
        <v>0.41666666666666669</v>
      </c>
      <c r="E815" s="53">
        <f t="shared" si="165"/>
        <v>3</v>
      </c>
      <c r="F815" s="51"/>
      <c r="G815" s="53">
        <f t="shared" si="168"/>
        <v>3</v>
      </c>
      <c r="H815" s="51"/>
      <c r="I815" s="51">
        <f t="shared" si="164"/>
        <v>3</v>
      </c>
    </row>
    <row r="816" spans="1:9" x14ac:dyDescent="0.25">
      <c r="A816" s="133">
        <v>45367</v>
      </c>
      <c r="B816" s="51" t="s">
        <v>19</v>
      </c>
      <c r="C816" s="134">
        <v>0.5</v>
      </c>
      <c r="D816" s="134">
        <v>0.66666666666666663</v>
      </c>
      <c r="E816" s="53">
        <f t="shared" si="165"/>
        <v>3.9999999999999991</v>
      </c>
      <c r="F816" s="51"/>
      <c r="G816" s="53">
        <f t="shared" si="168"/>
        <v>3.9999999999999991</v>
      </c>
      <c r="H816" s="51"/>
      <c r="I816" s="51">
        <f t="shared" si="164"/>
        <v>3.9999999999999991</v>
      </c>
    </row>
    <row r="817" spans="1:9" x14ac:dyDescent="0.25">
      <c r="A817" s="133">
        <v>45367</v>
      </c>
      <c r="B817" s="51" t="s">
        <v>19</v>
      </c>
      <c r="C817" s="134">
        <v>0.5</v>
      </c>
      <c r="D817" s="134">
        <v>0.66666666666666663</v>
      </c>
      <c r="E817" s="53">
        <f t="shared" si="165"/>
        <v>3.9999999999999991</v>
      </c>
      <c r="F817" s="51"/>
      <c r="G817" s="53">
        <f t="shared" si="168"/>
        <v>3.9999999999999991</v>
      </c>
      <c r="H817" s="51"/>
      <c r="I817" s="51">
        <f t="shared" si="164"/>
        <v>3.9999999999999991</v>
      </c>
    </row>
    <row r="818" spans="1:9" x14ac:dyDescent="0.25">
      <c r="A818" s="133">
        <v>45374</v>
      </c>
      <c r="B818" s="51" t="s">
        <v>19</v>
      </c>
      <c r="C818" s="134">
        <v>0.33333333333333331</v>
      </c>
      <c r="D818" s="134">
        <v>0.625</v>
      </c>
      <c r="E818" s="53">
        <f t="shared" si="165"/>
        <v>6.5</v>
      </c>
      <c r="F818" s="51">
        <v>0.5</v>
      </c>
      <c r="G818" s="53">
        <f t="shared" si="168"/>
        <v>6.5</v>
      </c>
      <c r="H818" s="51"/>
      <c r="I818" s="51">
        <f t="shared" si="164"/>
        <v>6.5</v>
      </c>
    </row>
    <row r="819" spans="1:9" x14ac:dyDescent="0.25">
      <c r="A819" s="133">
        <v>45374</v>
      </c>
      <c r="B819" s="51" t="s">
        <v>19</v>
      </c>
      <c r="C819" s="134">
        <v>0.33333333333333331</v>
      </c>
      <c r="D819" s="134">
        <v>0.625</v>
      </c>
      <c r="E819" s="53">
        <f t="shared" si="165"/>
        <v>6.5</v>
      </c>
      <c r="F819" s="51">
        <v>0.5</v>
      </c>
      <c r="G819" s="53">
        <f t="shared" si="168"/>
        <v>6.5</v>
      </c>
      <c r="H819" s="51"/>
      <c r="I819" s="51">
        <f t="shared" si="164"/>
        <v>6.5</v>
      </c>
    </row>
    <row r="820" spans="1:9" x14ac:dyDescent="0.25">
      <c r="A820" s="133">
        <v>45374</v>
      </c>
      <c r="B820" s="51" t="s">
        <v>19</v>
      </c>
      <c r="C820" s="134">
        <v>0.33333333333333331</v>
      </c>
      <c r="D820" s="134">
        <v>0.625</v>
      </c>
      <c r="E820" s="53">
        <f t="shared" si="165"/>
        <v>6.5</v>
      </c>
      <c r="F820" s="51">
        <v>0.5</v>
      </c>
      <c r="G820" s="53">
        <f t="shared" si="168"/>
        <v>6.5</v>
      </c>
      <c r="H820" s="51"/>
      <c r="I820" s="51">
        <f t="shared" si="164"/>
        <v>6.5</v>
      </c>
    </row>
    <row r="821" spans="1:9" x14ac:dyDescent="0.25">
      <c r="A821" s="133">
        <v>45374</v>
      </c>
      <c r="B821" s="51" t="s">
        <v>19</v>
      </c>
      <c r="C821" s="134">
        <v>0.33333333333333331</v>
      </c>
      <c r="D821" s="134">
        <v>0.625</v>
      </c>
      <c r="E821" s="53">
        <f t="shared" si="165"/>
        <v>6.5</v>
      </c>
      <c r="F821" s="51">
        <v>0.5</v>
      </c>
      <c r="G821" s="53">
        <f t="shared" si="168"/>
        <v>6.5</v>
      </c>
      <c r="H821" s="51"/>
      <c r="I821" s="51">
        <f t="shared" si="164"/>
        <v>6.5</v>
      </c>
    </row>
    <row r="822" spans="1:9" x14ac:dyDescent="0.25">
      <c r="A822" s="133">
        <v>45396</v>
      </c>
      <c r="B822" s="51" t="s">
        <v>19</v>
      </c>
      <c r="C822" s="134">
        <v>0.45833333333333331</v>
      </c>
      <c r="D822" s="134">
        <v>0.72916666666666663</v>
      </c>
      <c r="E822" s="53">
        <f t="shared" si="165"/>
        <v>6</v>
      </c>
      <c r="F822" s="51">
        <v>0.5</v>
      </c>
      <c r="G822" s="53">
        <f t="shared" si="168"/>
        <v>6</v>
      </c>
      <c r="H822" s="51"/>
      <c r="I822" s="51">
        <f t="shared" si="164"/>
        <v>6</v>
      </c>
    </row>
    <row r="823" spans="1:9" x14ac:dyDescent="0.25">
      <c r="A823" s="133">
        <v>45402</v>
      </c>
      <c r="B823" s="51" t="s">
        <v>19</v>
      </c>
      <c r="C823" s="134">
        <v>0.27083333333333331</v>
      </c>
      <c r="D823" s="134">
        <v>0.58333333333333337</v>
      </c>
      <c r="E823" s="53">
        <f t="shared" si="165"/>
        <v>7.0000000000000018</v>
      </c>
      <c r="F823" s="51">
        <v>0.5</v>
      </c>
      <c r="G823" s="53">
        <f t="shared" si="168"/>
        <v>7.0000000000000018</v>
      </c>
      <c r="H823" s="51"/>
      <c r="I823" s="51">
        <f t="shared" si="164"/>
        <v>7.0000000000000018</v>
      </c>
    </row>
    <row r="824" spans="1:9" x14ac:dyDescent="0.25">
      <c r="A824" s="133">
        <v>45402</v>
      </c>
      <c r="B824" s="51" t="s">
        <v>19</v>
      </c>
      <c r="C824" s="134">
        <v>0.29166666666666669</v>
      </c>
      <c r="D824" s="134">
        <v>0.58333333333333337</v>
      </c>
      <c r="E824" s="53">
        <f t="shared" si="165"/>
        <v>6.5</v>
      </c>
      <c r="F824" s="51">
        <v>0.5</v>
      </c>
      <c r="G824" s="53">
        <f t="shared" si="168"/>
        <v>6.5</v>
      </c>
      <c r="H824" s="51"/>
      <c r="I824" s="51">
        <f t="shared" si="164"/>
        <v>6.5</v>
      </c>
    </row>
    <row r="825" spans="1:9" x14ac:dyDescent="0.25">
      <c r="A825" s="133">
        <v>45407</v>
      </c>
      <c r="B825" s="51" t="s">
        <v>19</v>
      </c>
      <c r="C825" s="134">
        <v>0.66666666666666663</v>
      </c>
      <c r="D825" s="134">
        <v>0.89583333333333337</v>
      </c>
      <c r="E825" s="53">
        <f t="shared" si="165"/>
        <v>5.5000000000000018</v>
      </c>
      <c r="F825" s="51"/>
      <c r="G825" s="53">
        <f t="shared" si="168"/>
        <v>7.5000000000000018</v>
      </c>
      <c r="H825" s="51"/>
      <c r="I825" s="51">
        <f t="shared" si="164"/>
        <v>7.5000000000000018</v>
      </c>
    </row>
    <row r="826" spans="1:9" x14ac:dyDescent="0.25">
      <c r="A826" s="133">
        <v>45428</v>
      </c>
      <c r="B826" s="51" t="s">
        <v>19</v>
      </c>
      <c r="C826" s="134">
        <v>0.375</v>
      </c>
      <c r="D826" s="134">
        <v>0.54166666666666663</v>
      </c>
      <c r="E826" s="53">
        <f t="shared" si="165"/>
        <v>3.9999999999999991</v>
      </c>
      <c r="F826" s="51"/>
      <c r="G826" s="53">
        <f t="shared" si="168"/>
        <v>5.9999999999999991</v>
      </c>
      <c r="H826" s="51"/>
      <c r="I826" s="51">
        <f t="shared" si="164"/>
        <v>5.9999999999999991</v>
      </c>
    </row>
    <row r="827" spans="1:9" x14ac:dyDescent="0.25">
      <c r="A827" s="133">
        <v>45428</v>
      </c>
      <c r="B827" s="51" t="s">
        <v>19</v>
      </c>
      <c r="C827" s="134">
        <v>0.375</v>
      </c>
      <c r="D827" s="134">
        <v>0.54166666666666663</v>
      </c>
      <c r="E827" s="53">
        <f t="shared" si="165"/>
        <v>3.9999999999999991</v>
      </c>
      <c r="F827" s="51"/>
      <c r="G827" s="53">
        <f t="shared" si="168"/>
        <v>5.9999999999999991</v>
      </c>
      <c r="H827" s="51"/>
      <c r="I827" s="51">
        <f t="shared" si="164"/>
        <v>5.9999999999999991</v>
      </c>
    </row>
    <row r="828" spans="1:9" x14ac:dyDescent="0.25">
      <c r="A828" s="133">
        <v>45428</v>
      </c>
      <c r="B828" s="51" t="s">
        <v>19</v>
      </c>
      <c r="C828" s="134">
        <v>0.25</v>
      </c>
      <c r="D828" s="134">
        <v>0.41666666666666669</v>
      </c>
      <c r="E828" s="53">
        <f t="shared" si="165"/>
        <v>4</v>
      </c>
      <c r="F828" s="51"/>
      <c r="G828" s="53">
        <f t="shared" si="168"/>
        <v>6</v>
      </c>
      <c r="H828" s="51"/>
      <c r="I828" s="51">
        <f t="shared" si="164"/>
        <v>6</v>
      </c>
    </row>
    <row r="829" spans="1:9" x14ac:dyDescent="0.25">
      <c r="A829" s="133">
        <v>45434</v>
      </c>
      <c r="B829" s="51" t="s">
        <v>19</v>
      </c>
      <c r="C829" s="134">
        <v>0.41666666666666669</v>
      </c>
      <c r="D829" s="134">
        <v>0.58333333333333337</v>
      </c>
      <c r="E829" s="53">
        <f t="shared" si="165"/>
        <v>4</v>
      </c>
      <c r="F829" s="51"/>
      <c r="G829" s="53">
        <f t="shared" si="168"/>
        <v>6</v>
      </c>
      <c r="H829" s="51"/>
      <c r="I829" s="51">
        <f t="shared" si="164"/>
        <v>6</v>
      </c>
    </row>
    <row r="830" spans="1:9" x14ac:dyDescent="0.25">
      <c r="A830" s="133">
        <v>45434</v>
      </c>
      <c r="B830" s="51" t="s">
        <v>19</v>
      </c>
      <c r="C830" s="134">
        <v>0.41666666666666669</v>
      </c>
      <c r="D830" s="134">
        <v>0.58333333333333337</v>
      </c>
      <c r="E830" s="53">
        <f t="shared" si="165"/>
        <v>4</v>
      </c>
      <c r="F830" s="51"/>
      <c r="G830" s="53">
        <f t="shared" si="168"/>
        <v>6</v>
      </c>
      <c r="H830" s="51"/>
      <c r="I830" s="51">
        <f t="shared" si="164"/>
        <v>6</v>
      </c>
    </row>
    <row r="831" spans="1:9" x14ac:dyDescent="0.25">
      <c r="A831" s="133">
        <v>45434</v>
      </c>
      <c r="B831" s="51" t="s">
        <v>19</v>
      </c>
      <c r="C831" s="134">
        <v>0.41666666666666669</v>
      </c>
      <c r="D831" s="134">
        <v>0.58333333333333337</v>
      </c>
      <c r="E831" s="53">
        <f t="shared" si="165"/>
        <v>4</v>
      </c>
      <c r="F831" s="51"/>
      <c r="G831" s="53">
        <f t="shared" si="168"/>
        <v>6</v>
      </c>
      <c r="H831" s="51"/>
      <c r="I831" s="51">
        <f t="shared" si="164"/>
        <v>6</v>
      </c>
    </row>
    <row r="832" spans="1:9" x14ac:dyDescent="0.25">
      <c r="A832" s="133">
        <v>45435</v>
      </c>
      <c r="B832" s="51" t="s">
        <v>19</v>
      </c>
      <c r="C832" s="134">
        <v>0.5</v>
      </c>
      <c r="D832" s="134">
        <v>0.70833333333333337</v>
      </c>
      <c r="E832" s="53">
        <f t="shared" si="165"/>
        <v>5.0000000000000009</v>
      </c>
      <c r="F832" s="51"/>
      <c r="G832" s="53">
        <f t="shared" si="168"/>
        <v>7.0000000000000009</v>
      </c>
      <c r="H832" s="51"/>
      <c r="I832" s="51">
        <f t="shared" si="164"/>
        <v>7.0000000000000009</v>
      </c>
    </row>
    <row r="833" spans="1:9" x14ac:dyDescent="0.25">
      <c r="A833" s="133">
        <v>45435</v>
      </c>
      <c r="B833" s="51" t="s">
        <v>19</v>
      </c>
      <c r="C833" s="134">
        <v>0.70833333333333337</v>
      </c>
      <c r="D833" s="134">
        <v>0.91666666666666663</v>
      </c>
      <c r="E833" s="53">
        <f t="shared" si="165"/>
        <v>4.9999999999999982</v>
      </c>
      <c r="F833" s="51"/>
      <c r="G833" s="53">
        <f t="shared" si="168"/>
        <v>6.9999999999999982</v>
      </c>
      <c r="H833" s="51"/>
      <c r="I833" s="51">
        <f t="shared" si="164"/>
        <v>6.9999999999999982</v>
      </c>
    </row>
    <row r="834" spans="1:9" x14ac:dyDescent="0.25">
      <c r="A834" s="133">
        <v>45435</v>
      </c>
      <c r="B834" s="51" t="s">
        <v>19</v>
      </c>
      <c r="C834" s="134">
        <v>0.79166666666666663</v>
      </c>
      <c r="D834" s="134">
        <v>0.91666666666666663</v>
      </c>
      <c r="E834" s="53">
        <f t="shared" si="165"/>
        <v>3</v>
      </c>
      <c r="F834" s="51"/>
      <c r="G834" s="53">
        <f t="shared" si="168"/>
        <v>5</v>
      </c>
      <c r="H834" s="51"/>
      <c r="I834" s="51">
        <f t="shared" ref="I834:I897" si="169">IF(G834&lt;&gt;"",G834,H834)</f>
        <v>5</v>
      </c>
    </row>
    <row r="835" spans="1:9" x14ac:dyDescent="0.25">
      <c r="A835" s="133">
        <v>45435</v>
      </c>
      <c r="B835" s="51" t="s">
        <v>19</v>
      </c>
      <c r="C835" s="134">
        <v>0.5</v>
      </c>
      <c r="D835" s="134">
        <v>0.625</v>
      </c>
      <c r="E835" s="53">
        <f t="shared" ref="E835:E898" si="170">MOD((D835-C835),1) *24 - F835</f>
        <v>3</v>
      </c>
      <c r="F835" s="51"/>
      <c r="G835" s="53">
        <f t="shared" ref="G835:G898" si="171">IF(WEEKDAY(A835, 2)&lt;6, E835+2, E835)</f>
        <v>5</v>
      </c>
      <c r="H835" s="51"/>
      <c r="I835" s="51">
        <f t="shared" si="169"/>
        <v>5</v>
      </c>
    </row>
    <row r="836" spans="1:9" x14ac:dyDescent="0.25">
      <c r="A836" s="133">
        <v>45436</v>
      </c>
      <c r="B836" s="51" t="s">
        <v>19</v>
      </c>
      <c r="C836" s="134">
        <v>0.375</v>
      </c>
      <c r="D836" s="134">
        <v>0.5625</v>
      </c>
      <c r="E836" s="53">
        <f t="shared" si="170"/>
        <v>4.5</v>
      </c>
      <c r="F836" s="51"/>
      <c r="G836" s="53">
        <f t="shared" si="171"/>
        <v>6.5</v>
      </c>
      <c r="H836" s="51"/>
      <c r="I836" s="51">
        <f t="shared" si="169"/>
        <v>6.5</v>
      </c>
    </row>
    <row r="837" spans="1:9" x14ac:dyDescent="0.25">
      <c r="A837" s="133">
        <v>45436</v>
      </c>
      <c r="B837" s="51" t="s">
        <v>19</v>
      </c>
      <c r="C837" s="134">
        <v>0.375</v>
      </c>
      <c r="D837" s="134">
        <v>0.54166666666666663</v>
      </c>
      <c r="E837" s="53">
        <f t="shared" si="170"/>
        <v>3.9999999999999991</v>
      </c>
      <c r="F837" s="51"/>
      <c r="G837" s="53">
        <f t="shared" si="171"/>
        <v>5.9999999999999991</v>
      </c>
      <c r="H837" s="51"/>
      <c r="I837" s="51">
        <f t="shared" si="169"/>
        <v>5.9999999999999991</v>
      </c>
    </row>
    <row r="838" spans="1:9" x14ac:dyDescent="0.25">
      <c r="A838" s="133">
        <v>45436</v>
      </c>
      <c r="B838" s="51" t="s">
        <v>19</v>
      </c>
      <c r="C838" s="134">
        <v>0.5</v>
      </c>
      <c r="D838" s="134">
        <v>0.625</v>
      </c>
      <c r="E838" s="53">
        <f t="shared" si="170"/>
        <v>3</v>
      </c>
      <c r="F838" s="51"/>
      <c r="G838" s="53">
        <f t="shared" si="171"/>
        <v>5</v>
      </c>
      <c r="H838" s="51"/>
      <c r="I838" s="51">
        <f t="shared" si="169"/>
        <v>5</v>
      </c>
    </row>
    <row r="839" spans="1:9" x14ac:dyDescent="0.25">
      <c r="A839" s="133">
        <v>45437</v>
      </c>
      <c r="B839" s="51" t="s">
        <v>19</v>
      </c>
      <c r="C839" s="134">
        <v>0.375</v>
      </c>
      <c r="D839" s="134">
        <v>0.58333333333333337</v>
      </c>
      <c r="E839" s="53">
        <f t="shared" si="170"/>
        <v>5.0000000000000009</v>
      </c>
      <c r="F839" s="51"/>
      <c r="G839" s="53">
        <f t="shared" si="171"/>
        <v>5.0000000000000009</v>
      </c>
      <c r="H839" s="51"/>
      <c r="I839" s="51">
        <f t="shared" si="169"/>
        <v>5.0000000000000009</v>
      </c>
    </row>
    <row r="840" spans="1:9" x14ac:dyDescent="0.25">
      <c r="A840" s="133">
        <v>45437</v>
      </c>
      <c r="B840" s="51" t="s">
        <v>19</v>
      </c>
      <c r="C840" s="134">
        <v>0.375</v>
      </c>
      <c r="D840" s="134">
        <v>0.58333333333333337</v>
      </c>
      <c r="E840" s="53">
        <f t="shared" si="170"/>
        <v>5.0000000000000009</v>
      </c>
      <c r="F840" s="51"/>
      <c r="G840" s="53">
        <f t="shared" si="171"/>
        <v>5.0000000000000009</v>
      </c>
      <c r="H840" s="51"/>
      <c r="I840" s="51">
        <f t="shared" si="169"/>
        <v>5.0000000000000009</v>
      </c>
    </row>
    <row r="841" spans="1:9" x14ac:dyDescent="0.25">
      <c r="A841" s="133">
        <v>45437</v>
      </c>
      <c r="B841" s="51" t="s">
        <v>19</v>
      </c>
      <c r="C841" s="134">
        <v>0.375</v>
      </c>
      <c r="D841" s="134">
        <v>0.58333333333333337</v>
      </c>
      <c r="E841" s="53">
        <f t="shared" si="170"/>
        <v>5.0000000000000009</v>
      </c>
      <c r="F841" s="51"/>
      <c r="G841" s="53">
        <f t="shared" si="171"/>
        <v>5.0000000000000009</v>
      </c>
      <c r="H841" s="51"/>
      <c r="I841" s="51">
        <f t="shared" si="169"/>
        <v>5.0000000000000009</v>
      </c>
    </row>
    <row r="842" spans="1:9" x14ac:dyDescent="0.25">
      <c r="A842" s="133">
        <v>45439</v>
      </c>
      <c r="B842" s="51" t="s">
        <v>19</v>
      </c>
      <c r="C842" s="134">
        <v>0.27083333333333331</v>
      </c>
      <c r="D842" s="134">
        <v>0.45833333333333331</v>
      </c>
      <c r="E842" s="53">
        <f t="shared" si="170"/>
        <v>4.5</v>
      </c>
      <c r="F842" s="51"/>
      <c r="G842" s="53">
        <f t="shared" si="171"/>
        <v>6.5</v>
      </c>
      <c r="H842" s="51"/>
      <c r="I842" s="51">
        <f t="shared" si="169"/>
        <v>6.5</v>
      </c>
    </row>
    <row r="843" spans="1:9" x14ac:dyDescent="0.25">
      <c r="A843" s="133">
        <v>45439</v>
      </c>
      <c r="B843" s="51" t="s">
        <v>19</v>
      </c>
      <c r="C843" s="134">
        <v>0.27083333333333331</v>
      </c>
      <c r="D843" s="134">
        <v>0.45833333333333331</v>
      </c>
      <c r="E843" s="53">
        <f t="shared" si="170"/>
        <v>4.5</v>
      </c>
      <c r="F843" s="51"/>
      <c r="G843" s="53">
        <f t="shared" si="171"/>
        <v>6.5</v>
      </c>
      <c r="H843" s="51"/>
      <c r="I843" s="51">
        <f t="shared" si="169"/>
        <v>6.5</v>
      </c>
    </row>
    <row r="844" spans="1:9" x14ac:dyDescent="0.25">
      <c r="A844" s="133">
        <v>45439</v>
      </c>
      <c r="B844" s="51" t="s">
        <v>19</v>
      </c>
      <c r="C844" s="134">
        <v>0.41666666666666669</v>
      </c>
      <c r="D844" s="134">
        <v>0.625</v>
      </c>
      <c r="E844" s="53">
        <f t="shared" si="170"/>
        <v>5</v>
      </c>
      <c r="F844" s="51"/>
      <c r="G844" s="53">
        <f t="shared" si="171"/>
        <v>7</v>
      </c>
      <c r="H844" s="51"/>
      <c r="I844" s="51">
        <f t="shared" si="169"/>
        <v>7</v>
      </c>
    </row>
    <row r="845" spans="1:9" x14ac:dyDescent="0.25">
      <c r="A845" s="133">
        <v>45439</v>
      </c>
      <c r="B845" s="51" t="s">
        <v>19</v>
      </c>
      <c r="C845" s="134">
        <v>0.41666666666666669</v>
      </c>
      <c r="D845" s="134">
        <v>0.625</v>
      </c>
      <c r="E845" s="53">
        <f t="shared" si="170"/>
        <v>5</v>
      </c>
      <c r="F845" s="51"/>
      <c r="G845" s="53">
        <f t="shared" si="171"/>
        <v>7</v>
      </c>
      <c r="H845" s="51"/>
      <c r="I845" s="51">
        <f t="shared" si="169"/>
        <v>7</v>
      </c>
    </row>
    <row r="846" spans="1:9" x14ac:dyDescent="0.25">
      <c r="A846" s="133">
        <v>45450</v>
      </c>
      <c r="B846" s="51" t="s">
        <v>19</v>
      </c>
      <c r="C846" s="134">
        <v>0.625</v>
      </c>
      <c r="D846" s="134">
        <v>0.83333333333333337</v>
      </c>
      <c r="E846" s="53">
        <f t="shared" si="170"/>
        <v>5.0000000000000009</v>
      </c>
      <c r="F846" s="51"/>
      <c r="G846" s="53">
        <f t="shared" si="171"/>
        <v>7.0000000000000009</v>
      </c>
      <c r="H846" s="51"/>
      <c r="I846" s="51">
        <f t="shared" si="169"/>
        <v>7.0000000000000009</v>
      </c>
    </row>
    <row r="847" spans="1:9" x14ac:dyDescent="0.25">
      <c r="A847" s="133">
        <v>45450</v>
      </c>
      <c r="B847" s="51" t="s">
        <v>19</v>
      </c>
      <c r="C847" s="134">
        <v>0.625</v>
      </c>
      <c r="D847" s="134">
        <v>0.83333333333333337</v>
      </c>
      <c r="E847" s="53">
        <f t="shared" si="170"/>
        <v>5.0000000000000009</v>
      </c>
      <c r="F847" s="51"/>
      <c r="G847" s="53">
        <f t="shared" si="171"/>
        <v>7.0000000000000009</v>
      </c>
      <c r="H847" s="51"/>
      <c r="I847" s="51">
        <f t="shared" si="169"/>
        <v>7.0000000000000009</v>
      </c>
    </row>
    <row r="848" spans="1:9" x14ac:dyDescent="0.25">
      <c r="A848" s="133">
        <v>45450</v>
      </c>
      <c r="B848" s="51" t="s">
        <v>19</v>
      </c>
      <c r="C848" s="134">
        <v>0.625</v>
      </c>
      <c r="D848" s="134">
        <v>0.83333333333333337</v>
      </c>
      <c r="E848" s="53">
        <f t="shared" si="170"/>
        <v>5.0000000000000009</v>
      </c>
      <c r="F848" s="51"/>
      <c r="G848" s="53">
        <f t="shared" si="171"/>
        <v>7.0000000000000009</v>
      </c>
      <c r="H848" s="51"/>
      <c r="I848" s="51">
        <f t="shared" si="169"/>
        <v>7.0000000000000009</v>
      </c>
    </row>
    <row r="849" spans="1:9" x14ac:dyDescent="0.25">
      <c r="A849" s="133">
        <v>45451</v>
      </c>
      <c r="B849" s="51" t="s">
        <v>19</v>
      </c>
      <c r="C849" s="134">
        <v>0.5</v>
      </c>
      <c r="D849" s="134">
        <v>0.66666666666666663</v>
      </c>
      <c r="E849" s="53">
        <f t="shared" si="170"/>
        <v>3.9999999999999991</v>
      </c>
      <c r="F849" s="51"/>
      <c r="G849" s="53">
        <f t="shared" si="171"/>
        <v>3.9999999999999991</v>
      </c>
      <c r="H849" s="51"/>
      <c r="I849" s="51">
        <f t="shared" si="169"/>
        <v>3.9999999999999991</v>
      </c>
    </row>
    <row r="850" spans="1:9" x14ac:dyDescent="0.25">
      <c r="A850" s="133">
        <v>45451</v>
      </c>
      <c r="B850" s="51" t="s">
        <v>19</v>
      </c>
      <c r="C850" s="134">
        <v>0.5</v>
      </c>
      <c r="D850" s="134">
        <v>0.66666666666666663</v>
      </c>
      <c r="E850" s="53">
        <f t="shared" si="170"/>
        <v>3.9999999999999991</v>
      </c>
      <c r="F850" s="51"/>
      <c r="G850" s="53">
        <f t="shared" si="171"/>
        <v>3.9999999999999991</v>
      </c>
      <c r="H850" s="51"/>
      <c r="I850" s="51">
        <f t="shared" si="169"/>
        <v>3.9999999999999991</v>
      </c>
    </row>
    <row r="851" spans="1:9" x14ac:dyDescent="0.25">
      <c r="A851" s="133">
        <v>45451</v>
      </c>
      <c r="B851" s="51" t="s">
        <v>19</v>
      </c>
      <c r="C851" s="134">
        <v>0.66666666666666663</v>
      </c>
      <c r="D851" s="134">
        <v>0.95833333333333337</v>
      </c>
      <c r="E851" s="53">
        <f t="shared" si="170"/>
        <v>6.5000000000000018</v>
      </c>
      <c r="F851" s="51">
        <v>0.5</v>
      </c>
      <c r="G851" s="53">
        <f t="shared" si="171"/>
        <v>6.5000000000000018</v>
      </c>
      <c r="H851" s="51"/>
      <c r="I851" s="51">
        <f t="shared" si="169"/>
        <v>6.5000000000000018</v>
      </c>
    </row>
    <row r="852" spans="1:9" x14ac:dyDescent="0.25">
      <c r="A852" s="133">
        <v>45451</v>
      </c>
      <c r="B852" s="51" t="s">
        <v>19</v>
      </c>
      <c r="C852" s="134">
        <v>0.66666666666666663</v>
      </c>
      <c r="D852" s="134">
        <v>0.95833333333333337</v>
      </c>
      <c r="E852" s="53">
        <f t="shared" si="170"/>
        <v>6.5000000000000018</v>
      </c>
      <c r="F852" s="51">
        <v>0.5</v>
      </c>
      <c r="G852" s="53">
        <f t="shared" si="171"/>
        <v>6.5000000000000018</v>
      </c>
      <c r="H852" s="51"/>
      <c r="I852" s="51">
        <f t="shared" si="169"/>
        <v>6.5000000000000018</v>
      </c>
    </row>
    <row r="853" spans="1:9" x14ac:dyDescent="0.25">
      <c r="A853" s="133">
        <v>45452</v>
      </c>
      <c r="B853" s="51" t="s">
        <v>19</v>
      </c>
      <c r="C853" s="134">
        <v>0.25</v>
      </c>
      <c r="D853" s="134">
        <v>0.54166666666666663</v>
      </c>
      <c r="E853" s="53">
        <f t="shared" si="170"/>
        <v>6.4999999999999991</v>
      </c>
      <c r="F853" s="51">
        <v>0.5</v>
      </c>
      <c r="G853" s="53">
        <f t="shared" si="171"/>
        <v>6.4999999999999991</v>
      </c>
      <c r="H853" s="51"/>
      <c r="I853" s="51">
        <f t="shared" si="169"/>
        <v>6.4999999999999991</v>
      </c>
    </row>
    <row r="854" spans="1:9" x14ac:dyDescent="0.25">
      <c r="A854" s="133">
        <v>45452</v>
      </c>
      <c r="B854" s="51" t="s">
        <v>19</v>
      </c>
      <c r="C854" s="134">
        <v>0.25</v>
      </c>
      <c r="D854" s="134">
        <v>0.54166666666666663</v>
      </c>
      <c r="E854" s="53">
        <f t="shared" si="170"/>
        <v>6.4999999999999991</v>
      </c>
      <c r="F854" s="51">
        <v>0.5</v>
      </c>
      <c r="G854" s="53">
        <f t="shared" si="171"/>
        <v>6.4999999999999991</v>
      </c>
      <c r="H854" s="51"/>
      <c r="I854" s="51">
        <f t="shared" si="169"/>
        <v>6.4999999999999991</v>
      </c>
    </row>
    <row r="855" spans="1:9" x14ac:dyDescent="0.25">
      <c r="A855" s="133">
        <v>45454</v>
      </c>
      <c r="B855" s="51" t="s">
        <v>19</v>
      </c>
      <c r="C855" s="134">
        <v>0.66666666666666663</v>
      </c>
      <c r="D855" s="134">
        <v>0.8125</v>
      </c>
      <c r="E855" s="53">
        <f t="shared" si="170"/>
        <v>3.5000000000000009</v>
      </c>
      <c r="F855" s="51"/>
      <c r="G855" s="53">
        <f t="shared" si="171"/>
        <v>5.5000000000000009</v>
      </c>
      <c r="H855" s="51"/>
      <c r="I855" s="51">
        <f t="shared" si="169"/>
        <v>5.5000000000000009</v>
      </c>
    </row>
    <row r="856" spans="1:9" x14ac:dyDescent="0.25">
      <c r="A856" s="133">
        <v>45457</v>
      </c>
      <c r="B856" s="51" t="s">
        <v>19</v>
      </c>
      <c r="C856" s="134">
        <v>0.45833333333333331</v>
      </c>
      <c r="D856" s="134">
        <v>0.70833333333333337</v>
      </c>
      <c r="E856" s="53">
        <f t="shared" si="170"/>
        <v>5.5000000000000018</v>
      </c>
      <c r="F856" s="51">
        <v>0.5</v>
      </c>
      <c r="G856" s="53">
        <f t="shared" si="171"/>
        <v>7.5000000000000018</v>
      </c>
      <c r="H856" s="51"/>
      <c r="I856" s="51">
        <f t="shared" si="169"/>
        <v>7.5000000000000018</v>
      </c>
    </row>
    <row r="857" spans="1:9" x14ac:dyDescent="0.25">
      <c r="A857" s="133">
        <v>45457</v>
      </c>
      <c r="B857" s="51" t="s">
        <v>19</v>
      </c>
      <c r="C857" s="134">
        <v>0.47916666666666669</v>
      </c>
      <c r="D857" s="134">
        <v>0.64583333333333337</v>
      </c>
      <c r="E857" s="53">
        <f t="shared" si="170"/>
        <v>4</v>
      </c>
      <c r="F857" s="51"/>
      <c r="G857" s="53">
        <f t="shared" si="171"/>
        <v>6</v>
      </c>
      <c r="H857" s="51"/>
      <c r="I857" s="51">
        <f t="shared" si="169"/>
        <v>6</v>
      </c>
    </row>
    <row r="858" spans="1:9" x14ac:dyDescent="0.25">
      <c r="A858" s="133">
        <v>45457</v>
      </c>
      <c r="B858" s="51" t="s">
        <v>19</v>
      </c>
      <c r="C858" s="134">
        <v>0.70833333333333337</v>
      </c>
      <c r="D858" s="134">
        <v>0.97916666666666663</v>
      </c>
      <c r="E858" s="53">
        <f t="shared" si="170"/>
        <v>5.9999999999999982</v>
      </c>
      <c r="F858" s="51">
        <v>0.5</v>
      </c>
      <c r="G858" s="53">
        <f t="shared" si="171"/>
        <v>7.9999999999999982</v>
      </c>
      <c r="H858" s="51"/>
      <c r="I858" s="51">
        <f t="shared" si="169"/>
        <v>7.9999999999999982</v>
      </c>
    </row>
    <row r="859" spans="1:9" x14ac:dyDescent="0.25">
      <c r="A859" s="133">
        <v>45458</v>
      </c>
      <c r="B859" s="51" t="s">
        <v>19</v>
      </c>
      <c r="C859" s="134">
        <v>0.375</v>
      </c>
      <c r="D859" s="134">
        <v>0.58333333333333337</v>
      </c>
      <c r="E859" s="53">
        <f t="shared" si="170"/>
        <v>5.0000000000000009</v>
      </c>
      <c r="F859" s="51"/>
      <c r="G859" s="53">
        <f t="shared" si="171"/>
        <v>5.0000000000000009</v>
      </c>
      <c r="H859" s="51"/>
      <c r="I859" s="51">
        <f t="shared" si="169"/>
        <v>5.0000000000000009</v>
      </c>
    </row>
    <row r="860" spans="1:9" x14ac:dyDescent="0.25">
      <c r="A860" s="133">
        <v>45458</v>
      </c>
      <c r="B860" s="51" t="s">
        <v>19</v>
      </c>
      <c r="C860" s="134">
        <v>0.375</v>
      </c>
      <c r="D860" s="134">
        <v>0.58333333333333337</v>
      </c>
      <c r="E860" s="53">
        <f t="shared" si="170"/>
        <v>5.0000000000000009</v>
      </c>
      <c r="F860" s="51"/>
      <c r="G860" s="53">
        <f t="shared" si="171"/>
        <v>5.0000000000000009</v>
      </c>
      <c r="H860" s="51"/>
      <c r="I860" s="51">
        <f t="shared" si="169"/>
        <v>5.0000000000000009</v>
      </c>
    </row>
    <row r="861" spans="1:9" x14ac:dyDescent="0.25">
      <c r="A861" s="133">
        <v>45470</v>
      </c>
      <c r="B861" s="51" t="s">
        <v>19</v>
      </c>
      <c r="C861" s="134">
        <v>0.625</v>
      </c>
      <c r="D861" s="134">
        <v>0.85416666666666663</v>
      </c>
      <c r="E861" s="53">
        <f t="shared" si="170"/>
        <v>5.4999999999999991</v>
      </c>
      <c r="F861" s="51"/>
      <c r="G861" s="53">
        <f t="shared" si="171"/>
        <v>7.4999999999999991</v>
      </c>
      <c r="H861" s="51"/>
      <c r="I861" s="51">
        <f t="shared" si="169"/>
        <v>7.4999999999999991</v>
      </c>
    </row>
    <row r="862" spans="1:9" x14ac:dyDescent="0.25">
      <c r="A862" s="133">
        <v>45470</v>
      </c>
      <c r="B862" s="51" t="s">
        <v>19</v>
      </c>
      <c r="C862" s="134">
        <v>0.625</v>
      </c>
      <c r="D862" s="134">
        <v>0.85416666666666663</v>
      </c>
      <c r="E862" s="53">
        <f t="shared" si="170"/>
        <v>5.4999999999999991</v>
      </c>
      <c r="F862" s="51"/>
      <c r="G862" s="53">
        <f t="shared" si="171"/>
        <v>7.4999999999999991</v>
      </c>
      <c r="H862" s="51"/>
      <c r="I862" s="51">
        <f t="shared" si="169"/>
        <v>7.4999999999999991</v>
      </c>
    </row>
    <row r="863" spans="1:9" x14ac:dyDescent="0.25">
      <c r="A863" s="133">
        <v>45471</v>
      </c>
      <c r="B863" s="51" t="s">
        <v>19</v>
      </c>
      <c r="C863" s="134">
        <v>0.77083333333333337</v>
      </c>
      <c r="D863" s="134">
        <v>0</v>
      </c>
      <c r="E863" s="53">
        <f t="shared" si="170"/>
        <v>5.4999999999999991</v>
      </c>
      <c r="F863" s="51"/>
      <c r="G863" s="53">
        <f t="shared" si="171"/>
        <v>7.4999999999999991</v>
      </c>
      <c r="H863" s="51"/>
      <c r="I863" s="51">
        <f t="shared" si="169"/>
        <v>7.4999999999999991</v>
      </c>
    </row>
    <row r="864" spans="1:9" x14ac:dyDescent="0.25">
      <c r="A864" s="133">
        <v>45471</v>
      </c>
      <c r="B864" s="51" t="s">
        <v>19</v>
      </c>
      <c r="C864" s="134">
        <v>0.8125</v>
      </c>
      <c r="D864" s="134">
        <v>0.95833333333333337</v>
      </c>
      <c r="E864" s="53">
        <f t="shared" si="170"/>
        <v>3.5000000000000009</v>
      </c>
      <c r="F864" s="51"/>
      <c r="G864" s="53">
        <f t="shared" si="171"/>
        <v>5.5000000000000009</v>
      </c>
      <c r="H864" s="51"/>
      <c r="I864" s="51">
        <f t="shared" si="169"/>
        <v>5.5000000000000009</v>
      </c>
    </row>
    <row r="865" spans="1:9" x14ac:dyDescent="0.25">
      <c r="A865" s="133">
        <v>45474</v>
      </c>
      <c r="B865" s="51" t="s">
        <v>19</v>
      </c>
      <c r="C865" s="134">
        <v>0.41666666666666669</v>
      </c>
      <c r="D865" s="134">
        <v>0.66666666666666663</v>
      </c>
      <c r="E865" s="53">
        <f t="shared" si="170"/>
        <v>5.4999999999999982</v>
      </c>
      <c r="F865" s="51">
        <v>0.5</v>
      </c>
      <c r="G865" s="53">
        <f t="shared" si="171"/>
        <v>7.4999999999999982</v>
      </c>
      <c r="H865" s="51"/>
      <c r="I865" s="51">
        <f t="shared" si="169"/>
        <v>7.4999999999999982</v>
      </c>
    </row>
    <row r="866" spans="1:9" x14ac:dyDescent="0.25">
      <c r="A866" s="133">
        <v>45474</v>
      </c>
      <c r="B866" s="51" t="s">
        <v>19</v>
      </c>
      <c r="C866" s="134">
        <v>0.41666666666666669</v>
      </c>
      <c r="D866" s="134">
        <v>0.66666666666666663</v>
      </c>
      <c r="E866" s="53">
        <f t="shared" si="170"/>
        <v>5.4999999999999982</v>
      </c>
      <c r="F866" s="51">
        <v>0.5</v>
      </c>
      <c r="G866" s="53">
        <f t="shared" si="171"/>
        <v>7.4999999999999982</v>
      </c>
      <c r="H866" s="51"/>
      <c r="I866" s="51">
        <f t="shared" si="169"/>
        <v>7.4999999999999982</v>
      </c>
    </row>
    <row r="867" spans="1:9" x14ac:dyDescent="0.25">
      <c r="A867" s="133">
        <v>45475</v>
      </c>
      <c r="B867" s="51" t="s">
        <v>19</v>
      </c>
      <c r="C867" s="134">
        <v>0.41666666666666669</v>
      </c>
      <c r="D867" s="134">
        <v>0.66666666666666663</v>
      </c>
      <c r="E867" s="53">
        <f t="shared" si="170"/>
        <v>5.4999999999999982</v>
      </c>
      <c r="F867" s="51">
        <v>0.5</v>
      </c>
      <c r="G867" s="53">
        <f t="shared" si="171"/>
        <v>7.4999999999999982</v>
      </c>
      <c r="H867" s="51"/>
      <c r="I867" s="51">
        <f t="shared" si="169"/>
        <v>7.4999999999999982</v>
      </c>
    </row>
    <row r="868" spans="1:9" x14ac:dyDescent="0.25">
      <c r="A868" s="133">
        <v>45475</v>
      </c>
      <c r="B868" s="51" t="s">
        <v>19</v>
      </c>
      <c r="C868" s="134">
        <v>0.41666666666666669</v>
      </c>
      <c r="D868" s="134">
        <v>0.66666666666666663</v>
      </c>
      <c r="E868" s="53">
        <f t="shared" si="170"/>
        <v>5.4999999999999982</v>
      </c>
      <c r="F868" s="51">
        <v>0.5</v>
      </c>
      <c r="G868" s="53">
        <f t="shared" si="171"/>
        <v>7.4999999999999982</v>
      </c>
      <c r="H868" s="51"/>
      <c r="I868" s="51">
        <f t="shared" si="169"/>
        <v>7.4999999999999982</v>
      </c>
    </row>
    <row r="869" spans="1:9" x14ac:dyDescent="0.25">
      <c r="A869" s="133">
        <v>45476</v>
      </c>
      <c r="B869" s="51" t="s">
        <v>19</v>
      </c>
      <c r="C869" s="134">
        <v>0.41666666666666669</v>
      </c>
      <c r="D869" s="134">
        <v>0.66666666666666663</v>
      </c>
      <c r="E869" s="53">
        <f t="shared" si="170"/>
        <v>5.4999999999999982</v>
      </c>
      <c r="F869" s="51">
        <v>0.5</v>
      </c>
      <c r="G869" s="53">
        <f t="shared" si="171"/>
        <v>7.4999999999999982</v>
      </c>
      <c r="H869" s="51"/>
      <c r="I869" s="51">
        <f t="shared" si="169"/>
        <v>7.4999999999999982</v>
      </c>
    </row>
    <row r="870" spans="1:9" x14ac:dyDescent="0.25">
      <c r="A870" s="133">
        <v>45476</v>
      </c>
      <c r="B870" s="51" t="s">
        <v>19</v>
      </c>
      <c r="C870" s="134">
        <v>0.41666666666666669</v>
      </c>
      <c r="D870" s="134">
        <v>0.66666666666666663</v>
      </c>
      <c r="E870" s="53">
        <f t="shared" si="170"/>
        <v>5.4999999999999982</v>
      </c>
      <c r="F870" s="51">
        <v>0.5</v>
      </c>
      <c r="G870" s="53">
        <f t="shared" si="171"/>
        <v>7.4999999999999982</v>
      </c>
      <c r="H870" s="51"/>
      <c r="I870" s="51">
        <f t="shared" si="169"/>
        <v>7.4999999999999982</v>
      </c>
    </row>
    <row r="871" spans="1:9" x14ac:dyDescent="0.25">
      <c r="A871" s="133">
        <v>45476</v>
      </c>
      <c r="B871" s="51" t="s">
        <v>19</v>
      </c>
      <c r="C871" s="134">
        <v>0.41666666666666669</v>
      </c>
      <c r="D871" s="134">
        <v>0.66666666666666663</v>
      </c>
      <c r="E871" s="53">
        <f t="shared" si="170"/>
        <v>5.4999999999999982</v>
      </c>
      <c r="F871" s="51">
        <v>0.5</v>
      </c>
      <c r="G871" s="53">
        <f t="shared" si="171"/>
        <v>7.4999999999999982</v>
      </c>
      <c r="H871" s="51"/>
      <c r="I871" s="51">
        <f t="shared" si="169"/>
        <v>7.4999999999999982</v>
      </c>
    </row>
    <row r="872" spans="1:9" x14ac:dyDescent="0.25">
      <c r="A872" s="133">
        <v>45476</v>
      </c>
      <c r="B872" s="51" t="s">
        <v>19</v>
      </c>
      <c r="C872" s="134">
        <v>0.41666666666666669</v>
      </c>
      <c r="D872" s="134">
        <v>0.58333333333333337</v>
      </c>
      <c r="E872" s="53">
        <f t="shared" si="170"/>
        <v>4</v>
      </c>
      <c r="F872" s="51"/>
      <c r="G872" s="53">
        <f t="shared" si="171"/>
        <v>6</v>
      </c>
      <c r="H872" s="51"/>
      <c r="I872" s="51">
        <f t="shared" si="169"/>
        <v>6</v>
      </c>
    </row>
    <row r="873" spans="1:9" x14ac:dyDescent="0.25">
      <c r="A873" s="133">
        <v>45477</v>
      </c>
      <c r="B873" s="51" t="s">
        <v>19</v>
      </c>
      <c r="C873" s="134">
        <v>0.33333333333333331</v>
      </c>
      <c r="D873" s="134">
        <v>0.83333333333333337</v>
      </c>
      <c r="E873" s="53">
        <f t="shared" si="170"/>
        <v>11</v>
      </c>
      <c r="F873" s="51">
        <v>1</v>
      </c>
      <c r="G873" s="53">
        <f t="shared" si="171"/>
        <v>13</v>
      </c>
      <c r="H873" s="51"/>
      <c r="I873" s="51">
        <f t="shared" si="169"/>
        <v>13</v>
      </c>
    </row>
    <row r="874" spans="1:9" x14ac:dyDescent="0.25">
      <c r="A874" s="133">
        <v>45477</v>
      </c>
      <c r="B874" s="51" t="s">
        <v>19</v>
      </c>
      <c r="C874" s="134">
        <v>0.33333333333333331</v>
      </c>
      <c r="D874" s="134">
        <v>0.66666666666666663</v>
      </c>
      <c r="E874" s="53">
        <f t="shared" si="170"/>
        <v>7.5</v>
      </c>
      <c r="F874" s="51">
        <v>0.5</v>
      </c>
      <c r="G874" s="53">
        <f t="shared" si="171"/>
        <v>9.5</v>
      </c>
      <c r="H874" s="51"/>
      <c r="I874" s="51">
        <f t="shared" si="169"/>
        <v>9.5</v>
      </c>
    </row>
    <row r="875" spans="1:9" x14ac:dyDescent="0.25">
      <c r="A875" s="133">
        <v>45477</v>
      </c>
      <c r="B875" s="51" t="s">
        <v>19</v>
      </c>
      <c r="C875" s="134">
        <v>0.33333333333333331</v>
      </c>
      <c r="D875" s="134">
        <v>0</v>
      </c>
      <c r="E875" s="53">
        <f t="shared" si="170"/>
        <v>15</v>
      </c>
      <c r="F875" s="51">
        <v>1</v>
      </c>
      <c r="G875" s="53">
        <f t="shared" si="171"/>
        <v>17</v>
      </c>
      <c r="H875" s="51"/>
      <c r="I875" s="51">
        <f t="shared" si="169"/>
        <v>17</v>
      </c>
    </row>
    <row r="876" spans="1:9" x14ac:dyDescent="0.25">
      <c r="A876" s="133">
        <v>45477</v>
      </c>
      <c r="B876" s="51" t="s">
        <v>19</v>
      </c>
      <c r="C876" s="134">
        <v>0.33333333333333331</v>
      </c>
      <c r="D876" s="134">
        <v>0</v>
      </c>
      <c r="E876" s="53">
        <f t="shared" si="170"/>
        <v>15</v>
      </c>
      <c r="F876" s="51">
        <v>1</v>
      </c>
      <c r="G876" s="53">
        <f t="shared" si="171"/>
        <v>17</v>
      </c>
      <c r="H876" s="51"/>
      <c r="I876" s="51">
        <f t="shared" si="169"/>
        <v>17</v>
      </c>
    </row>
    <row r="877" spans="1:9" x14ac:dyDescent="0.25">
      <c r="A877" s="133">
        <v>45477</v>
      </c>
      <c r="B877" s="51" t="s">
        <v>19</v>
      </c>
      <c r="C877" s="134">
        <v>0.33333333333333331</v>
      </c>
      <c r="D877" s="134">
        <v>0</v>
      </c>
      <c r="E877" s="53">
        <f t="shared" si="170"/>
        <v>15</v>
      </c>
      <c r="F877" s="51">
        <v>1</v>
      </c>
      <c r="G877" s="53">
        <f t="shared" si="171"/>
        <v>17</v>
      </c>
      <c r="H877" s="51"/>
      <c r="I877" s="51">
        <f t="shared" si="169"/>
        <v>17</v>
      </c>
    </row>
    <row r="878" spans="1:9" x14ac:dyDescent="0.25">
      <c r="A878" s="133">
        <v>45477</v>
      </c>
      <c r="B878" s="51" t="s">
        <v>19</v>
      </c>
      <c r="C878" s="134">
        <v>0.33333333333333331</v>
      </c>
      <c r="D878" s="134">
        <v>0</v>
      </c>
      <c r="E878" s="53">
        <f t="shared" si="170"/>
        <v>15</v>
      </c>
      <c r="F878" s="51">
        <v>1</v>
      </c>
      <c r="G878" s="53">
        <f t="shared" si="171"/>
        <v>17</v>
      </c>
      <c r="H878" s="51"/>
      <c r="I878" s="51">
        <f t="shared" si="169"/>
        <v>17</v>
      </c>
    </row>
    <row r="879" spans="1:9" x14ac:dyDescent="0.25">
      <c r="A879" s="133">
        <v>45477</v>
      </c>
      <c r="B879" s="51" t="s">
        <v>19</v>
      </c>
      <c r="C879" s="134">
        <v>0.33333333333333331</v>
      </c>
      <c r="D879" s="134">
        <v>0</v>
      </c>
      <c r="E879" s="53">
        <f t="shared" si="170"/>
        <v>15</v>
      </c>
      <c r="F879" s="51">
        <v>1</v>
      </c>
      <c r="G879" s="53">
        <f t="shared" si="171"/>
        <v>17</v>
      </c>
      <c r="H879" s="51"/>
      <c r="I879" s="51">
        <f t="shared" si="169"/>
        <v>17</v>
      </c>
    </row>
    <row r="880" spans="1:9" x14ac:dyDescent="0.25">
      <c r="A880" s="133">
        <v>45477</v>
      </c>
      <c r="B880" s="51" t="s">
        <v>19</v>
      </c>
      <c r="C880" s="134">
        <v>0.33333333333333331</v>
      </c>
      <c r="D880" s="134">
        <v>0</v>
      </c>
      <c r="E880" s="53">
        <f t="shared" si="170"/>
        <v>15</v>
      </c>
      <c r="F880" s="51">
        <v>1</v>
      </c>
      <c r="G880" s="53">
        <f t="shared" si="171"/>
        <v>17</v>
      </c>
      <c r="H880" s="51"/>
      <c r="I880" s="51">
        <f t="shared" si="169"/>
        <v>17</v>
      </c>
    </row>
    <row r="881" spans="1:9" x14ac:dyDescent="0.25">
      <c r="A881" s="133">
        <v>45477</v>
      </c>
      <c r="B881" s="51" t="s">
        <v>19</v>
      </c>
      <c r="C881" s="134">
        <v>0.33333333333333331</v>
      </c>
      <c r="D881" s="134">
        <v>0</v>
      </c>
      <c r="E881" s="53">
        <f t="shared" si="170"/>
        <v>15</v>
      </c>
      <c r="F881" s="51">
        <v>1</v>
      </c>
      <c r="G881" s="53">
        <f t="shared" si="171"/>
        <v>17</v>
      </c>
      <c r="H881" s="51"/>
      <c r="I881" s="51">
        <f t="shared" si="169"/>
        <v>17</v>
      </c>
    </row>
    <row r="882" spans="1:9" x14ac:dyDescent="0.25">
      <c r="A882" s="133">
        <v>45477</v>
      </c>
      <c r="B882" s="51" t="s">
        <v>19</v>
      </c>
      <c r="C882" s="134">
        <v>0.33333333333333331</v>
      </c>
      <c r="D882" s="134">
        <v>0</v>
      </c>
      <c r="E882" s="53">
        <f t="shared" si="170"/>
        <v>15</v>
      </c>
      <c r="F882" s="51">
        <v>1</v>
      </c>
      <c r="G882" s="53">
        <f t="shared" si="171"/>
        <v>17</v>
      </c>
      <c r="H882" s="51"/>
      <c r="I882" s="51">
        <f t="shared" si="169"/>
        <v>17</v>
      </c>
    </row>
    <row r="883" spans="1:9" x14ac:dyDescent="0.25">
      <c r="A883" s="133">
        <v>45477</v>
      </c>
      <c r="B883" s="51" t="s">
        <v>19</v>
      </c>
      <c r="C883" s="134">
        <v>0.33333333333333331</v>
      </c>
      <c r="D883" s="134">
        <v>0</v>
      </c>
      <c r="E883" s="53">
        <f t="shared" si="170"/>
        <v>15</v>
      </c>
      <c r="F883" s="51">
        <v>1</v>
      </c>
      <c r="G883" s="53">
        <f t="shared" si="171"/>
        <v>17</v>
      </c>
      <c r="H883" s="51"/>
      <c r="I883" s="51">
        <f t="shared" si="169"/>
        <v>17</v>
      </c>
    </row>
    <row r="884" spans="1:9" x14ac:dyDescent="0.25">
      <c r="A884" s="133">
        <v>45477</v>
      </c>
      <c r="B884" s="51" t="s">
        <v>19</v>
      </c>
      <c r="C884" s="134">
        <v>0.33333333333333331</v>
      </c>
      <c r="D884" s="134">
        <v>0</v>
      </c>
      <c r="E884" s="53">
        <f t="shared" si="170"/>
        <v>15</v>
      </c>
      <c r="F884" s="51">
        <v>1</v>
      </c>
      <c r="G884" s="53">
        <f t="shared" si="171"/>
        <v>17</v>
      </c>
      <c r="H884" s="51"/>
      <c r="I884" s="51">
        <f t="shared" si="169"/>
        <v>17</v>
      </c>
    </row>
    <row r="885" spans="1:9" x14ac:dyDescent="0.25">
      <c r="A885" s="133">
        <v>45477</v>
      </c>
      <c r="B885" s="51" t="s">
        <v>19</v>
      </c>
      <c r="C885" s="134">
        <v>0.33333333333333331</v>
      </c>
      <c r="D885" s="134">
        <v>0</v>
      </c>
      <c r="E885" s="53">
        <f t="shared" si="170"/>
        <v>15</v>
      </c>
      <c r="F885" s="51">
        <v>1</v>
      </c>
      <c r="G885" s="53">
        <f t="shared" si="171"/>
        <v>17</v>
      </c>
      <c r="H885" s="51"/>
      <c r="I885" s="51">
        <f t="shared" si="169"/>
        <v>17</v>
      </c>
    </row>
    <row r="886" spans="1:9" x14ac:dyDescent="0.25">
      <c r="A886" s="133">
        <v>45478</v>
      </c>
      <c r="B886" s="51" t="s">
        <v>19</v>
      </c>
      <c r="C886" s="134">
        <v>0.41666666666666669</v>
      </c>
      <c r="D886" s="134">
        <v>0.66666666666666663</v>
      </c>
      <c r="E886" s="53">
        <f t="shared" si="170"/>
        <v>5.4999999999999982</v>
      </c>
      <c r="F886" s="51">
        <v>0.5</v>
      </c>
      <c r="G886" s="53">
        <f t="shared" si="171"/>
        <v>7.4999999999999982</v>
      </c>
      <c r="H886" s="51"/>
      <c r="I886" s="51">
        <f t="shared" si="169"/>
        <v>7.4999999999999982</v>
      </c>
    </row>
    <row r="887" spans="1:9" x14ac:dyDescent="0.25">
      <c r="A887" s="133">
        <v>45478</v>
      </c>
      <c r="B887" s="51" t="s">
        <v>19</v>
      </c>
      <c r="C887" s="134">
        <v>0.41666666666666669</v>
      </c>
      <c r="D887" s="134">
        <v>0.58333333333333337</v>
      </c>
      <c r="E887" s="53">
        <f t="shared" si="170"/>
        <v>4</v>
      </c>
      <c r="F887" s="51"/>
      <c r="G887" s="53">
        <f t="shared" si="171"/>
        <v>6</v>
      </c>
      <c r="H887" s="51"/>
      <c r="I887" s="51">
        <f t="shared" si="169"/>
        <v>6</v>
      </c>
    </row>
    <row r="888" spans="1:9" x14ac:dyDescent="0.25">
      <c r="A888" s="133">
        <v>45478</v>
      </c>
      <c r="B888" s="51" t="s">
        <v>19</v>
      </c>
      <c r="C888" s="134">
        <v>0.41666666666666669</v>
      </c>
      <c r="D888" s="134">
        <v>0.58333333333333337</v>
      </c>
      <c r="E888" s="53">
        <f t="shared" si="170"/>
        <v>4</v>
      </c>
      <c r="F888" s="51"/>
      <c r="G888" s="53">
        <f t="shared" si="171"/>
        <v>6</v>
      </c>
      <c r="H888" s="51"/>
      <c r="I888" s="51">
        <f t="shared" si="169"/>
        <v>6</v>
      </c>
    </row>
    <row r="889" spans="1:9" x14ac:dyDescent="0.25">
      <c r="A889" s="133">
        <v>45485</v>
      </c>
      <c r="B889" s="51" t="s">
        <v>19</v>
      </c>
      <c r="C889" s="134">
        <v>0.72916666666666663</v>
      </c>
      <c r="D889" s="134">
        <v>0</v>
      </c>
      <c r="E889" s="53">
        <f t="shared" si="170"/>
        <v>6.0000000000000009</v>
      </c>
      <c r="F889" s="51">
        <v>0.5</v>
      </c>
      <c r="G889" s="53">
        <f t="shared" si="171"/>
        <v>8</v>
      </c>
      <c r="H889" s="51"/>
      <c r="I889" s="51">
        <f t="shared" si="169"/>
        <v>8</v>
      </c>
    </row>
    <row r="890" spans="1:9" x14ac:dyDescent="0.25">
      <c r="A890" s="133">
        <v>45485</v>
      </c>
      <c r="B890" s="51" t="s">
        <v>19</v>
      </c>
      <c r="C890" s="134">
        <v>0.72916666666666663</v>
      </c>
      <c r="D890" s="134">
        <v>0</v>
      </c>
      <c r="E890" s="53">
        <f t="shared" si="170"/>
        <v>6.0000000000000009</v>
      </c>
      <c r="F890" s="51">
        <v>0.5</v>
      </c>
      <c r="G890" s="53">
        <f t="shared" si="171"/>
        <v>8</v>
      </c>
      <c r="H890" s="51"/>
      <c r="I890" s="51">
        <f t="shared" si="169"/>
        <v>8</v>
      </c>
    </row>
    <row r="891" spans="1:9" x14ac:dyDescent="0.25">
      <c r="A891" s="133">
        <v>45492</v>
      </c>
      <c r="B891" s="51" t="s">
        <v>19</v>
      </c>
      <c r="C891" s="134">
        <v>0.79166666666666663</v>
      </c>
      <c r="D891" s="134">
        <v>0.95833333333333337</v>
      </c>
      <c r="E891" s="53">
        <f t="shared" si="170"/>
        <v>4.0000000000000018</v>
      </c>
      <c r="F891" s="51"/>
      <c r="G891" s="53">
        <f t="shared" si="171"/>
        <v>6.0000000000000018</v>
      </c>
      <c r="H891" s="51"/>
      <c r="I891" s="51">
        <f t="shared" si="169"/>
        <v>6.0000000000000018</v>
      </c>
    </row>
    <row r="892" spans="1:9" x14ac:dyDescent="0.25">
      <c r="A892" s="133">
        <v>45492</v>
      </c>
      <c r="B892" s="51" t="s">
        <v>19</v>
      </c>
      <c r="C892" s="134">
        <v>0.70833333333333337</v>
      </c>
      <c r="D892" s="134">
        <v>0.95833333333333337</v>
      </c>
      <c r="E892" s="53">
        <f t="shared" si="170"/>
        <v>5.5</v>
      </c>
      <c r="F892" s="51">
        <v>0.5</v>
      </c>
      <c r="G892" s="53">
        <f t="shared" si="171"/>
        <v>7.5</v>
      </c>
      <c r="H892" s="51"/>
      <c r="I892" s="51">
        <f t="shared" si="169"/>
        <v>7.5</v>
      </c>
    </row>
    <row r="893" spans="1:9" x14ac:dyDescent="0.25">
      <c r="A893" s="133">
        <v>45498</v>
      </c>
      <c r="B893" s="51" t="s">
        <v>19</v>
      </c>
      <c r="C893" s="134">
        <v>0.41666666666666669</v>
      </c>
      <c r="D893" s="134">
        <v>0.66666666666666663</v>
      </c>
      <c r="E893" s="53">
        <f t="shared" si="170"/>
        <v>5.4999999999999982</v>
      </c>
      <c r="F893" s="51">
        <v>0.5</v>
      </c>
      <c r="G893" s="53">
        <f t="shared" si="171"/>
        <v>7.4999999999999982</v>
      </c>
      <c r="H893" s="51"/>
      <c r="I893" s="51">
        <f t="shared" si="169"/>
        <v>7.4999999999999982</v>
      </c>
    </row>
    <row r="894" spans="1:9" x14ac:dyDescent="0.25">
      <c r="A894" s="133">
        <v>45498</v>
      </c>
      <c r="B894" s="51" t="s">
        <v>19</v>
      </c>
      <c r="C894" s="134">
        <v>0.41666666666666669</v>
      </c>
      <c r="D894" s="134">
        <v>0.66666666666666663</v>
      </c>
      <c r="E894" s="53">
        <f t="shared" si="170"/>
        <v>5.4999999999999982</v>
      </c>
      <c r="F894" s="51">
        <v>0.5</v>
      </c>
      <c r="G894" s="53">
        <f t="shared" si="171"/>
        <v>7.4999999999999982</v>
      </c>
      <c r="H894" s="51"/>
      <c r="I894" s="51">
        <f t="shared" si="169"/>
        <v>7.4999999999999982</v>
      </c>
    </row>
    <row r="895" spans="1:9" x14ac:dyDescent="0.25">
      <c r="A895" s="133">
        <v>45498</v>
      </c>
      <c r="B895" s="51" t="s">
        <v>19</v>
      </c>
      <c r="C895" s="134">
        <v>0.41666666666666669</v>
      </c>
      <c r="D895" s="134">
        <v>0.66666666666666663</v>
      </c>
      <c r="E895" s="53">
        <f t="shared" si="170"/>
        <v>5.4999999999999982</v>
      </c>
      <c r="F895" s="51">
        <v>0.5</v>
      </c>
      <c r="G895" s="53">
        <f t="shared" si="171"/>
        <v>7.4999999999999982</v>
      </c>
      <c r="H895" s="51"/>
      <c r="I895" s="51">
        <f t="shared" si="169"/>
        <v>7.4999999999999982</v>
      </c>
    </row>
    <row r="896" spans="1:9" x14ac:dyDescent="0.25">
      <c r="A896" s="133">
        <v>45498</v>
      </c>
      <c r="B896" s="51" t="s">
        <v>19</v>
      </c>
      <c r="C896" s="134">
        <v>0.41666666666666669</v>
      </c>
      <c r="D896" s="134">
        <v>0.66666666666666663</v>
      </c>
      <c r="E896" s="53">
        <f t="shared" si="170"/>
        <v>5.4999999999999982</v>
      </c>
      <c r="F896" s="51">
        <v>0.5</v>
      </c>
      <c r="G896" s="53">
        <f t="shared" si="171"/>
        <v>7.4999999999999982</v>
      </c>
      <c r="H896" s="51"/>
      <c r="I896" s="51">
        <f t="shared" si="169"/>
        <v>7.4999999999999982</v>
      </c>
    </row>
    <row r="897" spans="1:9" x14ac:dyDescent="0.25">
      <c r="A897" s="133">
        <v>45499</v>
      </c>
      <c r="B897" s="51" t="s">
        <v>19</v>
      </c>
      <c r="C897" s="134">
        <v>0.75</v>
      </c>
      <c r="D897" s="134">
        <v>0</v>
      </c>
      <c r="E897" s="53">
        <f t="shared" si="170"/>
        <v>5.5</v>
      </c>
      <c r="F897" s="51">
        <v>0.5</v>
      </c>
      <c r="G897" s="53">
        <f t="shared" si="171"/>
        <v>7.5</v>
      </c>
      <c r="H897" s="51"/>
      <c r="I897" s="51">
        <f t="shared" si="169"/>
        <v>7.5</v>
      </c>
    </row>
    <row r="898" spans="1:9" x14ac:dyDescent="0.25">
      <c r="A898" s="133">
        <v>45499</v>
      </c>
      <c r="B898" s="51" t="s">
        <v>19</v>
      </c>
      <c r="C898" s="134">
        <v>0.75</v>
      </c>
      <c r="D898" s="134">
        <v>0</v>
      </c>
      <c r="E898" s="53">
        <f t="shared" si="170"/>
        <v>5.5</v>
      </c>
      <c r="F898" s="51">
        <v>0.5</v>
      </c>
      <c r="G898" s="53">
        <f t="shared" si="171"/>
        <v>7.5</v>
      </c>
      <c r="H898" s="51"/>
      <c r="I898" s="51">
        <f t="shared" ref="I898:I961" si="172">IF(G898&lt;&gt;"",G898,H898)</f>
        <v>7.5</v>
      </c>
    </row>
    <row r="899" spans="1:9" x14ac:dyDescent="0.25">
      <c r="A899" s="133">
        <v>45499</v>
      </c>
      <c r="B899" s="51" t="s">
        <v>19</v>
      </c>
      <c r="C899" s="134">
        <v>0.75</v>
      </c>
      <c r="D899" s="134">
        <v>0</v>
      </c>
      <c r="E899" s="53">
        <f t="shared" ref="E899:E962" si="173">MOD((D899-C899),1) *24 - F899</f>
        <v>5.5</v>
      </c>
      <c r="F899" s="51">
        <v>0.5</v>
      </c>
      <c r="G899" s="53">
        <f t="shared" ref="G899:G962" si="174">IF(WEEKDAY(A899, 2)&lt;6, E899+2, E899)</f>
        <v>7.5</v>
      </c>
      <c r="H899" s="51"/>
      <c r="I899" s="51">
        <f t="shared" si="172"/>
        <v>7.5</v>
      </c>
    </row>
    <row r="900" spans="1:9" x14ac:dyDescent="0.25">
      <c r="A900" s="133">
        <v>45499</v>
      </c>
      <c r="B900" s="51" t="s">
        <v>19</v>
      </c>
      <c r="C900" s="134">
        <v>0.75</v>
      </c>
      <c r="D900" s="134">
        <v>0</v>
      </c>
      <c r="E900" s="53">
        <f t="shared" si="173"/>
        <v>5.5</v>
      </c>
      <c r="F900" s="51">
        <v>0.5</v>
      </c>
      <c r="G900" s="53">
        <f t="shared" si="174"/>
        <v>7.5</v>
      </c>
      <c r="H900" s="51"/>
      <c r="I900" s="51">
        <f t="shared" si="172"/>
        <v>7.5</v>
      </c>
    </row>
    <row r="901" spans="1:9" x14ac:dyDescent="0.25">
      <c r="A901" s="133">
        <v>45499</v>
      </c>
      <c r="B901" s="51" t="s">
        <v>19</v>
      </c>
      <c r="C901" s="134">
        <v>0.625</v>
      </c>
      <c r="D901" s="134">
        <v>0.72916666666666663</v>
      </c>
      <c r="E901" s="53">
        <f t="shared" si="173"/>
        <v>2.4999999999999991</v>
      </c>
      <c r="F901" s="51"/>
      <c r="G901" s="53">
        <f t="shared" si="174"/>
        <v>4.4999999999999991</v>
      </c>
      <c r="H901" s="51"/>
      <c r="I901" s="51">
        <f t="shared" si="172"/>
        <v>4.4999999999999991</v>
      </c>
    </row>
    <row r="902" spans="1:9" x14ac:dyDescent="0.25">
      <c r="A902" s="133">
        <v>45500</v>
      </c>
      <c r="B902" s="51" t="s">
        <v>19</v>
      </c>
      <c r="C902" s="134">
        <v>0.375</v>
      </c>
      <c r="D902" s="134">
        <v>0.60416666666666663</v>
      </c>
      <c r="E902" s="53">
        <f t="shared" si="173"/>
        <v>4.9999999999999991</v>
      </c>
      <c r="F902" s="51">
        <v>0.5</v>
      </c>
      <c r="G902" s="53">
        <f t="shared" si="174"/>
        <v>4.9999999999999991</v>
      </c>
      <c r="H902" s="51"/>
      <c r="I902" s="51">
        <f t="shared" si="172"/>
        <v>4.9999999999999991</v>
      </c>
    </row>
    <row r="903" spans="1:9" x14ac:dyDescent="0.25">
      <c r="A903" s="133">
        <v>45500</v>
      </c>
      <c r="B903" s="51" t="s">
        <v>19</v>
      </c>
      <c r="C903" s="134">
        <v>0.375</v>
      </c>
      <c r="D903" s="134">
        <v>0.60416666666666663</v>
      </c>
      <c r="E903" s="53">
        <f t="shared" si="173"/>
        <v>4.9999999999999991</v>
      </c>
      <c r="F903" s="51">
        <v>0.5</v>
      </c>
      <c r="G903" s="53">
        <f t="shared" si="174"/>
        <v>4.9999999999999991</v>
      </c>
      <c r="H903" s="51"/>
      <c r="I903" s="51">
        <f t="shared" si="172"/>
        <v>4.9999999999999991</v>
      </c>
    </row>
    <row r="904" spans="1:9" x14ac:dyDescent="0.25">
      <c r="A904" s="133">
        <v>45508</v>
      </c>
      <c r="B904" s="51" t="s">
        <v>19</v>
      </c>
      <c r="C904" s="134">
        <v>0.75</v>
      </c>
      <c r="D904" s="134">
        <v>4.1666666666666664E-2</v>
      </c>
      <c r="E904" s="53">
        <f t="shared" si="173"/>
        <v>6.4999999999999991</v>
      </c>
      <c r="F904" s="51">
        <v>0.5</v>
      </c>
      <c r="G904" s="53">
        <f t="shared" si="174"/>
        <v>6.4999999999999991</v>
      </c>
      <c r="H904" s="51"/>
      <c r="I904" s="51">
        <f t="shared" si="172"/>
        <v>6.4999999999999991</v>
      </c>
    </row>
    <row r="905" spans="1:9" x14ac:dyDescent="0.25">
      <c r="A905" s="133">
        <v>45508</v>
      </c>
      <c r="B905" s="51" t="s">
        <v>19</v>
      </c>
      <c r="C905" s="134">
        <v>0.75</v>
      </c>
      <c r="D905" s="134">
        <v>4.1666666666666664E-2</v>
      </c>
      <c r="E905" s="53">
        <f t="shared" si="173"/>
        <v>6.4999999999999991</v>
      </c>
      <c r="F905" s="51">
        <v>0.5</v>
      </c>
      <c r="G905" s="53">
        <f t="shared" si="174"/>
        <v>6.4999999999999991</v>
      </c>
      <c r="H905" s="51"/>
      <c r="I905" s="51">
        <f t="shared" si="172"/>
        <v>6.4999999999999991</v>
      </c>
    </row>
    <row r="906" spans="1:9" x14ac:dyDescent="0.25">
      <c r="A906" s="133">
        <v>45508</v>
      </c>
      <c r="B906" s="51" t="s">
        <v>19</v>
      </c>
      <c r="C906" s="134">
        <v>0.75</v>
      </c>
      <c r="D906" s="134">
        <v>4.1666666666666664E-2</v>
      </c>
      <c r="E906" s="53">
        <f t="shared" si="173"/>
        <v>6.4999999999999991</v>
      </c>
      <c r="F906" s="51">
        <v>0.5</v>
      </c>
      <c r="G906" s="53">
        <f t="shared" si="174"/>
        <v>6.4999999999999991</v>
      </c>
      <c r="H906" s="51"/>
      <c r="I906" s="51">
        <f t="shared" si="172"/>
        <v>6.4999999999999991</v>
      </c>
    </row>
    <row r="907" spans="1:9" x14ac:dyDescent="0.25">
      <c r="A907" s="133">
        <v>45508</v>
      </c>
      <c r="B907" s="51" t="s">
        <v>19</v>
      </c>
      <c r="C907" s="134">
        <v>0.75</v>
      </c>
      <c r="D907" s="134">
        <v>4.1666666666666664E-2</v>
      </c>
      <c r="E907" s="53">
        <f t="shared" si="173"/>
        <v>6.4999999999999991</v>
      </c>
      <c r="F907" s="51">
        <v>0.5</v>
      </c>
      <c r="G907" s="53">
        <f t="shared" si="174"/>
        <v>6.4999999999999991</v>
      </c>
      <c r="H907" s="51"/>
      <c r="I907" s="51">
        <f t="shared" si="172"/>
        <v>6.4999999999999991</v>
      </c>
    </row>
    <row r="908" spans="1:9" x14ac:dyDescent="0.25">
      <c r="A908" s="133">
        <v>45508</v>
      </c>
      <c r="B908" s="51" t="s">
        <v>19</v>
      </c>
      <c r="C908" s="134">
        <v>0.75</v>
      </c>
      <c r="D908" s="134">
        <v>4.1666666666666664E-2</v>
      </c>
      <c r="E908" s="53">
        <f t="shared" si="173"/>
        <v>6.4999999999999991</v>
      </c>
      <c r="F908" s="51">
        <v>0.5</v>
      </c>
      <c r="G908" s="53">
        <f t="shared" si="174"/>
        <v>6.4999999999999991</v>
      </c>
      <c r="H908" s="51"/>
      <c r="I908" s="51">
        <f t="shared" si="172"/>
        <v>6.4999999999999991</v>
      </c>
    </row>
    <row r="909" spans="1:9" x14ac:dyDescent="0.25">
      <c r="A909" s="133">
        <v>45513</v>
      </c>
      <c r="B909" s="51" t="s">
        <v>19</v>
      </c>
      <c r="C909" s="134">
        <v>0.75</v>
      </c>
      <c r="D909" s="134">
        <v>0</v>
      </c>
      <c r="E909" s="53">
        <f t="shared" si="173"/>
        <v>5.5</v>
      </c>
      <c r="F909" s="51">
        <v>0.5</v>
      </c>
      <c r="G909" s="53">
        <f t="shared" si="174"/>
        <v>7.5</v>
      </c>
      <c r="H909" s="51"/>
      <c r="I909" s="51">
        <f t="shared" si="172"/>
        <v>7.5</v>
      </c>
    </row>
    <row r="910" spans="1:9" x14ac:dyDescent="0.25">
      <c r="A910" s="133">
        <v>45513</v>
      </c>
      <c r="B910" s="51" t="s">
        <v>19</v>
      </c>
      <c r="C910" s="134">
        <v>0.75</v>
      </c>
      <c r="D910" s="134">
        <v>0</v>
      </c>
      <c r="E910" s="53">
        <f t="shared" si="173"/>
        <v>5.5</v>
      </c>
      <c r="F910" s="51">
        <v>0.5</v>
      </c>
      <c r="G910" s="53">
        <f t="shared" si="174"/>
        <v>7.5</v>
      </c>
      <c r="H910" s="51"/>
      <c r="I910" s="51">
        <f t="shared" si="172"/>
        <v>7.5</v>
      </c>
    </row>
    <row r="911" spans="1:9" x14ac:dyDescent="0.25">
      <c r="A911" s="133">
        <v>45513</v>
      </c>
      <c r="B911" s="51" t="s">
        <v>19</v>
      </c>
      <c r="C911" s="134">
        <v>0.75</v>
      </c>
      <c r="D911" s="134">
        <v>0</v>
      </c>
      <c r="E911" s="53">
        <f t="shared" si="173"/>
        <v>5.5</v>
      </c>
      <c r="F911" s="51">
        <v>0.5</v>
      </c>
      <c r="G911" s="53">
        <f t="shared" si="174"/>
        <v>7.5</v>
      </c>
      <c r="H911" s="51"/>
      <c r="I911" s="51">
        <f t="shared" si="172"/>
        <v>7.5</v>
      </c>
    </row>
    <row r="912" spans="1:9" x14ac:dyDescent="0.25">
      <c r="A912" s="133">
        <v>45519</v>
      </c>
      <c r="B912" s="51" t="s">
        <v>19</v>
      </c>
      <c r="C912" s="134">
        <v>0.66666666666666663</v>
      </c>
      <c r="D912" s="134">
        <v>0.85416666666666663</v>
      </c>
      <c r="E912" s="53">
        <f t="shared" si="173"/>
        <v>4.5</v>
      </c>
      <c r="F912" s="51"/>
      <c r="G912" s="53">
        <f t="shared" si="174"/>
        <v>6.5</v>
      </c>
      <c r="H912" s="51"/>
      <c r="I912" s="51">
        <f t="shared" si="172"/>
        <v>6.5</v>
      </c>
    </row>
    <row r="913" spans="1:9" x14ac:dyDescent="0.25">
      <c r="A913" s="133">
        <v>45519</v>
      </c>
      <c r="B913" s="51" t="s">
        <v>19</v>
      </c>
      <c r="C913" s="134">
        <v>0.66666666666666663</v>
      </c>
      <c r="D913" s="134">
        <v>0.85416666666666663</v>
      </c>
      <c r="E913" s="53">
        <f t="shared" si="173"/>
        <v>4.5</v>
      </c>
      <c r="F913" s="51"/>
      <c r="G913" s="53">
        <f t="shared" si="174"/>
        <v>6.5</v>
      </c>
      <c r="H913" s="51"/>
      <c r="I913" s="51">
        <f t="shared" si="172"/>
        <v>6.5</v>
      </c>
    </row>
    <row r="914" spans="1:9" x14ac:dyDescent="0.25">
      <c r="A914" s="133">
        <v>45519</v>
      </c>
      <c r="B914" s="51" t="s">
        <v>19</v>
      </c>
      <c r="C914" s="134">
        <v>0.66666666666666663</v>
      </c>
      <c r="D914" s="134">
        <v>0.85416666666666663</v>
      </c>
      <c r="E914" s="53">
        <f t="shared" si="173"/>
        <v>4.5</v>
      </c>
      <c r="F914" s="51"/>
      <c r="G914" s="53">
        <f t="shared" si="174"/>
        <v>6.5</v>
      </c>
      <c r="H914" s="51"/>
      <c r="I914" s="51">
        <f t="shared" si="172"/>
        <v>6.5</v>
      </c>
    </row>
    <row r="915" spans="1:9" x14ac:dyDescent="0.25">
      <c r="A915" s="133">
        <v>45520</v>
      </c>
      <c r="B915" s="51" t="s">
        <v>19</v>
      </c>
      <c r="C915" s="134">
        <v>0.72916666666666663</v>
      </c>
      <c r="D915" s="134">
        <v>0</v>
      </c>
      <c r="E915" s="53">
        <f t="shared" si="173"/>
        <v>6.0000000000000009</v>
      </c>
      <c r="F915" s="51">
        <v>0.5</v>
      </c>
      <c r="G915" s="53">
        <f t="shared" si="174"/>
        <v>8</v>
      </c>
      <c r="H915" s="51"/>
      <c r="I915" s="51">
        <f t="shared" si="172"/>
        <v>8</v>
      </c>
    </row>
    <row r="916" spans="1:9" x14ac:dyDescent="0.25">
      <c r="A916" s="133">
        <v>45520</v>
      </c>
      <c r="B916" s="51" t="s">
        <v>19</v>
      </c>
      <c r="C916" s="134">
        <v>0.72916666666666663</v>
      </c>
      <c r="D916" s="134">
        <v>0</v>
      </c>
      <c r="E916" s="53">
        <f t="shared" si="173"/>
        <v>6.0000000000000009</v>
      </c>
      <c r="F916" s="51">
        <v>0.5</v>
      </c>
      <c r="G916" s="53">
        <f t="shared" si="174"/>
        <v>8</v>
      </c>
      <c r="H916" s="51"/>
      <c r="I916" s="51">
        <f t="shared" si="172"/>
        <v>8</v>
      </c>
    </row>
    <row r="917" spans="1:9" x14ac:dyDescent="0.25">
      <c r="A917" s="133">
        <v>45523</v>
      </c>
      <c r="B917" s="51" t="s">
        <v>19</v>
      </c>
      <c r="C917" s="134">
        <v>0.41666666666666669</v>
      </c>
      <c r="D917" s="134">
        <v>0.58333333333333337</v>
      </c>
      <c r="E917" s="53">
        <f t="shared" si="173"/>
        <v>4</v>
      </c>
      <c r="F917" s="51"/>
      <c r="G917" s="53">
        <f t="shared" si="174"/>
        <v>6</v>
      </c>
      <c r="H917" s="51"/>
      <c r="I917" s="51">
        <f t="shared" si="172"/>
        <v>6</v>
      </c>
    </row>
    <row r="918" spans="1:9" x14ac:dyDescent="0.25">
      <c r="A918" s="133">
        <v>45523</v>
      </c>
      <c r="B918" s="51" t="s">
        <v>19</v>
      </c>
      <c r="C918" s="134">
        <v>0.41666666666666669</v>
      </c>
      <c r="D918" s="134">
        <v>0.625</v>
      </c>
      <c r="E918" s="53">
        <f t="shared" si="173"/>
        <v>5</v>
      </c>
      <c r="F918" s="51"/>
      <c r="G918" s="53">
        <f t="shared" si="174"/>
        <v>7</v>
      </c>
      <c r="H918" s="51"/>
      <c r="I918" s="51">
        <f t="shared" si="172"/>
        <v>7</v>
      </c>
    </row>
    <row r="919" spans="1:9" x14ac:dyDescent="0.25">
      <c r="A919" s="133">
        <v>45523</v>
      </c>
      <c r="B919" s="51" t="s">
        <v>19</v>
      </c>
      <c r="C919" s="134">
        <v>0.41666666666666669</v>
      </c>
      <c r="D919" s="134">
        <v>0.625</v>
      </c>
      <c r="E919" s="53">
        <f t="shared" si="173"/>
        <v>5</v>
      </c>
      <c r="F919" s="51"/>
      <c r="G919" s="53">
        <f t="shared" si="174"/>
        <v>7</v>
      </c>
      <c r="H919" s="51"/>
      <c r="I919" s="51">
        <f t="shared" si="172"/>
        <v>7</v>
      </c>
    </row>
    <row r="920" spans="1:9" x14ac:dyDescent="0.25">
      <c r="A920" s="133">
        <v>45524</v>
      </c>
      <c r="B920" s="51" t="s">
        <v>19</v>
      </c>
      <c r="C920" s="134">
        <v>0.625</v>
      </c>
      <c r="D920" s="134">
        <v>0.95833333333333337</v>
      </c>
      <c r="E920" s="53">
        <f t="shared" si="173"/>
        <v>7.5</v>
      </c>
      <c r="F920" s="51">
        <v>0.5</v>
      </c>
      <c r="G920" s="53">
        <f t="shared" si="174"/>
        <v>9.5</v>
      </c>
      <c r="H920" s="51"/>
      <c r="I920" s="51">
        <f t="shared" si="172"/>
        <v>9.5</v>
      </c>
    </row>
    <row r="921" spans="1:9" x14ac:dyDescent="0.25">
      <c r="A921" s="133">
        <v>45524</v>
      </c>
      <c r="B921" s="51" t="s">
        <v>19</v>
      </c>
      <c r="C921" s="134">
        <v>0.625</v>
      </c>
      <c r="D921" s="134">
        <v>0.95833333333333337</v>
      </c>
      <c r="E921" s="53">
        <f t="shared" si="173"/>
        <v>7.5</v>
      </c>
      <c r="F921" s="51">
        <v>0.5</v>
      </c>
      <c r="G921" s="53">
        <f t="shared" si="174"/>
        <v>9.5</v>
      </c>
      <c r="H921" s="51"/>
      <c r="I921" s="51">
        <f t="shared" si="172"/>
        <v>9.5</v>
      </c>
    </row>
    <row r="922" spans="1:9" x14ac:dyDescent="0.25">
      <c r="A922" s="133">
        <v>45524</v>
      </c>
      <c r="B922" s="51" t="s">
        <v>19</v>
      </c>
      <c r="C922" s="134">
        <v>0.625</v>
      </c>
      <c r="D922" s="134">
        <v>0.95833333333333337</v>
      </c>
      <c r="E922" s="53">
        <f t="shared" si="173"/>
        <v>7.5</v>
      </c>
      <c r="F922" s="51">
        <v>0.5</v>
      </c>
      <c r="G922" s="53">
        <f t="shared" si="174"/>
        <v>9.5</v>
      </c>
      <c r="H922" s="51"/>
      <c r="I922" s="51">
        <f t="shared" si="172"/>
        <v>9.5</v>
      </c>
    </row>
    <row r="923" spans="1:9" x14ac:dyDescent="0.25">
      <c r="A923" s="133">
        <v>45524</v>
      </c>
      <c r="B923" s="51" t="s">
        <v>19</v>
      </c>
      <c r="C923" s="134">
        <v>0.625</v>
      </c>
      <c r="D923" s="134">
        <v>0.95833333333333337</v>
      </c>
      <c r="E923" s="53">
        <f t="shared" si="173"/>
        <v>7.5</v>
      </c>
      <c r="F923" s="51">
        <v>0.5</v>
      </c>
      <c r="G923" s="53">
        <f t="shared" si="174"/>
        <v>9.5</v>
      </c>
      <c r="H923" s="51"/>
      <c r="I923" s="51">
        <f t="shared" si="172"/>
        <v>9.5</v>
      </c>
    </row>
    <row r="924" spans="1:9" x14ac:dyDescent="0.25">
      <c r="A924" s="133">
        <v>45524</v>
      </c>
      <c r="B924" s="51" t="s">
        <v>19</v>
      </c>
      <c r="C924" s="134">
        <v>0.625</v>
      </c>
      <c r="D924" s="134">
        <v>0.95833333333333337</v>
      </c>
      <c r="E924" s="53">
        <f t="shared" si="173"/>
        <v>7.5</v>
      </c>
      <c r="F924" s="51">
        <v>0.5</v>
      </c>
      <c r="G924" s="53">
        <f t="shared" si="174"/>
        <v>9.5</v>
      </c>
      <c r="H924" s="51"/>
      <c r="I924" s="51">
        <f t="shared" si="172"/>
        <v>9.5</v>
      </c>
    </row>
    <row r="925" spans="1:9" x14ac:dyDescent="0.25">
      <c r="A925" s="133">
        <v>45524</v>
      </c>
      <c r="B925" s="51" t="s">
        <v>19</v>
      </c>
      <c r="C925" s="134">
        <v>0.625</v>
      </c>
      <c r="D925" s="134">
        <v>0.70833333333333337</v>
      </c>
      <c r="E925" s="53">
        <f t="shared" si="173"/>
        <v>2.0000000000000009</v>
      </c>
      <c r="F925" s="51"/>
      <c r="G925" s="53">
        <f t="shared" si="174"/>
        <v>4.0000000000000009</v>
      </c>
      <c r="H925" s="51"/>
      <c r="I925" s="51">
        <f t="shared" si="172"/>
        <v>4.0000000000000009</v>
      </c>
    </row>
    <row r="926" spans="1:9" x14ac:dyDescent="0.25">
      <c r="A926" s="133">
        <v>45530</v>
      </c>
      <c r="B926" s="51" t="s">
        <v>19</v>
      </c>
      <c r="C926" s="134">
        <v>0.64583333333333337</v>
      </c>
      <c r="D926" s="134">
        <v>0.70833333333333337</v>
      </c>
      <c r="E926" s="53">
        <f t="shared" si="173"/>
        <v>1.5</v>
      </c>
      <c r="F926" s="51"/>
      <c r="G926" s="53">
        <f t="shared" si="174"/>
        <v>3.5</v>
      </c>
      <c r="H926" s="51"/>
      <c r="I926" s="51">
        <f t="shared" si="172"/>
        <v>3.5</v>
      </c>
    </row>
    <row r="927" spans="1:9" x14ac:dyDescent="0.25">
      <c r="A927" s="133">
        <v>45530</v>
      </c>
      <c r="B927" s="51" t="s">
        <v>19</v>
      </c>
      <c r="C927" s="134">
        <v>0.64583333333333337</v>
      </c>
      <c r="D927" s="134">
        <v>0.83333333333333337</v>
      </c>
      <c r="E927" s="53">
        <f t="shared" si="173"/>
        <v>4.5</v>
      </c>
      <c r="F927" s="51"/>
      <c r="G927" s="53">
        <f t="shared" si="174"/>
        <v>6.5</v>
      </c>
      <c r="H927" s="51"/>
      <c r="I927" s="51">
        <f t="shared" si="172"/>
        <v>6.5</v>
      </c>
    </row>
    <row r="928" spans="1:9" x14ac:dyDescent="0.25">
      <c r="A928" s="133">
        <v>45530</v>
      </c>
      <c r="B928" s="51" t="s">
        <v>19</v>
      </c>
      <c r="C928" s="134">
        <v>0.64583333333333337</v>
      </c>
      <c r="D928" s="134">
        <v>0.83333333333333337</v>
      </c>
      <c r="E928" s="53">
        <f t="shared" si="173"/>
        <v>4.5</v>
      </c>
      <c r="F928" s="51"/>
      <c r="G928" s="53">
        <f t="shared" si="174"/>
        <v>6.5</v>
      </c>
      <c r="H928" s="51"/>
      <c r="I928" s="51">
        <f t="shared" si="172"/>
        <v>6.5</v>
      </c>
    </row>
    <row r="929" spans="1:9" x14ac:dyDescent="0.25">
      <c r="A929" s="133">
        <v>45574</v>
      </c>
      <c r="B929" s="51" t="s">
        <v>19</v>
      </c>
      <c r="C929" s="134">
        <v>0.41666666666666669</v>
      </c>
      <c r="D929" s="134">
        <v>0.58333333333333337</v>
      </c>
      <c r="E929" s="53">
        <f t="shared" si="173"/>
        <v>4</v>
      </c>
      <c r="F929" s="51"/>
      <c r="G929" s="53">
        <f t="shared" si="174"/>
        <v>6</v>
      </c>
      <c r="H929" s="51"/>
      <c r="I929" s="51">
        <f t="shared" si="172"/>
        <v>6</v>
      </c>
    </row>
    <row r="930" spans="1:9" x14ac:dyDescent="0.25">
      <c r="A930" s="133">
        <v>45577</v>
      </c>
      <c r="B930" s="51" t="s">
        <v>19</v>
      </c>
      <c r="C930" s="134">
        <v>0.41666666666666669</v>
      </c>
      <c r="D930" s="134">
        <v>0.5</v>
      </c>
      <c r="E930" s="53">
        <f t="shared" si="173"/>
        <v>1.9999999999999996</v>
      </c>
      <c r="F930" s="51"/>
      <c r="G930" s="53">
        <f t="shared" si="174"/>
        <v>1.9999999999999996</v>
      </c>
      <c r="H930" s="51"/>
      <c r="I930" s="51">
        <f t="shared" si="172"/>
        <v>1.9999999999999996</v>
      </c>
    </row>
    <row r="931" spans="1:9" x14ac:dyDescent="0.25">
      <c r="A931" s="133">
        <v>45577</v>
      </c>
      <c r="B931" s="51" t="s">
        <v>19</v>
      </c>
      <c r="C931" s="134">
        <v>0.375</v>
      </c>
      <c r="D931" s="134">
        <v>0.66666666666666663</v>
      </c>
      <c r="E931" s="53">
        <f t="shared" si="173"/>
        <v>6.4999999999999991</v>
      </c>
      <c r="F931" s="51">
        <v>0.5</v>
      </c>
      <c r="G931" s="53">
        <f t="shared" si="174"/>
        <v>6.4999999999999991</v>
      </c>
      <c r="H931" s="51"/>
      <c r="I931" s="51">
        <f t="shared" si="172"/>
        <v>6.4999999999999991</v>
      </c>
    </row>
    <row r="932" spans="1:9" x14ac:dyDescent="0.25">
      <c r="A932" s="133">
        <v>45577</v>
      </c>
      <c r="B932" s="51" t="s">
        <v>19</v>
      </c>
      <c r="C932" s="134">
        <v>0.375</v>
      </c>
      <c r="D932" s="134">
        <v>0.66666666666666663</v>
      </c>
      <c r="E932" s="53">
        <f t="shared" si="173"/>
        <v>6.4999999999999991</v>
      </c>
      <c r="F932" s="51">
        <v>0.5</v>
      </c>
      <c r="G932" s="53">
        <f t="shared" si="174"/>
        <v>6.4999999999999991</v>
      </c>
      <c r="H932" s="51"/>
      <c r="I932" s="51">
        <f t="shared" si="172"/>
        <v>6.4999999999999991</v>
      </c>
    </row>
    <row r="933" spans="1:9" x14ac:dyDescent="0.25">
      <c r="A933" s="133">
        <v>45578</v>
      </c>
      <c r="B933" s="51" t="s">
        <v>19</v>
      </c>
      <c r="C933" s="134">
        <v>0.41666666666666669</v>
      </c>
      <c r="D933" s="134">
        <v>0.66666666666666663</v>
      </c>
      <c r="E933" s="53">
        <f t="shared" si="173"/>
        <v>5.4999999999999982</v>
      </c>
      <c r="F933" s="51">
        <v>0.5</v>
      </c>
      <c r="G933" s="53">
        <f t="shared" si="174"/>
        <v>5.4999999999999982</v>
      </c>
      <c r="H933" s="51"/>
      <c r="I933" s="51">
        <f t="shared" si="172"/>
        <v>5.4999999999999982</v>
      </c>
    </row>
    <row r="934" spans="1:9" x14ac:dyDescent="0.25">
      <c r="A934" s="133">
        <v>45578</v>
      </c>
      <c r="B934" s="51" t="s">
        <v>19</v>
      </c>
      <c r="C934" s="134">
        <v>0.41666666666666669</v>
      </c>
      <c r="D934" s="134">
        <v>0.66666666666666663</v>
      </c>
      <c r="E934" s="53">
        <f t="shared" si="173"/>
        <v>5.4999999999999982</v>
      </c>
      <c r="F934" s="51">
        <v>0.5</v>
      </c>
      <c r="G934" s="53">
        <f t="shared" si="174"/>
        <v>5.4999999999999982</v>
      </c>
      <c r="H934" s="51"/>
      <c r="I934" s="51">
        <f t="shared" si="172"/>
        <v>5.4999999999999982</v>
      </c>
    </row>
    <row r="935" spans="1:9" x14ac:dyDescent="0.25">
      <c r="A935" s="133">
        <v>45578</v>
      </c>
      <c r="B935" s="51" t="s">
        <v>19</v>
      </c>
      <c r="C935" s="134">
        <v>0.41666666666666669</v>
      </c>
      <c r="D935" s="134">
        <v>0.66666666666666663</v>
      </c>
      <c r="E935" s="53">
        <f t="shared" si="173"/>
        <v>5.4999999999999982</v>
      </c>
      <c r="F935" s="51">
        <v>0.5</v>
      </c>
      <c r="G935" s="53">
        <f t="shared" si="174"/>
        <v>5.4999999999999982</v>
      </c>
      <c r="H935" s="51"/>
      <c r="I935" s="51">
        <f t="shared" si="172"/>
        <v>5.4999999999999982</v>
      </c>
    </row>
    <row r="936" spans="1:9" x14ac:dyDescent="0.25">
      <c r="A936" s="133">
        <v>45579</v>
      </c>
      <c r="B936" s="51" t="s">
        <v>19</v>
      </c>
      <c r="C936" s="134">
        <v>0.375</v>
      </c>
      <c r="D936" s="134">
        <v>0.625</v>
      </c>
      <c r="E936" s="53">
        <f t="shared" si="173"/>
        <v>5.5</v>
      </c>
      <c r="F936" s="51">
        <v>0.5</v>
      </c>
      <c r="G936" s="53">
        <f t="shared" si="174"/>
        <v>7.5</v>
      </c>
      <c r="H936" s="51"/>
      <c r="I936" s="51">
        <f t="shared" si="172"/>
        <v>7.5</v>
      </c>
    </row>
    <row r="937" spans="1:9" x14ac:dyDescent="0.25">
      <c r="A937" s="133">
        <v>45579</v>
      </c>
      <c r="B937" s="51" t="s">
        <v>19</v>
      </c>
      <c r="C937" s="134">
        <v>0.375</v>
      </c>
      <c r="D937" s="134">
        <v>0.625</v>
      </c>
      <c r="E937" s="53">
        <f t="shared" si="173"/>
        <v>5.5</v>
      </c>
      <c r="F937" s="51">
        <v>0.5</v>
      </c>
      <c r="G937" s="53">
        <f t="shared" si="174"/>
        <v>7.5</v>
      </c>
      <c r="H937" s="51"/>
      <c r="I937" s="51">
        <f t="shared" si="172"/>
        <v>7.5</v>
      </c>
    </row>
    <row r="938" spans="1:9" x14ac:dyDescent="0.25">
      <c r="A938" s="133">
        <v>45579</v>
      </c>
      <c r="B938" s="51" t="s">
        <v>19</v>
      </c>
      <c r="C938" s="134">
        <v>0.375</v>
      </c>
      <c r="D938" s="134">
        <v>0.625</v>
      </c>
      <c r="E938" s="53">
        <f t="shared" si="173"/>
        <v>5.5</v>
      </c>
      <c r="F938" s="51">
        <v>0.5</v>
      </c>
      <c r="G938" s="53">
        <f t="shared" si="174"/>
        <v>7.5</v>
      </c>
      <c r="H938" s="51"/>
      <c r="I938" s="51">
        <f t="shared" si="172"/>
        <v>7.5</v>
      </c>
    </row>
    <row r="939" spans="1:9" x14ac:dyDescent="0.25">
      <c r="A939" s="133">
        <v>45579</v>
      </c>
      <c r="B939" s="51" t="s">
        <v>19</v>
      </c>
      <c r="C939" s="134">
        <v>0.375</v>
      </c>
      <c r="D939" s="134">
        <v>0.625</v>
      </c>
      <c r="E939" s="53">
        <f t="shared" si="173"/>
        <v>5.5</v>
      </c>
      <c r="F939" s="51">
        <v>0.5</v>
      </c>
      <c r="G939" s="53">
        <f t="shared" si="174"/>
        <v>7.5</v>
      </c>
      <c r="H939" s="51"/>
      <c r="I939" s="51">
        <f t="shared" si="172"/>
        <v>7.5</v>
      </c>
    </row>
    <row r="940" spans="1:9" x14ac:dyDescent="0.25">
      <c r="A940" s="133">
        <v>45579</v>
      </c>
      <c r="B940" s="51" t="s">
        <v>19</v>
      </c>
      <c r="C940" s="134">
        <v>0.375</v>
      </c>
      <c r="D940" s="134">
        <v>0.625</v>
      </c>
      <c r="E940" s="53">
        <f t="shared" si="173"/>
        <v>5.5</v>
      </c>
      <c r="F940" s="51">
        <v>0.5</v>
      </c>
      <c r="G940" s="53">
        <f t="shared" si="174"/>
        <v>7.5</v>
      </c>
      <c r="H940" s="51"/>
      <c r="I940" s="51">
        <f t="shared" si="172"/>
        <v>7.5</v>
      </c>
    </row>
    <row r="941" spans="1:9" x14ac:dyDescent="0.25">
      <c r="A941" s="133">
        <v>45580</v>
      </c>
      <c r="B941" s="51" t="s">
        <v>19</v>
      </c>
      <c r="C941" s="134">
        <v>0.41666666666666669</v>
      </c>
      <c r="D941" s="134">
        <v>0.625</v>
      </c>
      <c r="E941" s="53">
        <f t="shared" si="173"/>
        <v>5</v>
      </c>
      <c r="F941" s="51"/>
      <c r="G941" s="53">
        <f t="shared" si="174"/>
        <v>7</v>
      </c>
      <c r="H941" s="51"/>
      <c r="I941" s="51">
        <f t="shared" si="172"/>
        <v>7</v>
      </c>
    </row>
    <row r="942" spans="1:9" x14ac:dyDescent="0.25">
      <c r="A942" s="133">
        <v>45580</v>
      </c>
      <c r="B942" s="51" t="s">
        <v>19</v>
      </c>
      <c r="C942" s="134">
        <v>0.41666666666666669</v>
      </c>
      <c r="D942" s="134">
        <v>0.625</v>
      </c>
      <c r="E942" s="53">
        <f t="shared" si="173"/>
        <v>5</v>
      </c>
      <c r="F942" s="51"/>
      <c r="G942" s="53">
        <f t="shared" si="174"/>
        <v>7</v>
      </c>
      <c r="H942" s="51"/>
      <c r="I942" s="51">
        <f t="shared" si="172"/>
        <v>7</v>
      </c>
    </row>
    <row r="943" spans="1:9" x14ac:dyDescent="0.25">
      <c r="A943" s="133">
        <v>45580</v>
      </c>
      <c r="B943" s="51" t="s">
        <v>19</v>
      </c>
      <c r="C943" s="134">
        <v>0.41666666666666669</v>
      </c>
      <c r="D943" s="134">
        <v>0.625</v>
      </c>
      <c r="E943" s="53">
        <f t="shared" si="173"/>
        <v>5</v>
      </c>
      <c r="F943" s="51"/>
      <c r="G943" s="53">
        <f t="shared" si="174"/>
        <v>7</v>
      </c>
      <c r="H943" s="51"/>
      <c r="I943" s="51">
        <f t="shared" si="172"/>
        <v>7</v>
      </c>
    </row>
    <row r="944" spans="1:9" x14ac:dyDescent="0.25">
      <c r="A944" s="133">
        <v>45585</v>
      </c>
      <c r="B944" s="51" t="s">
        <v>19</v>
      </c>
      <c r="C944" s="134">
        <v>0.77083333333333337</v>
      </c>
      <c r="D944" s="134">
        <v>0.9375</v>
      </c>
      <c r="E944" s="53">
        <f t="shared" si="173"/>
        <v>3.9999999999999991</v>
      </c>
      <c r="F944" s="51"/>
      <c r="G944" s="53">
        <f t="shared" si="174"/>
        <v>3.9999999999999991</v>
      </c>
      <c r="H944" s="51"/>
      <c r="I944" s="51">
        <f t="shared" si="172"/>
        <v>3.9999999999999991</v>
      </c>
    </row>
    <row r="945" spans="1:9" x14ac:dyDescent="0.25">
      <c r="A945" s="133">
        <v>45585</v>
      </c>
      <c r="B945" s="51" t="s">
        <v>19</v>
      </c>
      <c r="C945" s="134">
        <v>0.77083333333333337</v>
      </c>
      <c r="D945" s="134">
        <v>0.9375</v>
      </c>
      <c r="E945" s="53">
        <f t="shared" si="173"/>
        <v>3.9999999999999991</v>
      </c>
      <c r="F945" s="51"/>
      <c r="G945" s="53">
        <f t="shared" si="174"/>
        <v>3.9999999999999991</v>
      </c>
      <c r="H945" s="51"/>
      <c r="I945" s="51">
        <f t="shared" si="172"/>
        <v>3.9999999999999991</v>
      </c>
    </row>
    <row r="946" spans="1:9" x14ac:dyDescent="0.25">
      <c r="A946" s="133">
        <v>45586</v>
      </c>
      <c r="B946" s="51" t="s">
        <v>19</v>
      </c>
      <c r="C946" s="134">
        <v>0.375</v>
      </c>
      <c r="D946" s="134">
        <v>0.625</v>
      </c>
      <c r="E946" s="53">
        <f t="shared" si="173"/>
        <v>5.5</v>
      </c>
      <c r="F946" s="51">
        <v>0.5</v>
      </c>
      <c r="G946" s="53">
        <f t="shared" si="174"/>
        <v>7.5</v>
      </c>
      <c r="H946" s="51"/>
      <c r="I946" s="51">
        <f t="shared" si="172"/>
        <v>7.5</v>
      </c>
    </row>
    <row r="947" spans="1:9" x14ac:dyDescent="0.25">
      <c r="A947" s="133">
        <v>45586</v>
      </c>
      <c r="B947" s="51" t="s">
        <v>19</v>
      </c>
      <c r="C947" s="134">
        <v>0.375</v>
      </c>
      <c r="D947" s="134">
        <v>0.625</v>
      </c>
      <c r="E947" s="53">
        <f t="shared" si="173"/>
        <v>5.5</v>
      </c>
      <c r="F947" s="51">
        <v>0.5</v>
      </c>
      <c r="G947" s="53">
        <f t="shared" si="174"/>
        <v>7.5</v>
      </c>
      <c r="H947" s="51"/>
      <c r="I947" s="51">
        <f t="shared" si="172"/>
        <v>7.5</v>
      </c>
    </row>
    <row r="948" spans="1:9" x14ac:dyDescent="0.25">
      <c r="A948" s="133">
        <v>45586</v>
      </c>
      <c r="B948" s="51" t="s">
        <v>19</v>
      </c>
      <c r="C948" s="134">
        <v>0.375</v>
      </c>
      <c r="D948" s="134">
        <v>0.625</v>
      </c>
      <c r="E948" s="53">
        <f t="shared" si="173"/>
        <v>5.5</v>
      </c>
      <c r="F948" s="51">
        <v>0.5</v>
      </c>
      <c r="G948" s="53">
        <f t="shared" si="174"/>
        <v>7.5</v>
      </c>
      <c r="H948" s="51"/>
      <c r="I948" s="51">
        <f t="shared" si="172"/>
        <v>7.5</v>
      </c>
    </row>
    <row r="949" spans="1:9" x14ac:dyDescent="0.25">
      <c r="A949" s="133">
        <v>45586</v>
      </c>
      <c r="B949" s="51" t="s">
        <v>19</v>
      </c>
      <c r="C949" s="134">
        <v>0.375</v>
      </c>
      <c r="D949" s="134">
        <v>0.625</v>
      </c>
      <c r="E949" s="53">
        <f t="shared" si="173"/>
        <v>5.5</v>
      </c>
      <c r="F949" s="51">
        <v>0.5</v>
      </c>
      <c r="G949" s="53">
        <f t="shared" si="174"/>
        <v>7.5</v>
      </c>
      <c r="H949" s="51"/>
      <c r="I949" s="51">
        <f t="shared" si="172"/>
        <v>7.5</v>
      </c>
    </row>
    <row r="950" spans="1:9" x14ac:dyDescent="0.25">
      <c r="A950" s="133">
        <v>45587</v>
      </c>
      <c r="B950" s="51" t="s">
        <v>19</v>
      </c>
      <c r="C950" s="134">
        <v>0.375</v>
      </c>
      <c r="D950" s="134">
        <v>0.625</v>
      </c>
      <c r="E950" s="53">
        <f t="shared" si="173"/>
        <v>5.5</v>
      </c>
      <c r="F950" s="51">
        <v>0.5</v>
      </c>
      <c r="G950" s="53">
        <f t="shared" si="174"/>
        <v>7.5</v>
      </c>
      <c r="H950" s="51"/>
      <c r="I950" s="51">
        <f t="shared" si="172"/>
        <v>7.5</v>
      </c>
    </row>
    <row r="951" spans="1:9" x14ac:dyDescent="0.25">
      <c r="A951" s="133">
        <v>45587</v>
      </c>
      <c r="B951" s="51" t="s">
        <v>19</v>
      </c>
      <c r="C951" s="134">
        <v>0.375</v>
      </c>
      <c r="D951" s="134">
        <v>0.625</v>
      </c>
      <c r="E951" s="53">
        <f t="shared" si="173"/>
        <v>5.5</v>
      </c>
      <c r="F951" s="51">
        <v>0.5</v>
      </c>
      <c r="G951" s="53">
        <f t="shared" si="174"/>
        <v>7.5</v>
      </c>
      <c r="H951" s="51"/>
      <c r="I951" s="51">
        <f t="shared" si="172"/>
        <v>7.5</v>
      </c>
    </row>
    <row r="952" spans="1:9" x14ac:dyDescent="0.25">
      <c r="A952" s="133">
        <v>45591</v>
      </c>
      <c r="B952" s="51" t="s">
        <v>19</v>
      </c>
      <c r="C952" s="134">
        <v>0.29166666666666669</v>
      </c>
      <c r="D952" s="134">
        <v>0.66666666666666663</v>
      </c>
      <c r="E952" s="53">
        <f t="shared" si="173"/>
        <v>7.9999999999999982</v>
      </c>
      <c r="F952" s="51">
        <v>1</v>
      </c>
      <c r="G952" s="53">
        <f t="shared" si="174"/>
        <v>7.9999999999999982</v>
      </c>
      <c r="H952" s="51"/>
      <c r="I952" s="51">
        <f t="shared" si="172"/>
        <v>7.9999999999999982</v>
      </c>
    </row>
    <row r="953" spans="1:9" x14ac:dyDescent="0.25">
      <c r="A953" s="133">
        <v>45591</v>
      </c>
      <c r="B953" s="51" t="s">
        <v>19</v>
      </c>
      <c r="C953" s="134">
        <v>0.29166666666666669</v>
      </c>
      <c r="D953" s="134">
        <v>0.66666666666666663</v>
      </c>
      <c r="E953" s="53">
        <f t="shared" si="173"/>
        <v>7.9999999999999982</v>
      </c>
      <c r="F953" s="51">
        <v>1</v>
      </c>
      <c r="G953" s="53">
        <f t="shared" si="174"/>
        <v>7.9999999999999982</v>
      </c>
      <c r="H953" s="51"/>
      <c r="I953" s="51">
        <f t="shared" si="172"/>
        <v>7.9999999999999982</v>
      </c>
    </row>
    <row r="954" spans="1:9" x14ac:dyDescent="0.25">
      <c r="A954" s="133">
        <v>45591</v>
      </c>
      <c r="B954" s="51" t="s">
        <v>19</v>
      </c>
      <c r="C954" s="134">
        <v>0.29166666666666669</v>
      </c>
      <c r="D954" s="134">
        <v>0.66666666666666663</v>
      </c>
      <c r="E954" s="53">
        <f t="shared" si="173"/>
        <v>7.9999999999999982</v>
      </c>
      <c r="F954" s="51">
        <v>1</v>
      </c>
      <c r="G954" s="53">
        <f t="shared" si="174"/>
        <v>7.9999999999999982</v>
      </c>
      <c r="H954" s="51"/>
      <c r="I954" s="51">
        <f t="shared" si="172"/>
        <v>7.9999999999999982</v>
      </c>
    </row>
    <row r="955" spans="1:9" x14ac:dyDescent="0.25">
      <c r="A955" s="133">
        <v>45591</v>
      </c>
      <c r="B955" s="51" t="s">
        <v>19</v>
      </c>
      <c r="C955" s="134">
        <v>0.29166666666666669</v>
      </c>
      <c r="D955" s="134">
        <v>0.66666666666666663</v>
      </c>
      <c r="E955" s="53">
        <f t="shared" si="173"/>
        <v>7.9999999999999982</v>
      </c>
      <c r="F955" s="51">
        <v>1</v>
      </c>
      <c r="G955" s="53">
        <f t="shared" si="174"/>
        <v>7.9999999999999982</v>
      </c>
      <c r="H955" s="51"/>
      <c r="I955" s="51">
        <f t="shared" si="172"/>
        <v>7.9999999999999982</v>
      </c>
    </row>
    <row r="956" spans="1:9" x14ac:dyDescent="0.25">
      <c r="A956" s="133">
        <v>45591</v>
      </c>
      <c r="B956" s="51" t="s">
        <v>19</v>
      </c>
      <c r="C956" s="134">
        <v>0.29166666666666669</v>
      </c>
      <c r="D956" s="134">
        <v>0.66666666666666663</v>
      </c>
      <c r="E956" s="53">
        <f t="shared" si="173"/>
        <v>7.9999999999999982</v>
      </c>
      <c r="F956" s="51">
        <v>1</v>
      </c>
      <c r="G956" s="53">
        <f t="shared" si="174"/>
        <v>7.9999999999999982</v>
      </c>
      <c r="H956" s="51"/>
      <c r="I956" s="51">
        <f t="shared" si="172"/>
        <v>7.9999999999999982</v>
      </c>
    </row>
    <row r="957" spans="1:9" x14ac:dyDescent="0.25">
      <c r="A957" s="133">
        <v>45593</v>
      </c>
      <c r="B957" s="51" t="s">
        <v>19</v>
      </c>
      <c r="C957" s="134">
        <v>0.66666666666666663</v>
      </c>
      <c r="D957" s="134">
        <v>0.83333333333333337</v>
      </c>
      <c r="E957" s="53">
        <f t="shared" si="173"/>
        <v>4.0000000000000018</v>
      </c>
      <c r="F957" s="51"/>
      <c r="G957" s="53">
        <f t="shared" si="174"/>
        <v>6.0000000000000018</v>
      </c>
      <c r="H957" s="51"/>
      <c r="I957" s="51">
        <f t="shared" si="172"/>
        <v>6.0000000000000018</v>
      </c>
    </row>
    <row r="958" spans="1:9" x14ac:dyDescent="0.25">
      <c r="A958" s="133">
        <v>45594</v>
      </c>
      <c r="B958" s="51" t="s">
        <v>19</v>
      </c>
      <c r="C958" s="134">
        <v>0.66666666666666663</v>
      </c>
      <c r="D958" s="134">
        <v>0.83333333333333337</v>
      </c>
      <c r="E958" s="53">
        <f t="shared" si="173"/>
        <v>4.0000000000000018</v>
      </c>
      <c r="F958" s="51"/>
      <c r="G958" s="53">
        <f t="shared" si="174"/>
        <v>6.0000000000000018</v>
      </c>
      <c r="H958" s="51"/>
      <c r="I958" s="51">
        <f t="shared" si="172"/>
        <v>6.0000000000000018</v>
      </c>
    </row>
    <row r="959" spans="1:9" x14ac:dyDescent="0.25">
      <c r="A959" s="133">
        <v>45594</v>
      </c>
      <c r="B959" s="51" t="s">
        <v>19</v>
      </c>
      <c r="C959" s="134">
        <v>0.66666666666666663</v>
      </c>
      <c r="D959" s="134">
        <v>0.83333333333333337</v>
      </c>
      <c r="E959" s="53">
        <f t="shared" si="173"/>
        <v>4.0000000000000018</v>
      </c>
      <c r="F959" s="51"/>
      <c r="G959" s="53">
        <f t="shared" si="174"/>
        <v>6.0000000000000018</v>
      </c>
      <c r="H959" s="51"/>
      <c r="I959" s="51">
        <f t="shared" si="172"/>
        <v>6.0000000000000018</v>
      </c>
    </row>
    <row r="960" spans="1:9" x14ac:dyDescent="0.25">
      <c r="A960" s="133">
        <v>45595</v>
      </c>
      <c r="B960" s="51" t="s">
        <v>19</v>
      </c>
      <c r="C960" s="134">
        <v>0.66666666666666663</v>
      </c>
      <c r="D960" s="134">
        <v>0.83333333333333337</v>
      </c>
      <c r="E960" s="53">
        <f t="shared" si="173"/>
        <v>4.0000000000000018</v>
      </c>
      <c r="F960" s="51"/>
      <c r="G960" s="53">
        <f t="shared" si="174"/>
        <v>6.0000000000000018</v>
      </c>
      <c r="H960" s="51"/>
      <c r="I960" s="51">
        <f t="shared" si="172"/>
        <v>6.0000000000000018</v>
      </c>
    </row>
    <row r="961" spans="1:9" x14ac:dyDescent="0.25">
      <c r="A961" s="133">
        <v>45596</v>
      </c>
      <c r="B961" s="51" t="s">
        <v>19</v>
      </c>
      <c r="C961" s="134">
        <v>0.66666666666666663</v>
      </c>
      <c r="D961" s="134">
        <v>0.89583333333333337</v>
      </c>
      <c r="E961" s="53">
        <f t="shared" si="173"/>
        <v>5.0000000000000018</v>
      </c>
      <c r="F961" s="51">
        <v>0.5</v>
      </c>
      <c r="G961" s="53">
        <f t="shared" si="174"/>
        <v>7.0000000000000018</v>
      </c>
      <c r="H961" s="51"/>
      <c r="I961" s="51">
        <f t="shared" si="172"/>
        <v>7.0000000000000018</v>
      </c>
    </row>
    <row r="962" spans="1:9" x14ac:dyDescent="0.25">
      <c r="A962" s="133">
        <v>45596</v>
      </c>
      <c r="B962" s="51" t="s">
        <v>19</v>
      </c>
      <c r="C962" s="134">
        <v>0.66666666666666663</v>
      </c>
      <c r="D962" s="134">
        <v>0.89583333333333337</v>
      </c>
      <c r="E962" s="53">
        <f t="shared" si="173"/>
        <v>5.0000000000000018</v>
      </c>
      <c r="F962" s="51">
        <v>0.5</v>
      </c>
      <c r="G962" s="53">
        <f t="shared" si="174"/>
        <v>7.0000000000000018</v>
      </c>
      <c r="H962" s="51"/>
      <c r="I962" s="51">
        <f t="shared" ref="I962:I997" si="175">IF(G962&lt;&gt;"",G962,H962)</f>
        <v>7.0000000000000018</v>
      </c>
    </row>
    <row r="963" spans="1:9" x14ac:dyDescent="0.25">
      <c r="A963" s="133">
        <v>45597</v>
      </c>
      <c r="B963" s="51" t="s">
        <v>19</v>
      </c>
      <c r="C963" s="134">
        <v>0.77083333333333337</v>
      </c>
      <c r="D963" s="134">
        <v>0.9375</v>
      </c>
      <c r="E963" s="53">
        <f t="shared" ref="E963:E997" si="176">MOD((D963-C963),1) *24 - F963</f>
        <v>3.9999999999999991</v>
      </c>
      <c r="F963" s="51"/>
      <c r="G963" s="53">
        <f t="shared" ref="G963:G997" si="177">IF(WEEKDAY(A963, 2)&lt;6, E963+2, E963)</f>
        <v>5.9999999999999991</v>
      </c>
      <c r="H963" s="51"/>
      <c r="I963" s="51">
        <f t="shared" si="175"/>
        <v>5.9999999999999991</v>
      </c>
    </row>
    <row r="964" spans="1:9" x14ac:dyDescent="0.25">
      <c r="A964" s="133">
        <v>45597</v>
      </c>
      <c r="B964" s="51" t="s">
        <v>19</v>
      </c>
      <c r="C964" s="134">
        <v>0.66666666666666663</v>
      </c>
      <c r="D964" s="134">
        <v>0.875</v>
      </c>
      <c r="E964" s="53">
        <f t="shared" si="176"/>
        <v>5.0000000000000009</v>
      </c>
      <c r="F964" s="51"/>
      <c r="G964" s="53">
        <f t="shared" si="177"/>
        <v>7.0000000000000009</v>
      </c>
      <c r="H964" s="51"/>
      <c r="I964" s="51">
        <f t="shared" si="175"/>
        <v>7.0000000000000009</v>
      </c>
    </row>
    <row r="965" spans="1:9" x14ac:dyDescent="0.25">
      <c r="A965" s="133">
        <v>45597</v>
      </c>
      <c r="B965" s="51" t="s">
        <v>19</v>
      </c>
      <c r="C965" s="134">
        <v>0.66666666666666663</v>
      </c>
      <c r="D965" s="134">
        <v>0.9375</v>
      </c>
      <c r="E965" s="53">
        <f t="shared" si="176"/>
        <v>6.0000000000000009</v>
      </c>
      <c r="F965" s="51">
        <v>0.5</v>
      </c>
      <c r="G965" s="53">
        <f t="shared" si="177"/>
        <v>8</v>
      </c>
      <c r="H965" s="51"/>
      <c r="I965" s="51">
        <f t="shared" si="175"/>
        <v>8</v>
      </c>
    </row>
    <row r="966" spans="1:9" x14ac:dyDescent="0.25">
      <c r="A966" s="133">
        <v>45598</v>
      </c>
      <c r="B966" s="51" t="s">
        <v>19</v>
      </c>
      <c r="C966" s="134">
        <v>0.29166666666666669</v>
      </c>
      <c r="D966" s="134">
        <v>0.58333333333333337</v>
      </c>
      <c r="E966" s="53">
        <f t="shared" si="176"/>
        <v>6.5</v>
      </c>
      <c r="F966" s="51">
        <v>0.5</v>
      </c>
      <c r="G966" s="53">
        <f t="shared" si="177"/>
        <v>6.5</v>
      </c>
      <c r="H966" s="51"/>
      <c r="I966" s="51">
        <f t="shared" si="175"/>
        <v>6.5</v>
      </c>
    </row>
    <row r="967" spans="1:9" x14ac:dyDescent="0.25">
      <c r="A967" s="133">
        <v>45598</v>
      </c>
      <c r="B967" s="51" t="s">
        <v>19</v>
      </c>
      <c r="C967" s="134">
        <v>0.29166666666666669</v>
      </c>
      <c r="D967" s="134">
        <v>0.54166666666666663</v>
      </c>
      <c r="E967" s="53">
        <f t="shared" si="176"/>
        <v>5.4999999999999982</v>
      </c>
      <c r="F967" s="51">
        <v>0.5</v>
      </c>
      <c r="G967" s="53">
        <f t="shared" si="177"/>
        <v>5.4999999999999982</v>
      </c>
      <c r="H967" s="51"/>
      <c r="I967" s="51">
        <f t="shared" si="175"/>
        <v>5.4999999999999982</v>
      </c>
    </row>
    <row r="968" spans="1:9" x14ac:dyDescent="0.25">
      <c r="A968" s="133">
        <v>45598</v>
      </c>
      <c r="B968" s="51" t="s">
        <v>19</v>
      </c>
      <c r="C968" s="134">
        <v>0.29166666666666669</v>
      </c>
      <c r="D968" s="134">
        <v>0.58333333333333337</v>
      </c>
      <c r="E968" s="53">
        <f t="shared" si="176"/>
        <v>6.5</v>
      </c>
      <c r="F968" s="51">
        <v>0.5</v>
      </c>
      <c r="G968" s="53">
        <f t="shared" si="177"/>
        <v>6.5</v>
      </c>
      <c r="H968" s="51"/>
      <c r="I968" s="51">
        <f t="shared" si="175"/>
        <v>6.5</v>
      </c>
    </row>
    <row r="969" spans="1:9" x14ac:dyDescent="0.25">
      <c r="A969" s="133">
        <v>45598</v>
      </c>
      <c r="B969" s="51" t="s">
        <v>19</v>
      </c>
      <c r="C969" s="134">
        <v>0.33333333333333331</v>
      </c>
      <c r="D969" s="134">
        <v>0.58333333333333337</v>
      </c>
      <c r="E969" s="53">
        <f t="shared" si="176"/>
        <v>5.5000000000000018</v>
      </c>
      <c r="F969" s="51">
        <v>0.5</v>
      </c>
      <c r="G969" s="53">
        <f t="shared" si="177"/>
        <v>5.5000000000000018</v>
      </c>
      <c r="H969" s="51"/>
      <c r="I969" s="51">
        <f t="shared" si="175"/>
        <v>5.5000000000000018</v>
      </c>
    </row>
    <row r="970" spans="1:9" x14ac:dyDescent="0.25">
      <c r="A970" s="133">
        <v>45599</v>
      </c>
      <c r="B970" s="51" t="s">
        <v>19</v>
      </c>
      <c r="C970" s="134">
        <v>0.41666666666666669</v>
      </c>
      <c r="D970" s="134">
        <v>0.58333333333333337</v>
      </c>
      <c r="E970" s="53">
        <f t="shared" si="176"/>
        <v>4</v>
      </c>
      <c r="F970" s="51"/>
      <c r="G970" s="53">
        <f t="shared" si="177"/>
        <v>4</v>
      </c>
      <c r="H970" s="51"/>
      <c r="I970" s="51">
        <f t="shared" si="175"/>
        <v>4</v>
      </c>
    </row>
    <row r="971" spans="1:9" x14ac:dyDescent="0.25">
      <c r="A971" s="133">
        <v>45599</v>
      </c>
      <c r="B971" s="51" t="s">
        <v>19</v>
      </c>
      <c r="C971" s="134">
        <v>0.41666666666666669</v>
      </c>
      <c r="D971" s="134">
        <v>0.58333333333333337</v>
      </c>
      <c r="E971" s="53">
        <f t="shared" si="176"/>
        <v>4</v>
      </c>
      <c r="F971" s="51"/>
      <c r="G971" s="53">
        <f t="shared" si="177"/>
        <v>4</v>
      </c>
      <c r="H971" s="51"/>
      <c r="I971" s="51">
        <f t="shared" si="175"/>
        <v>4</v>
      </c>
    </row>
    <row r="972" spans="1:9" x14ac:dyDescent="0.25">
      <c r="A972" s="133">
        <v>45599</v>
      </c>
      <c r="B972" s="51" t="s">
        <v>19</v>
      </c>
      <c r="C972" s="134">
        <v>0.41666666666666669</v>
      </c>
      <c r="D972" s="134">
        <v>0.58333333333333337</v>
      </c>
      <c r="E972" s="53">
        <f t="shared" si="176"/>
        <v>4</v>
      </c>
      <c r="F972" s="51"/>
      <c r="G972" s="53">
        <f t="shared" si="177"/>
        <v>4</v>
      </c>
      <c r="H972" s="51"/>
      <c r="I972" s="51">
        <f t="shared" si="175"/>
        <v>4</v>
      </c>
    </row>
    <row r="973" spans="1:9" x14ac:dyDescent="0.25">
      <c r="A973" s="133">
        <v>45601</v>
      </c>
      <c r="B973" s="51" t="s">
        <v>19</v>
      </c>
      <c r="C973" s="134">
        <v>0.64583333333333337</v>
      </c>
      <c r="D973" s="134">
        <v>0.83333333333333337</v>
      </c>
      <c r="E973" s="53">
        <f t="shared" si="176"/>
        <v>4.5</v>
      </c>
      <c r="F973" s="51"/>
      <c r="G973" s="53">
        <f t="shared" si="177"/>
        <v>6.5</v>
      </c>
      <c r="H973" s="51"/>
      <c r="I973" s="51">
        <f t="shared" si="175"/>
        <v>6.5</v>
      </c>
    </row>
    <row r="974" spans="1:9" x14ac:dyDescent="0.25">
      <c r="A974" s="133">
        <v>45601</v>
      </c>
      <c r="B974" s="51" t="s">
        <v>19</v>
      </c>
      <c r="C974" s="134">
        <v>0.64583333333333337</v>
      </c>
      <c r="D974" s="134">
        <v>0.83333333333333337</v>
      </c>
      <c r="E974" s="53">
        <f t="shared" si="176"/>
        <v>4.5</v>
      </c>
      <c r="F974" s="51"/>
      <c r="G974" s="53">
        <f t="shared" si="177"/>
        <v>6.5</v>
      </c>
      <c r="H974" s="51"/>
      <c r="I974" s="51">
        <f t="shared" si="175"/>
        <v>6.5</v>
      </c>
    </row>
    <row r="975" spans="1:9" x14ac:dyDescent="0.25">
      <c r="A975" s="133">
        <v>45607</v>
      </c>
      <c r="B975" s="51" t="s">
        <v>19</v>
      </c>
      <c r="C975" s="134">
        <v>0.29166666666666669</v>
      </c>
      <c r="D975" s="134">
        <v>0.5</v>
      </c>
      <c r="E975" s="53">
        <f t="shared" si="176"/>
        <v>5</v>
      </c>
      <c r="F975" s="51"/>
      <c r="G975" s="53">
        <f t="shared" si="177"/>
        <v>7</v>
      </c>
      <c r="H975" s="51"/>
      <c r="I975" s="51">
        <f t="shared" si="175"/>
        <v>7</v>
      </c>
    </row>
    <row r="976" spans="1:9" x14ac:dyDescent="0.25">
      <c r="A976" s="133">
        <v>45607</v>
      </c>
      <c r="B976" s="51" t="s">
        <v>19</v>
      </c>
      <c r="C976" s="134">
        <v>0.29166666666666669</v>
      </c>
      <c r="D976" s="134">
        <v>0.5</v>
      </c>
      <c r="E976" s="53">
        <f t="shared" si="176"/>
        <v>5</v>
      </c>
      <c r="F976" s="51"/>
      <c r="G976" s="53">
        <f t="shared" si="177"/>
        <v>7</v>
      </c>
      <c r="H976" s="51"/>
      <c r="I976" s="51">
        <f t="shared" si="175"/>
        <v>7</v>
      </c>
    </row>
    <row r="977" spans="1:9" x14ac:dyDescent="0.25">
      <c r="A977" s="133">
        <v>45627</v>
      </c>
      <c r="B977" s="51" t="s">
        <v>19</v>
      </c>
      <c r="C977" s="134">
        <v>0.41666666666666669</v>
      </c>
      <c r="D977" s="134">
        <v>0.66666666666666663</v>
      </c>
      <c r="E977" s="53">
        <f t="shared" si="176"/>
        <v>5.4999999999999982</v>
      </c>
      <c r="F977" s="51">
        <v>0.5</v>
      </c>
      <c r="G977" s="53">
        <f t="shared" si="177"/>
        <v>5.4999999999999982</v>
      </c>
      <c r="H977" s="51"/>
      <c r="I977" s="51">
        <f t="shared" si="175"/>
        <v>5.4999999999999982</v>
      </c>
    </row>
    <row r="978" spans="1:9" x14ac:dyDescent="0.25">
      <c r="A978" s="133">
        <v>45627</v>
      </c>
      <c r="B978" s="51" t="s">
        <v>19</v>
      </c>
      <c r="C978" s="134">
        <v>0.41666666666666669</v>
      </c>
      <c r="D978" s="134">
        <v>0.66666666666666663</v>
      </c>
      <c r="E978" s="53">
        <f t="shared" si="176"/>
        <v>5.4999999999999982</v>
      </c>
      <c r="F978" s="51">
        <v>0.5</v>
      </c>
      <c r="G978" s="53">
        <f t="shared" si="177"/>
        <v>5.4999999999999982</v>
      </c>
      <c r="H978" s="51"/>
      <c r="I978" s="51">
        <f t="shared" si="175"/>
        <v>5.4999999999999982</v>
      </c>
    </row>
    <row r="979" spans="1:9" x14ac:dyDescent="0.25">
      <c r="A979" s="133">
        <v>45627</v>
      </c>
      <c r="B979" s="51" t="s">
        <v>19</v>
      </c>
      <c r="C979" s="134">
        <v>0.41666666666666669</v>
      </c>
      <c r="D979" s="134">
        <v>0.66666666666666663</v>
      </c>
      <c r="E979" s="53">
        <f t="shared" si="176"/>
        <v>5.4999999999999982</v>
      </c>
      <c r="F979" s="51">
        <v>0.5</v>
      </c>
      <c r="G979" s="53">
        <f t="shared" si="177"/>
        <v>5.4999999999999982</v>
      </c>
      <c r="H979" s="51"/>
      <c r="I979" s="51">
        <f t="shared" si="175"/>
        <v>5.4999999999999982</v>
      </c>
    </row>
    <row r="980" spans="1:9" x14ac:dyDescent="0.25">
      <c r="A980" s="133">
        <v>45629</v>
      </c>
      <c r="B980" s="51" t="s">
        <v>19</v>
      </c>
      <c r="C980" s="134">
        <v>0.41666666666666669</v>
      </c>
      <c r="D980" s="134">
        <v>0.625</v>
      </c>
      <c r="E980" s="53">
        <f t="shared" si="176"/>
        <v>5</v>
      </c>
      <c r="F980" s="51"/>
      <c r="G980" s="53">
        <f t="shared" si="177"/>
        <v>7</v>
      </c>
      <c r="H980" s="51"/>
      <c r="I980" s="51">
        <f t="shared" si="175"/>
        <v>7</v>
      </c>
    </row>
    <row r="981" spans="1:9" x14ac:dyDescent="0.25">
      <c r="A981" s="133">
        <v>45629</v>
      </c>
      <c r="B981" s="51" t="s">
        <v>19</v>
      </c>
      <c r="C981" s="134">
        <v>0.41666666666666669</v>
      </c>
      <c r="D981" s="134">
        <v>0.625</v>
      </c>
      <c r="E981" s="53">
        <f t="shared" si="176"/>
        <v>5</v>
      </c>
      <c r="F981" s="51"/>
      <c r="G981" s="53">
        <f t="shared" si="177"/>
        <v>7</v>
      </c>
      <c r="H981" s="51"/>
      <c r="I981" s="51">
        <f t="shared" si="175"/>
        <v>7</v>
      </c>
    </row>
    <row r="982" spans="1:9" x14ac:dyDescent="0.25">
      <c r="A982" s="133">
        <v>45630</v>
      </c>
      <c r="B982" s="51" t="s">
        <v>19</v>
      </c>
      <c r="C982" s="134">
        <v>0.41666666666666669</v>
      </c>
      <c r="D982" s="134">
        <v>0.625</v>
      </c>
      <c r="E982" s="53">
        <f t="shared" si="176"/>
        <v>5</v>
      </c>
      <c r="F982" s="51"/>
      <c r="G982" s="53">
        <f t="shared" si="177"/>
        <v>7</v>
      </c>
      <c r="H982" s="51"/>
      <c r="I982" s="51">
        <f t="shared" si="175"/>
        <v>7</v>
      </c>
    </row>
    <row r="983" spans="1:9" x14ac:dyDescent="0.25">
      <c r="A983" s="133">
        <v>45630</v>
      </c>
      <c r="B983" s="51" t="s">
        <v>19</v>
      </c>
      <c r="C983" s="134">
        <v>0.41666666666666669</v>
      </c>
      <c r="D983" s="134">
        <v>0.625</v>
      </c>
      <c r="E983" s="53">
        <f t="shared" si="176"/>
        <v>5</v>
      </c>
      <c r="F983" s="51"/>
      <c r="G983" s="53">
        <f t="shared" si="177"/>
        <v>7</v>
      </c>
      <c r="H983" s="51"/>
      <c r="I983" s="51">
        <f t="shared" si="175"/>
        <v>7</v>
      </c>
    </row>
    <row r="984" spans="1:9" x14ac:dyDescent="0.25">
      <c r="A984" s="133">
        <v>45630</v>
      </c>
      <c r="B984" s="51" t="s">
        <v>19</v>
      </c>
      <c r="C984" s="134">
        <v>0.5</v>
      </c>
      <c r="D984" s="134">
        <v>0.70833333333333337</v>
      </c>
      <c r="E984" s="53">
        <f t="shared" si="176"/>
        <v>5.0000000000000009</v>
      </c>
      <c r="F984" s="51"/>
      <c r="G984" s="53">
        <f t="shared" si="177"/>
        <v>7.0000000000000009</v>
      </c>
      <c r="H984" s="51"/>
      <c r="I984" s="51">
        <f t="shared" si="175"/>
        <v>7.0000000000000009</v>
      </c>
    </row>
    <row r="985" spans="1:9" x14ac:dyDescent="0.25">
      <c r="A985" s="133">
        <v>45631</v>
      </c>
      <c r="B985" s="51" t="s">
        <v>19</v>
      </c>
      <c r="C985" s="134">
        <v>0.625</v>
      </c>
      <c r="D985" s="134">
        <v>0.97916666666666663</v>
      </c>
      <c r="E985" s="53">
        <f t="shared" si="176"/>
        <v>8</v>
      </c>
      <c r="F985" s="51">
        <v>0.5</v>
      </c>
      <c r="G985" s="53">
        <f t="shared" si="177"/>
        <v>10</v>
      </c>
      <c r="H985" s="51"/>
      <c r="I985" s="51">
        <f t="shared" si="175"/>
        <v>10</v>
      </c>
    </row>
    <row r="986" spans="1:9" x14ac:dyDescent="0.25">
      <c r="A986" s="133">
        <v>45631</v>
      </c>
      <c r="B986" s="51" t="s">
        <v>19</v>
      </c>
      <c r="C986" s="158">
        <v>0.625</v>
      </c>
      <c r="D986" s="158">
        <v>0.97916666666666663</v>
      </c>
      <c r="E986" s="53">
        <f t="shared" si="176"/>
        <v>8</v>
      </c>
      <c r="F986" s="51">
        <v>0.5</v>
      </c>
      <c r="G986" s="53">
        <f t="shared" si="177"/>
        <v>10</v>
      </c>
      <c r="H986" s="51"/>
      <c r="I986" s="51">
        <f t="shared" si="175"/>
        <v>10</v>
      </c>
    </row>
    <row r="987" spans="1:9" x14ac:dyDescent="0.25">
      <c r="A987" s="133">
        <v>45631</v>
      </c>
      <c r="B987" s="51" t="s">
        <v>19</v>
      </c>
      <c r="C987" s="158">
        <v>0.625</v>
      </c>
      <c r="D987" s="158">
        <v>0.97916666666666663</v>
      </c>
      <c r="E987" s="53">
        <f t="shared" si="176"/>
        <v>8</v>
      </c>
      <c r="F987" s="51">
        <v>0.5</v>
      </c>
      <c r="G987" s="53">
        <f t="shared" si="177"/>
        <v>10</v>
      </c>
      <c r="H987" s="51"/>
      <c r="I987" s="51">
        <f t="shared" si="175"/>
        <v>10</v>
      </c>
    </row>
    <row r="988" spans="1:9" x14ac:dyDescent="0.25">
      <c r="A988" s="133">
        <v>45631</v>
      </c>
      <c r="B988" s="51" t="s">
        <v>19</v>
      </c>
      <c r="C988" s="158">
        <v>0.625</v>
      </c>
      <c r="D988" s="158">
        <v>0.97916666666666663</v>
      </c>
      <c r="E988" s="53">
        <f t="shared" si="176"/>
        <v>8</v>
      </c>
      <c r="F988" s="51">
        <v>0.5</v>
      </c>
      <c r="G988" s="53">
        <f t="shared" si="177"/>
        <v>10</v>
      </c>
      <c r="H988" s="51"/>
      <c r="I988" s="51">
        <f t="shared" si="175"/>
        <v>10</v>
      </c>
    </row>
    <row r="989" spans="1:9" x14ac:dyDescent="0.25">
      <c r="A989" s="133">
        <v>45631</v>
      </c>
      <c r="B989" s="51" t="s">
        <v>19</v>
      </c>
      <c r="C989" s="158">
        <v>0.625</v>
      </c>
      <c r="D989" s="158">
        <v>0.97916666666666663</v>
      </c>
      <c r="E989" s="53">
        <f t="shared" si="176"/>
        <v>8</v>
      </c>
      <c r="F989" s="51">
        <v>0.5</v>
      </c>
      <c r="G989" s="53">
        <f t="shared" si="177"/>
        <v>10</v>
      </c>
      <c r="H989" s="51"/>
      <c r="I989" s="51">
        <f t="shared" si="175"/>
        <v>10</v>
      </c>
    </row>
    <row r="990" spans="1:9" x14ac:dyDescent="0.25">
      <c r="A990" s="133">
        <v>45631</v>
      </c>
      <c r="B990" s="51" t="s">
        <v>19</v>
      </c>
      <c r="C990" s="158">
        <v>0.8125</v>
      </c>
      <c r="D990" s="158">
        <v>0.97916666666666663</v>
      </c>
      <c r="E990" s="53">
        <f t="shared" si="176"/>
        <v>3.9999999999999991</v>
      </c>
      <c r="F990" s="51"/>
      <c r="G990" s="53">
        <f t="shared" si="177"/>
        <v>5.9999999999999991</v>
      </c>
      <c r="H990" s="51"/>
      <c r="I990" s="51">
        <f t="shared" si="175"/>
        <v>5.9999999999999991</v>
      </c>
    </row>
    <row r="991" spans="1:9" x14ac:dyDescent="0.25">
      <c r="A991" s="133">
        <v>45631</v>
      </c>
      <c r="B991" s="51" t="s">
        <v>19</v>
      </c>
      <c r="C991" s="158">
        <v>0.8125</v>
      </c>
      <c r="D991" s="158">
        <v>0.97916666666666663</v>
      </c>
      <c r="E991" s="53">
        <f t="shared" si="176"/>
        <v>3.9999999999999991</v>
      </c>
      <c r="F991" s="51"/>
      <c r="G991" s="53">
        <f t="shared" si="177"/>
        <v>5.9999999999999991</v>
      </c>
      <c r="H991" s="51"/>
      <c r="I991" s="51">
        <f t="shared" si="175"/>
        <v>5.9999999999999991</v>
      </c>
    </row>
    <row r="992" spans="1:9" x14ac:dyDescent="0.25">
      <c r="A992" s="133">
        <v>45632</v>
      </c>
      <c r="B992" s="51" t="s">
        <v>19</v>
      </c>
      <c r="C992" s="134">
        <v>0.41666666666666669</v>
      </c>
      <c r="D992" s="134">
        <v>0.625</v>
      </c>
      <c r="E992" s="53">
        <f t="shared" si="176"/>
        <v>5</v>
      </c>
      <c r="F992" s="51"/>
      <c r="G992" s="53">
        <f t="shared" si="177"/>
        <v>7</v>
      </c>
      <c r="H992" s="51"/>
      <c r="I992" s="51">
        <f t="shared" si="175"/>
        <v>7</v>
      </c>
    </row>
    <row r="993" spans="1:9" x14ac:dyDescent="0.25">
      <c r="A993" s="133">
        <v>45632</v>
      </c>
      <c r="B993" s="51" t="s">
        <v>19</v>
      </c>
      <c r="C993" s="134">
        <v>0.41666666666666669</v>
      </c>
      <c r="D993" s="134">
        <v>0.625</v>
      </c>
      <c r="E993" s="53">
        <f t="shared" si="176"/>
        <v>5</v>
      </c>
      <c r="F993" s="51"/>
      <c r="G993" s="53">
        <f t="shared" si="177"/>
        <v>7</v>
      </c>
      <c r="H993" s="51"/>
      <c r="I993" s="51">
        <f t="shared" si="175"/>
        <v>7</v>
      </c>
    </row>
    <row r="994" spans="1:9" x14ac:dyDescent="0.25">
      <c r="A994" s="133">
        <v>45636</v>
      </c>
      <c r="B994" s="51" t="s">
        <v>19</v>
      </c>
      <c r="C994" s="134">
        <v>0.64583333333333337</v>
      </c>
      <c r="D994" s="134">
        <v>0.8125</v>
      </c>
      <c r="E994" s="53">
        <f t="shared" si="176"/>
        <v>3.9999999999999991</v>
      </c>
      <c r="F994" s="51"/>
      <c r="G994" s="53">
        <f t="shared" si="177"/>
        <v>5.9999999999999991</v>
      </c>
      <c r="H994" s="51"/>
      <c r="I994" s="51">
        <f t="shared" si="175"/>
        <v>5.9999999999999991</v>
      </c>
    </row>
    <row r="995" spans="1:9" x14ac:dyDescent="0.25">
      <c r="A995" s="133">
        <v>45637</v>
      </c>
      <c r="B995" s="51" t="s">
        <v>19</v>
      </c>
      <c r="C995" s="134">
        <v>0.41666666666666669</v>
      </c>
      <c r="D995" s="134">
        <v>0.58333333333333337</v>
      </c>
      <c r="E995" s="53">
        <f t="shared" si="176"/>
        <v>4</v>
      </c>
      <c r="F995" s="51"/>
      <c r="G995" s="53">
        <f t="shared" si="177"/>
        <v>6</v>
      </c>
      <c r="H995" s="51"/>
      <c r="I995" s="51">
        <f t="shared" si="175"/>
        <v>6</v>
      </c>
    </row>
    <row r="996" spans="1:9" x14ac:dyDescent="0.25">
      <c r="A996" s="133">
        <v>45637</v>
      </c>
      <c r="B996" s="51" t="s">
        <v>19</v>
      </c>
      <c r="C996" s="134">
        <v>0.41666666666666669</v>
      </c>
      <c r="D996" s="134">
        <v>0.58333333333333337</v>
      </c>
      <c r="E996" s="53">
        <f t="shared" si="176"/>
        <v>4</v>
      </c>
      <c r="F996" s="51"/>
      <c r="G996" s="53">
        <f t="shared" si="177"/>
        <v>6</v>
      </c>
      <c r="H996" s="51"/>
      <c r="I996" s="51">
        <f t="shared" si="175"/>
        <v>6</v>
      </c>
    </row>
    <row r="997" spans="1:9" x14ac:dyDescent="0.25">
      <c r="A997" s="133">
        <v>45637</v>
      </c>
      <c r="B997" s="51" t="s">
        <v>19</v>
      </c>
      <c r="C997" s="134">
        <v>0.41666666666666669</v>
      </c>
      <c r="D997" s="134">
        <v>0.58333333333333337</v>
      </c>
      <c r="E997" s="53">
        <f t="shared" si="176"/>
        <v>4</v>
      </c>
      <c r="F997" s="51"/>
      <c r="G997" s="53">
        <f t="shared" si="177"/>
        <v>6</v>
      </c>
      <c r="H997" s="51"/>
      <c r="I997" s="51">
        <f t="shared" si="175"/>
        <v>6</v>
      </c>
    </row>
  </sheetData>
  <autoFilter ref="I1:I997" xr:uid="{D035702D-FAFF-48A2-9C3A-F15A4DA4A3D7}"/>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B753B-3C7B-4CB2-92D2-E23E4EC519C7}">
  <sheetPr>
    <tabColor rgb="FF00B050"/>
  </sheetPr>
  <dimension ref="A1:J997"/>
  <sheetViews>
    <sheetView topLeftCell="A4" zoomScaleNormal="100" workbookViewId="0">
      <selection activeCell="C12" sqref="C12"/>
    </sheetView>
  </sheetViews>
  <sheetFormatPr defaultRowHeight="15" x14ac:dyDescent="0.25"/>
  <cols>
    <col min="1" max="1" width="30.7109375" style="109" bestFit="1" customWidth="1"/>
    <col min="2" max="2" width="39.42578125" customWidth="1"/>
    <col min="3" max="4" width="39.42578125" style="29" customWidth="1"/>
    <col min="5" max="7" width="39.42578125" customWidth="1"/>
  </cols>
  <sheetData>
    <row r="1" spans="1:7" x14ac:dyDescent="0.25">
      <c r="A1" s="103" t="s">
        <v>83</v>
      </c>
      <c r="B1" s="9" t="s">
        <v>422</v>
      </c>
      <c r="C1" s="27" t="s">
        <v>85</v>
      </c>
      <c r="D1" s="27" t="s">
        <v>86</v>
      </c>
      <c r="E1" s="9" t="s">
        <v>16</v>
      </c>
      <c r="F1" s="37" t="s">
        <v>87</v>
      </c>
      <c r="G1" s="9" t="s">
        <v>25</v>
      </c>
    </row>
    <row r="2" spans="1:7" x14ac:dyDescent="0.25">
      <c r="A2" s="104">
        <v>45293</v>
      </c>
      <c r="B2" s="11" t="s">
        <v>56</v>
      </c>
      <c r="C2" s="28">
        <v>0.32291666666666669</v>
      </c>
      <c r="D2" s="28">
        <v>0.58333333333333337</v>
      </c>
      <c r="E2" s="30">
        <f>MOD((D2-C2),1) *24 - F2</f>
        <v>5.75</v>
      </c>
      <c r="F2" s="38">
        <v>0.5</v>
      </c>
      <c r="G2" s="12">
        <f>SUM(E:E)</f>
        <v>5521</v>
      </c>
    </row>
    <row r="3" spans="1:7" x14ac:dyDescent="0.25">
      <c r="A3" s="104">
        <v>45294</v>
      </c>
      <c r="B3" s="11" t="s">
        <v>56</v>
      </c>
      <c r="C3" s="28">
        <v>0.32291666666666669</v>
      </c>
      <c r="D3" s="28">
        <v>0.58333333333333337</v>
      </c>
      <c r="E3" s="30">
        <f t="shared" ref="E3:E63" si="0">MOD((D3-C3),1) *24 - F3</f>
        <v>5.75</v>
      </c>
      <c r="F3" s="38">
        <v>0.5</v>
      </c>
      <c r="G3" s="11"/>
    </row>
    <row r="4" spans="1:7" x14ac:dyDescent="0.25">
      <c r="A4" s="104">
        <v>45294</v>
      </c>
      <c r="B4" s="11" t="s">
        <v>56</v>
      </c>
      <c r="C4" s="28">
        <v>0.70833333333333337</v>
      </c>
      <c r="D4" s="28">
        <v>0.89583333333333337</v>
      </c>
      <c r="E4" s="30">
        <f t="shared" si="0"/>
        <v>4.5</v>
      </c>
      <c r="F4" s="38"/>
      <c r="G4" s="11"/>
    </row>
    <row r="5" spans="1:7" x14ac:dyDescent="0.25">
      <c r="A5" s="104">
        <v>45295</v>
      </c>
      <c r="B5" s="11" t="s">
        <v>56</v>
      </c>
      <c r="C5" s="28">
        <v>0.32291666666666669</v>
      </c>
      <c r="D5" s="28">
        <v>0.58333333333333337</v>
      </c>
      <c r="E5" s="30">
        <f t="shared" si="0"/>
        <v>5.75</v>
      </c>
      <c r="F5" s="38">
        <v>0.5</v>
      </c>
      <c r="G5" s="11"/>
    </row>
    <row r="6" spans="1:7" x14ac:dyDescent="0.25">
      <c r="A6" s="104">
        <v>45296</v>
      </c>
      <c r="B6" s="11" t="s">
        <v>56</v>
      </c>
      <c r="C6" s="28">
        <v>0.32291666666666669</v>
      </c>
      <c r="D6" s="28">
        <v>0.58333333333333337</v>
      </c>
      <c r="E6" s="30">
        <f t="shared" si="0"/>
        <v>5.75</v>
      </c>
      <c r="F6" s="38">
        <v>0.5</v>
      </c>
      <c r="G6" s="11"/>
    </row>
    <row r="7" spans="1:7" x14ac:dyDescent="0.25">
      <c r="A7" s="104">
        <v>45297</v>
      </c>
      <c r="B7" s="11" t="s">
        <v>49</v>
      </c>
      <c r="C7" s="28">
        <v>0.33333333333333331</v>
      </c>
      <c r="D7" s="28">
        <v>0.45833333333333331</v>
      </c>
      <c r="E7" s="30">
        <f t="shared" si="0"/>
        <v>3</v>
      </c>
      <c r="F7" s="38"/>
      <c r="G7" s="11"/>
    </row>
    <row r="8" spans="1:7" x14ac:dyDescent="0.25">
      <c r="A8" s="104">
        <v>45297</v>
      </c>
      <c r="B8" s="11" t="s">
        <v>56</v>
      </c>
      <c r="C8" s="28">
        <v>0.33333333333333331</v>
      </c>
      <c r="D8" s="28">
        <v>0.5</v>
      </c>
      <c r="E8" s="30">
        <f t="shared" si="0"/>
        <v>4</v>
      </c>
      <c r="F8" s="38"/>
      <c r="G8" s="11"/>
    </row>
    <row r="9" spans="1:7" x14ac:dyDescent="0.25">
      <c r="A9" s="104">
        <v>45297</v>
      </c>
      <c r="B9" s="11" t="s">
        <v>53</v>
      </c>
      <c r="C9" s="28">
        <v>0.58333333333333337</v>
      </c>
      <c r="D9" s="28">
        <v>2.0833333333333332E-2</v>
      </c>
      <c r="E9" s="30">
        <f t="shared" si="0"/>
        <v>9.5</v>
      </c>
      <c r="F9" s="38">
        <v>1</v>
      </c>
      <c r="G9" s="11"/>
    </row>
    <row r="10" spans="1:7" x14ac:dyDescent="0.25">
      <c r="A10" s="104">
        <v>45297</v>
      </c>
      <c r="B10" s="11" t="s">
        <v>58</v>
      </c>
      <c r="C10" s="28">
        <v>0.58333333333333337</v>
      </c>
      <c r="D10" s="28">
        <v>0.91666666666666663</v>
      </c>
      <c r="E10" s="30">
        <f t="shared" si="0"/>
        <v>7.4999999999999982</v>
      </c>
      <c r="F10" s="38">
        <v>0.5</v>
      </c>
      <c r="G10" s="11"/>
    </row>
    <row r="11" spans="1:7" x14ac:dyDescent="0.25">
      <c r="A11" s="104">
        <v>45298</v>
      </c>
      <c r="B11" s="11" t="s">
        <v>58</v>
      </c>
      <c r="C11" s="28">
        <v>0.41666666666666669</v>
      </c>
      <c r="D11" s="28">
        <v>0.70833333333333337</v>
      </c>
      <c r="E11" s="30">
        <f t="shared" si="0"/>
        <v>6.5</v>
      </c>
      <c r="F11" s="38">
        <v>0.5</v>
      </c>
      <c r="G11" s="11"/>
    </row>
    <row r="12" spans="1:7" x14ac:dyDescent="0.25">
      <c r="A12" s="104">
        <v>45299</v>
      </c>
      <c r="B12" s="11" t="s">
        <v>56</v>
      </c>
      <c r="C12" s="28">
        <v>0.32291666666666669</v>
      </c>
      <c r="D12" s="28">
        <v>0.58333333333333337</v>
      </c>
      <c r="E12" s="30">
        <f t="shared" si="0"/>
        <v>5.75</v>
      </c>
      <c r="F12" s="38">
        <v>0.5</v>
      </c>
      <c r="G12" s="11"/>
    </row>
    <row r="13" spans="1:7" x14ac:dyDescent="0.25">
      <c r="A13" s="104">
        <v>45300</v>
      </c>
      <c r="B13" s="11" t="s">
        <v>56</v>
      </c>
      <c r="C13" s="28">
        <v>0.32291666666666669</v>
      </c>
      <c r="D13" s="28">
        <v>0.58333333333333337</v>
      </c>
      <c r="E13" s="30">
        <f t="shared" si="0"/>
        <v>5.75</v>
      </c>
      <c r="F13" s="38">
        <v>0.5</v>
      </c>
      <c r="G13" s="11"/>
    </row>
    <row r="14" spans="1:7" x14ac:dyDescent="0.25">
      <c r="A14" s="104">
        <v>45301</v>
      </c>
      <c r="B14" s="11" t="s">
        <v>56</v>
      </c>
      <c r="C14" s="28">
        <v>0.32291666666666669</v>
      </c>
      <c r="D14" s="28">
        <v>0.58333333333333337</v>
      </c>
      <c r="E14" s="30">
        <f t="shared" si="0"/>
        <v>5.75</v>
      </c>
      <c r="F14" s="38">
        <v>0.5</v>
      </c>
      <c r="G14" s="11"/>
    </row>
    <row r="15" spans="1:7" x14ac:dyDescent="0.25">
      <c r="A15" s="104">
        <v>45301</v>
      </c>
      <c r="B15" s="11" t="s">
        <v>56</v>
      </c>
      <c r="C15" s="28">
        <v>0.70833333333333337</v>
      </c>
      <c r="D15" s="28">
        <v>0.89583333333333337</v>
      </c>
      <c r="E15" s="30">
        <f t="shared" si="0"/>
        <v>4.5</v>
      </c>
      <c r="F15" s="38"/>
      <c r="G15" s="11"/>
    </row>
    <row r="16" spans="1:7" x14ac:dyDescent="0.25">
      <c r="A16" s="104">
        <v>45302</v>
      </c>
      <c r="B16" s="11" t="s">
        <v>56</v>
      </c>
      <c r="C16" s="28">
        <v>0.32291666666666669</v>
      </c>
      <c r="D16" s="28">
        <v>0.58333333333333337</v>
      </c>
      <c r="E16" s="30">
        <f t="shared" si="0"/>
        <v>5.75</v>
      </c>
      <c r="F16" s="38">
        <v>0.5</v>
      </c>
      <c r="G16" s="11"/>
    </row>
    <row r="17" spans="1:7" x14ac:dyDescent="0.25">
      <c r="A17" s="104">
        <v>45302</v>
      </c>
      <c r="B17" s="11" t="s">
        <v>56</v>
      </c>
      <c r="C17" s="28">
        <v>0.75</v>
      </c>
      <c r="D17" s="28">
        <v>0.95833333333333337</v>
      </c>
      <c r="E17" s="30">
        <f t="shared" si="0"/>
        <v>5.0000000000000009</v>
      </c>
      <c r="F17" s="38"/>
      <c r="G17" s="11"/>
    </row>
    <row r="18" spans="1:7" x14ac:dyDescent="0.25">
      <c r="A18" s="104">
        <v>45303</v>
      </c>
      <c r="B18" s="11" t="s">
        <v>56</v>
      </c>
      <c r="C18" s="28">
        <v>0.32291666666666669</v>
      </c>
      <c r="D18" s="28">
        <v>0.58333333333333337</v>
      </c>
      <c r="E18" s="30">
        <f t="shared" si="0"/>
        <v>5.75</v>
      </c>
      <c r="F18" s="38">
        <v>0.5</v>
      </c>
      <c r="G18" s="11"/>
    </row>
    <row r="19" spans="1:7" x14ac:dyDescent="0.25">
      <c r="A19" s="104">
        <v>45303</v>
      </c>
      <c r="B19" s="11" t="s">
        <v>51</v>
      </c>
      <c r="C19" s="28">
        <v>0.58333333333333337</v>
      </c>
      <c r="D19" s="28">
        <v>0</v>
      </c>
      <c r="E19" s="30">
        <f t="shared" si="0"/>
        <v>9</v>
      </c>
      <c r="F19" s="38">
        <v>1</v>
      </c>
      <c r="G19" s="11"/>
    </row>
    <row r="20" spans="1:7" x14ac:dyDescent="0.25">
      <c r="A20" s="104">
        <v>45304</v>
      </c>
      <c r="B20" s="11" t="s">
        <v>56</v>
      </c>
      <c r="C20" s="28">
        <v>0.33333333333333331</v>
      </c>
      <c r="D20" s="28">
        <v>0.5</v>
      </c>
      <c r="E20" s="30">
        <f t="shared" si="0"/>
        <v>4</v>
      </c>
      <c r="F20" s="38"/>
      <c r="G20" s="11"/>
    </row>
    <row r="21" spans="1:7" x14ac:dyDescent="0.25">
      <c r="A21" s="104">
        <v>45304</v>
      </c>
      <c r="B21" s="11" t="s">
        <v>53</v>
      </c>
      <c r="C21" s="28">
        <v>0.39583333333333331</v>
      </c>
      <c r="D21" s="28">
        <v>0.72916666666666663</v>
      </c>
      <c r="E21" s="30">
        <f t="shared" si="0"/>
        <v>7.5</v>
      </c>
      <c r="F21" s="38">
        <v>0.5</v>
      </c>
      <c r="G21" s="11"/>
    </row>
    <row r="22" spans="1:7" x14ac:dyDescent="0.25">
      <c r="A22" s="104">
        <v>45304</v>
      </c>
      <c r="B22" s="11" t="s">
        <v>48</v>
      </c>
      <c r="C22" s="28">
        <v>0.45833333333333331</v>
      </c>
      <c r="D22" s="28">
        <v>0.91666666666666663</v>
      </c>
      <c r="E22" s="30">
        <f t="shared" si="0"/>
        <v>10</v>
      </c>
      <c r="F22" s="38">
        <v>1</v>
      </c>
      <c r="G22" s="11"/>
    </row>
    <row r="23" spans="1:7" x14ac:dyDescent="0.25">
      <c r="A23" s="104">
        <v>45304</v>
      </c>
      <c r="B23" s="11" t="s">
        <v>58</v>
      </c>
      <c r="C23" s="28">
        <v>0.52083333333333337</v>
      </c>
      <c r="D23" s="28">
        <v>0.79166666666666663</v>
      </c>
      <c r="E23" s="30">
        <f t="shared" si="0"/>
        <v>5.9999999999999982</v>
      </c>
      <c r="F23" s="38">
        <v>0.5</v>
      </c>
      <c r="G23" s="11"/>
    </row>
    <row r="24" spans="1:7" x14ac:dyDescent="0.25">
      <c r="A24" s="104">
        <v>45305</v>
      </c>
      <c r="B24" s="11" t="s">
        <v>58</v>
      </c>
      <c r="C24" s="28">
        <v>0.33333333333333331</v>
      </c>
      <c r="D24" s="28">
        <v>0.66666666666666663</v>
      </c>
      <c r="E24" s="30">
        <f t="shared" si="0"/>
        <v>7.5</v>
      </c>
      <c r="F24" s="38">
        <v>0.5</v>
      </c>
      <c r="G24" s="11"/>
    </row>
    <row r="25" spans="1:7" x14ac:dyDescent="0.25">
      <c r="A25" s="104">
        <v>45305</v>
      </c>
      <c r="B25" s="11" t="s">
        <v>53</v>
      </c>
      <c r="C25" s="28">
        <v>0.45833333333333331</v>
      </c>
      <c r="D25" s="28">
        <v>0.75</v>
      </c>
      <c r="E25" s="30">
        <f t="shared" si="0"/>
        <v>6.5</v>
      </c>
      <c r="F25" s="38">
        <v>0.5</v>
      </c>
      <c r="G25" s="11"/>
    </row>
    <row r="26" spans="1:7" x14ac:dyDescent="0.25">
      <c r="A26" s="104">
        <v>45307</v>
      </c>
      <c r="B26" s="11" t="s">
        <v>56</v>
      </c>
      <c r="C26" s="28">
        <v>0.32291666666666669</v>
      </c>
      <c r="D26" s="28">
        <v>0.58333333333333337</v>
      </c>
      <c r="E26" s="30">
        <f t="shared" si="0"/>
        <v>5.75</v>
      </c>
      <c r="F26" s="38">
        <v>0.5</v>
      </c>
      <c r="G26" s="11"/>
    </row>
    <row r="27" spans="1:7" x14ac:dyDescent="0.25">
      <c r="A27" s="104">
        <v>45308</v>
      </c>
      <c r="B27" s="11" t="s">
        <v>56</v>
      </c>
      <c r="C27" s="28">
        <v>0.32291666666666669</v>
      </c>
      <c r="D27" s="28">
        <v>0.58333333333333337</v>
      </c>
      <c r="E27" s="30">
        <f t="shared" si="0"/>
        <v>5.75</v>
      </c>
      <c r="F27" s="38">
        <v>0.5</v>
      </c>
      <c r="G27" s="11"/>
    </row>
    <row r="28" spans="1:7" x14ac:dyDescent="0.25">
      <c r="A28" s="104">
        <v>45308</v>
      </c>
      <c r="B28" s="11" t="s">
        <v>58</v>
      </c>
      <c r="C28" s="28">
        <v>0.66666666666666663</v>
      </c>
      <c r="D28" s="28">
        <v>0.89583333333333337</v>
      </c>
      <c r="E28" s="30">
        <f t="shared" si="0"/>
        <v>5.5000000000000018</v>
      </c>
      <c r="F28" s="38"/>
      <c r="G28" s="11"/>
    </row>
    <row r="29" spans="1:7" x14ac:dyDescent="0.25">
      <c r="A29" s="104">
        <v>45308</v>
      </c>
      <c r="B29" s="11" t="s">
        <v>53</v>
      </c>
      <c r="C29" s="28">
        <v>0.70833333333333337</v>
      </c>
      <c r="D29" s="28">
        <v>0.875</v>
      </c>
      <c r="E29" s="30">
        <f t="shared" si="0"/>
        <v>3.9999999999999991</v>
      </c>
      <c r="F29" s="38"/>
      <c r="G29" s="11"/>
    </row>
    <row r="30" spans="1:7" x14ac:dyDescent="0.25">
      <c r="A30" s="104">
        <v>45309</v>
      </c>
      <c r="B30" s="11" t="s">
        <v>56</v>
      </c>
      <c r="C30" s="28">
        <v>0.32291666666666669</v>
      </c>
      <c r="D30" s="28">
        <v>0.58333333333333337</v>
      </c>
      <c r="E30" s="30">
        <f t="shared" si="0"/>
        <v>5.75</v>
      </c>
      <c r="F30" s="38">
        <v>0.5</v>
      </c>
      <c r="G30" s="11"/>
    </row>
    <row r="31" spans="1:7" x14ac:dyDescent="0.25">
      <c r="A31" s="104">
        <v>45309</v>
      </c>
      <c r="B31" s="11" t="s">
        <v>56</v>
      </c>
      <c r="C31" s="28">
        <v>0.75</v>
      </c>
      <c r="D31" s="28">
        <v>0.9375</v>
      </c>
      <c r="E31" s="30">
        <f t="shared" si="0"/>
        <v>4.5</v>
      </c>
      <c r="F31" s="38"/>
      <c r="G31" s="11"/>
    </row>
    <row r="32" spans="1:7" x14ac:dyDescent="0.25">
      <c r="A32" s="104">
        <v>45310</v>
      </c>
      <c r="B32" s="11" t="s">
        <v>56</v>
      </c>
      <c r="C32" s="28">
        <v>0.32291666666666669</v>
      </c>
      <c r="D32" s="28">
        <v>0.58333333333333337</v>
      </c>
      <c r="E32" s="30">
        <f t="shared" si="0"/>
        <v>5.75</v>
      </c>
      <c r="F32" s="38">
        <v>0.5</v>
      </c>
      <c r="G32" s="11"/>
    </row>
    <row r="33" spans="1:7" x14ac:dyDescent="0.25">
      <c r="A33" s="104">
        <v>45311</v>
      </c>
      <c r="B33" s="11" t="s">
        <v>56</v>
      </c>
      <c r="C33" s="28">
        <v>0.33333333333333331</v>
      </c>
      <c r="D33" s="28">
        <v>0.5</v>
      </c>
      <c r="E33" s="30">
        <f t="shared" si="0"/>
        <v>4</v>
      </c>
      <c r="F33" s="38"/>
      <c r="G33" s="11"/>
    </row>
    <row r="34" spans="1:7" x14ac:dyDescent="0.25">
      <c r="A34" s="104">
        <v>45311</v>
      </c>
      <c r="B34" s="11" t="s">
        <v>53</v>
      </c>
      <c r="C34" s="28">
        <v>0.45833333333333331</v>
      </c>
      <c r="D34" s="28">
        <v>0.75</v>
      </c>
      <c r="E34" s="30">
        <f t="shared" si="0"/>
        <v>6.5</v>
      </c>
      <c r="F34" s="38">
        <v>0.5</v>
      </c>
      <c r="G34" s="11"/>
    </row>
    <row r="35" spans="1:7" x14ac:dyDescent="0.25">
      <c r="A35" s="104">
        <v>45311</v>
      </c>
      <c r="B35" s="11" t="s">
        <v>58</v>
      </c>
      <c r="C35" s="28">
        <v>0.54166666666666663</v>
      </c>
      <c r="D35" s="28">
        <v>0.91666666666666663</v>
      </c>
      <c r="E35" s="30">
        <f t="shared" si="0"/>
        <v>8</v>
      </c>
      <c r="F35" s="38">
        <v>1</v>
      </c>
      <c r="G35" s="11"/>
    </row>
    <row r="36" spans="1:7" x14ac:dyDescent="0.25">
      <c r="A36" s="104">
        <v>45312</v>
      </c>
      <c r="B36" s="11" t="s">
        <v>58</v>
      </c>
      <c r="C36" s="28">
        <v>0.29166666666666669</v>
      </c>
      <c r="D36" s="28">
        <v>0.58333333333333337</v>
      </c>
      <c r="E36" s="30">
        <f t="shared" si="0"/>
        <v>6.5</v>
      </c>
      <c r="F36" s="38">
        <v>0.5</v>
      </c>
      <c r="G36" s="11"/>
    </row>
    <row r="37" spans="1:7" x14ac:dyDescent="0.25">
      <c r="A37" s="104">
        <v>45313</v>
      </c>
      <c r="B37" s="11" t="s">
        <v>56</v>
      </c>
      <c r="C37" s="28">
        <v>0.32291666666666669</v>
      </c>
      <c r="D37" s="28">
        <v>0.58333333333333337</v>
      </c>
      <c r="E37" s="30">
        <f t="shared" si="0"/>
        <v>5.75</v>
      </c>
      <c r="F37" s="38">
        <v>0.5</v>
      </c>
      <c r="G37" s="11"/>
    </row>
    <row r="38" spans="1:7" x14ac:dyDescent="0.25">
      <c r="A38" s="104">
        <v>45314</v>
      </c>
      <c r="B38" s="11" t="s">
        <v>56</v>
      </c>
      <c r="C38" s="28">
        <v>0.32291666666666669</v>
      </c>
      <c r="D38" s="28">
        <v>0.58333333333333337</v>
      </c>
      <c r="E38" s="30">
        <f t="shared" si="0"/>
        <v>5.75</v>
      </c>
      <c r="F38" s="38">
        <v>0.5</v>
      </c>
      <c r="G38" s="11"/>
    </row>
    <row r="39" spans="1:7" x14ac:dyDescent="0.25">
      <c r="A39" s="104">
        <v>45315</v>
      </c>
      <c r="B39" s="11" t="s">
        <v>56</v>
      </c>
      <c r="C39" s="28">
        <v>0.32291666666666669</v>
      </c>
      <c r="D39" s="28">
        <v>0.58333333333333337</v>
      </c>
      <c r="E39" s="30">
        <f t="shared" si="0"/>
        <v>5.75</v>
      </c>
      <c r="F39" s="38">
        <v>0.5</v>
      </c>
      <c r="G39" s="11"/>
    </row>
    <row r="40" spans="1:7" x14ac:dyDescent="0.25">
      <c r="A40" s="104">
        <v>45315</v>
      </c>
      <c r="B40" s="11" t="s">
        <v>56</v>
      </c>
      <c r="C40" s="28">
        <v>0.70833333333333337</v>
      </c>
      <c r="D40" s="28">
        <v>0.89583333333333337</v>
      </c>
      <c r="E40" s="30">
        <f t="shared" si="0"/>
        <v>4.5</v>
      </c>
      <c r="F40" s="38"/>
      <c r="G40" s="11"/>
    </row>
    <row r="41" spans="1:7" x14ac:dyDescent="0.25">
      <c r="A41" s="104">
        <v>45316</v>
      </c>
      <c r="B41" s="11" t="s">
        <v>56</v>
      </c>
      <c r="C41" s="28">
        <v>0.32291666666666669</v>
      </c>
      <c r="D41" s="28">
        <v>0.58333333333333337</v>
      </c>
      <c r="E41" s="30">
        <f t="shared" si="0"/>
        <v>5.75</v>
      </c>
      <c r="F41" s="38">
        <v>0.5</v>
      </c>
      <c r="G41" s="11"/>
    </row>
    <row r="42" spans="1:7" x14ac:dyDescent="0.25">
      <c r="A42" s="104">
        <v>45316</v>
      </c>
      <c r="B42" s="11" t="s">
        <v>56</v>
      </c>
      <c r="C42" s="28">
        <v>0.75</v>
      </c>
      <c r="D42" s="28">
        <v>0.9375</v>
      </c>
      <c r="E42" s="30">
        <f t="shared" si="0"/>
        <v>4.5</v>
      </c>
      <c r="F42" s="38"/>
      <c r="G42" s="11"/>
    </row>
    <row r="43" spans="1:7" x14ac:dyDescent="0.25">
      <c r="A43" s="104">
        <v>45317</v>
      </c>
      <c r="B43" s="11" t="s">
        <v>56</v>
      </c>
      <c r="C43" s="28">
        <v>0.32291666666666669</v>
      </c>
      <c r="D43" s="28">
        <v>0.58333333333333337</v>
      </c>
      <c r="E43" s="30">
        <f t="shared" si="0"/>
        <v>5.75</v>
      </c>
      <c r="F43" s="38">
        <v>0.5</v>
      </c>
      <c r="G43" s="11"/>
    </row>
    <row r="44" spans="1:7" x14ac:dyDescent="0.25">
      <c r="A44" s="104">
        <v>45317</v>
      </c>
      <c r="B44" s="11" t="s">
        <v>53</v>
      </c>
      <c r="C44" s="28">
        <v>0.625</v>
      </c>
      <c r="D44" s="28">
        <v>0.91666666666666663</v>
      </c>
      <c r="E44" s="30">
        <f t="shared" si="0"/>
        <v>6.4999999999999991</v>
      </c>
      <c r="F44" s="38">
        <v>0.5</v>
      </c>
      <c r="G44" s="11"/>
    </row>
    <row r="45" spans="1:7" x14ac:dyDescent="0.25">
      <c r="A45" s="104">
        <v>45317</v>
      </c>
      <c r="B45" s="11" t="s">
        <v>58</v>
      </c>
      <c r="C45" s="28">
        <v>0.65625</v>
      </c>
      <c r="D45" s="28">
        <v>4.1666666666666664E-2</v>
      </c>
      <c r="E45" s="30">
        <f t="shared" si="0"/>
        <v>8.25</v>
      </c>
      <c r="F45" s="38">
        <v>1</v>
      </c>
      <c r="G45" s="11"/>
    </row>
    <row r="46" spans="1:7" x14ac:dyDescent="0.25">
      <c r="A46" s="104">
        <v>45318</v>
      </c>
      <c r="B46" s="11" t="s">
        <v>56</v>
      </c>
      <c r="C46" s="28">
        <v>0.33333333333333331</v>
      </c>
      <c r="D46" s="28">
        <v>0.5</v>
      </c>
      <c r="E46" s="30">
        <f t="shared" si="0"/>
        <v>4</v>
      </c>
      <c r="F46" s="38"/>
      <c r="G46" s="11"/>
    </row>
    <row r="47" spans="1:7" x14ac:dyDescent="0.25">
      <c r="A47" s="104">
        <v>45318</v>
      </c>
      <c r="B47" s="11" t="s">
        <v>58</v>
      </c>
      <c r="C47" s="28">
        <v>0.54166666666666663</v>
      </c>
      <c r="D47" s="28">
        <v>0.85416666666666663</v>
      </c>
      <c r="E47" s="30">
        <f t="shared" si="0"/>
        <v>7</v>
      </c>
      <c r="F47" s="38">
        <v>0.5</v>
      </c>
      <c r="G47" s="11"/>
    </row>
    <row r="48" spans="1:7" x14ac:dyDescent="0.25">
      <c r="A48" s="104">
        <v>45319</v>
      </c>
      <c r="B48" s="11" t="s">
        <v>58</v>
      </c>
      <c r="C48" s="28">
        <v>0.41666666666666669</v>
      </c>
      <c r="D48" s="28">
        <v>0.70833333333333337</v>
      </c>
      <c r="E48" s="30">
        <f t="shared" si="0"/>
        <v>6.5</v>
      </c>
      <c r="F48" s="38">
        <v>0.5</v>
      </c>
      <c r="G48" s="11"/>
    </row>
    <row r="49" spans="1:7" x14ac:dyDescent="0.25">
      <c r="A49" s="104">
        <v>45320</v>
      </c>
      <c r="B49" s="11" t="s">
        <v>56</v>
      </c>
      <c r="C49" s="28">
        <v>0.32291666666666669</v>
      </c>
      <c r="D49" s="28">
        <v>0.58333333333333337</v>
      </c>
      <c r="E49" s="30">
        <f t="shared" si="0"/>
        <v>5.75</v>
      </c>
      <c r="F49" s="38">
        <v>0.5</v>
      </c>
      <c r="G49" s="11"/>
    </row>
    <row r="50" spans="1:7" x14ac:dyDescent="0.25">
      <c r="A50" s="104">
        <v>45320</v>
      </c>
      <c r="B50" s="11" t="s">
        <v>49</v>
      </c>
      <c r="C50" s="28">
        <v>0.6875</v>
      </c>
      <c r="D50" s="28">
        <v>0.85416666666666663</v>
      </c>
      <c r="E50" s="30">
        <f t="shared" si="0"/>
        <v>3.9999999999999991</v>
      </c>
      <c r="F50" s="38"/>
      <c r="G50" s="11"/>
    </row>
    <row r="51" spans="1:7" x14ac:dyDescent="0.25">
      <c r="A51" s="104">
        <v>45321</v>
      </c>
      <c r="B51" s="11" t="s">
        <v>56</v>
      </c>
      <c r="C51" s="28">
        <v>0.32291666666666669</v>
      </c>
      <c r="D51" s="28">
        <v>0.58333333333333337</v>
      </c>
      <c r="E51" s="30">
        <f t="shared" si="0"/>
        <v>5.75</v>
      </c>
      <c r="F51" s="38">
        <v>0.5</v>
      </c>
      <c r="G51" s="11"/>
    </row>
    <row r="52" spans="1:7" x14ac:dyDescent="0.25">
      <c r="A52" s="104">
        <v>45321</v>
      </c>
      <c r="B52" s="11" t="s">
        <v>56</v>
      </c>
      <c r="C52" s="28">
        <v>0.70833333333333337</v>
      </c>
      <c r="D52" s="28">
        <v>0.9375</v>
      </c>
      <c r="E52" s="30">
        <f t="shared" si="0"/>
        <v>5.4999999999999991</v>
      </c>
      <c r="F52" s="38"/>
      <c r="G52" s="11"/>
    </row>
    <row r="53" spans="1:7" x14ac:dyDescent="0.25">
      <c r="A53" s="104">
        <v>45322</v>
      </c>
      <c r="B53" s="11" t="s">
        <v>56</v>
      </c>
      <c r="C53" s="28">
        <v>0.32291666666666669</v>
      </c>
      <c r="D53" s="28">
        <v>0.58333333333333337</v>
      </c>
      <c r="E53" s="30">
        <f t="shared" si="0"/>
        <v>5.75</v>
      </c>
      <c r="F53" s="38">
        <v>0.5</v>
      </c>
      <c r="G53" s="11"/>
    </row>
    <row r="54" spans="1:7" x14ac:dyDescent="0.25">
      <c r="A54" s="104">
        <v>45322</v>
      </c>
      <c r="B54" s="11" t="s">
        <v>56</v>
      </c>
      <c r="C54" s="28">
        <v>0.70833333333333337</v>
      </c>
      <c r="D54" s="28">
        <v>0.89583333333333337</v>
      </c>
      <c r="E54" s="30">
        <f t="shared" si="0"/>
        <v>4.5</v>
      </c>
      <c r="F54" s="38"/>
      <c r="G54" s="11"/>
    </row>
    <row r="55" spans="1:7" x14ac:dyDescent="0.25">
      <c r="A55" s="104">
        <v>45323</v>
      </c>
      <c r="B55" s="11" t="s">
        <v>56</v>
      </c>
      <c r="C55" s="28">
        <v>0.32291666666666669</v>
      </c>
      <c r="D55" s="28">
        <v>0.58333333333333337</v>
      </c>
      <c r="E55" s="30">
        <f t="shared" si="0"/>
        <v>5.75</v>
      </c>
      <c r="F55" s="38">
        <v>0.5</v>
      </c>
      <c r="G55" s="12">
        <f>SUM(E:E)</f>
        <v>5521</v>
      </c>
    </row>
    <row r="56" spans="1:7" x14ac:dyDescent="0.25">
      <c r="A56" s="104">
        <v>45323</v>
      </c>
      <c r="B56" s="11" t="s">
        <v>56</v>
      </c>
      <c r="C56" s="28">
        <v>0.77083333333333337</v>
      </c>
      <c r="D56" s="28">
        <v>0.9375</v>
      </c>
      <c r="E56" s="30">
        <f t="shared" si="0"/>
        <v>3.9999999999999991</v>
      </c>
      <c r="F56" s="38"/>
      <c r="G56" s="11"/>
    </row>
    <row r="57" spans="1:7" x14ac:dyDescent="0.25">
      <c r="A57" s="104">
        <v>45324</v>
      </c>
      <c r="B57" s="11" t="s">
        <v>56</v>
      </c>
      <c r="C57" s="28">
        <v>0.32291666666666669</v>
      </c>
      <c r="D57" s="28">
        <v>0.58333333333333337</v>
      </c>
      <c r="E57" s="30">
        <f t="shared" si="0"/>
        <v>5.75</v>
      </c>
      <c r="F57" s="38">
        <v>0.5</v>
      </c>
      <c r="G57" s="11"/>
    </row>
    <row r="58" spans="1:7" x14ac:dyDescent="0.25">
      <c r="A58" s="104">
        <v>45327</v>
      </c>
      <c r="B58" s="11" t="s">
        <v>56</v>
      </c>
      <c r="C58" s="28">
        <v>0.32291666666666669</v>
      </c>
      <c r="D58" s="28">
        <v>0.58333333333333337</v>
      </c>
      <c r="E58" s="30">
        <f t="shared" si="0"/>
        <v>5.75</v>
      </c>
      <c r="F58" s="38">
        <v>0.5</v>
      </c>
      <c r="G58" s="11"/>
    </row>
    <row r="59" spans="1:7" x14ac:dyDescent="0.25">
      <c r="A59" s="104">
        <v>45328</v>
      </c>
      <c r="B59" s="11" t="s">
        <v>56</v>
      </c>
      <c r="C59" s="28">
        <v>0.32291666666666669</v>
      </c>
      <c r="D59" s="28">
        <v>0.58333333333333337</v>
      </c>
      <c r="E59" s="30">
        <f t="shared" si="0"/>
        <v>5.75</v>
      </c>
      <c r="F59" s="38">
        <v>0.5</v>
      </c>
      <c r="G59" s="11"/>
    </row>
    <row r="60" spans="1:7" x14ac:dyDescent="0.25">
      <c r="A60" s="104">
        <v>45329</v>
      </c>
      <c r="B60" s="11" t="s">
        <v>56</v>
      </c>
      <c r="C60" s="28">
        <v>0.32291666666666669</v>
      </c>
      <c r="D60" s="28">
        <v>0.58333333333333337</v>
      </c>
      <c r="E60" s="30">
        <f t="shared" si="0"/>
        <v>5.75</v>
      </c>
      <c r="F60" s="38">
        <v>0.5</v>
      </c>
      <c r="G60" s="11"/>
    </row>
    <row r="61" spans="1:7" x14ac:dyDescent="0.25">
      <c r="A61" s="104">
        <v>45329</v>
      </c>
      <c r="B61" s="11" t="s">
        <v>56</v>
      </c>
      <c r="C61" s="28">
        <v>0.6875</v>
      </c>
      <c r="D61" s="28">
        <v>0.875</v>
      </c>
      <c r="E61" s="30">
        <f t="shared" si="0"/>
        <v>4.5</v>
      </c>
      <c r="F61" s="38"/>
      <c r="G61" s="11"/>
    </row>
    <row r="62" spans="1:7" x14ac:dyDescent="0.25">
      <c r="A62" s="104">
        <v>45329</v>
      </c>
      <c r="B62" s="11" t="s">
        <v>49</v>
      </c>
      <c r="C62" s="28">
        <v>0.70833333333333337</v>
      </c>
      <c r="D62" s="28">
        <v>0.89583333333333337</v>
      </c>
      <c r="E62" s="30">
        <f t="shared" si="0"/>
        <v>4.5</v>
      </c>
      <c r="F62" s="38"/>
      <c r="G62" s="11"/>
    </row>
    <row r="63" spans="1:7" x14ac:dyDescent="0.25">
      <c r="A63" s="104">
        <v>45330</v>
      </c>
      <c r="B63" s="11" t="s">
        <v>56</v>
      </c>
      <c r="C63" s="28">
        <v>0.32291666666666669</v>
      </c>
      <c r="D63" s="28">
        <v>0.58333333333333337</v>
      </c>
      <c r="E63" s="30">
        <f t="shared" si="0"/>
        <v>5.75</v>
      </c>
      <c r="F63" s="38">
        <v>0.5</v>
      </c>
      <c r="G63" s="11"/>
    </row>
    <row r="64" spans="1:7" x14ac:dyDescent="0.25">
      <c r="A64" s="104">
        <v>45330</v>
      </c>
      <c r="B64" s="11" t="s">
        <v>56</v>
      </c>
      <c r="C64" s="28">
        <v>0.77083333333333337</v>
      </c>
      <c r="D64" s="28">
        <v>0.91666666666666663</v>
      </c>
      <c r="E64" s="30">
        <f t="shared" ref="E64:E125" si="1">MOD((D64-C64),1) *24 - F64</f>
        <v>3.4999999999999982</v>
      </c>
      <c r="F64" s="38"/>
      <c r="G64" s="11"/>
    </row>
    <row r="65" spans="1:7" x14ac:dyDescent="0.25">
      <c r="A65" s="104">
        <v>45331</v>
      </c>
      <c r="B65" s="11" t="s">
        <v>56</v>
      </c>
      <c r="C65" s="28">
        <v>0.32291666666666669</v>
      </c>
      <c r="D65" s="28">
        <v>0.58333333333333337</v>
      </c>
      <c r="E65" s="30">
        <f t="shared" si="1"/>
        <v>5.75</v>
      </c>
      <c r="F65" s="38">
        <v>0.5</v>
      </c>
      <c r="G65" s="11"/>
    </row>
    <row r="66" spans="1:7" x14ac:dyDescent="0.25">
      <c r="A66" s="104">
        <v>45331</v>
      </c>
      <c r="B66" s="11" t="s">
        <v>53</v>
      </c>
      <c r="C66" s="28">
        <v>0.75</v>
      </c>
      <c r="D66" s="28">
        <v>0.91666666666666663</v>
      </c>
      <c r="E66" s="30">
        <f t="shared" si="1"/>
        <v>3.9999999999999991</v>
      </c>
      <c r="F66" s="38"/>
      <c r="G66" s="11"/>
    </row>
    <row r="67" spans="1:7" x14ac:dyDescent="0.25">
      <c r="A67" s="104">
        <v>45331</v>
      </c>
      <c r="B67" s="11" t="s">
        <v>58</v>
      </c>
      <c r="C67" s="28">
        <v>0.75</v>
      </c>
      <c r="D67" s="28">
        <v>0.95833333333333337</v>
      </c>
      <c r="E67" s="30">
        <f t="shared" si="1"/>
        <v>5.0000000000000009</v>
      </c>
      <c r="F67" s="38"/>
      <c r="G67" s="11"/>
    </row>
    <row r="68" spans="1:7" x14ac:dyDescent="0.25">
      <c r="A68" s="104">
        <v>45332</v>
      </c>
      <c r="B68" s="11" t="s">
        <v>49</v>
      </c>
      <c r="C68" s="28">
        <v>0.33333333333333331</v>
      </c>
      <c r="D68" s="28">
        <v>0.58333333333333337</v>
      </c>
      <c r="E68" s="30">
        <f t="shared" si="1"/>
        <v>5.5000000000000018</v>
      </c>
      <c r="F68" s="38">
        <v>0.5</v>
      </c>
      <c r="G68" s="11"/>
    </row>
    <row r="69" spans="1:7" x14ac:dyDescent="0.25">
      <c r="A69" s="104">
        <v>45332</v>
      </c>
      <c r="B69" s="11" t="s">
        <v>56</v>
      </c>
      <c r="C69" s="28">
        <v>0.33333333333333331</v>
      </c>
      <c r="D69" s="28">
        <v>0.70833333333333337</v>
      </c>
      <c r="E69" s="30">
        <f t="shared" si="1"/>
        <v>8.0000000000000018</v>
      </c>
      <c r="F69" s="38">
        <v>1</v>
      </c>
      <c r="G69" s="11"/>
    </row>
    <row r="70" spans="1:7" x14ac:dyDescent="0.25">
      <c r="A70" s="104">
        <v>45332</v>
      </c>
      <c r="B70" s="11" t="s">
        <v>47</v>
      </c>
      <c r="C70" s="28">
        <v>0.33333333333333331</v>
      </c>
      <c r="D70" s="28">
        <v>0.5</v>
      </c>
      <c r="E70" s="30">
        <f t="shared" si="1"/>
        <v>4</v>
      </c>
      <c r="F70" s="38"/>
      <c r="G70" s="11"/>
    </row>
    <row r="71" spans="1:7" x14ac:dyDescent="0.25">
      <c r="A71" s="104">
        <v>45332</v>
      </c>
      <c r="B71" s="11" t="s">
        <v>53</v>
      </c>
      <c r="C71" s="28">
        <v>0.625</v>
      </c>
      <c r="D71" s="28">
        <v>4.1666666666666664E-2</v>
      </c>
      <c r="E71" s="30">
        <f t="shared" si="1"/>
        <v>9</v>
      </c>
      <c r="F71" s="38">
        <v>1</v>
      </c>
      <c r="G71" s="11"/>
    </row>
    <row r="72" spans="1:7" x14ac:dyDescent="0.25">
      <c r="A72" s="104">
        <v>45332</v>
      </c>
      <c r="B72" s="11" t="s">
        <v>58</v>
      </c>
      <c r="C72" s="28">
        <v>0.70833333333333337</v>
      </c>
      <c r="D72" s="28">
        <v>0</v>
      </c>
      <c r="E72" s="30">
        <f t="shared" si="1"/>
        <v>6.4999999999999991</v>
      </c>
      <c r="F72" s="38">
        <v>0.5</v>
      </c>
      <c r="G72" s="11"/>
    </row>
    <row r="73" spans="1:7" x14ac:dyDescent="0.25">
      <c r="A73" s="104">
        <v>45333</v>
      </c>
      <c r="B73" s="11" t="s">
        <v>53</v>
      </c>
      <c r="C73" s="28">
        <v>0.3125</v>
      </c>
      <c r="D73" s="28">
        <v>0.79166666666666663</v>
      </c>
      <c r="E73" s="30">
        <f t="shared" si="1"/>
        <v>10.5</v>
      </c>
      <c r="F73" s="38">
        <v>1</v>
      </c>
      <c r="G73" s="11"/>
    </row>
    <row r="74" spans="1:7" x14ac:dyDescent="0.25">
      <c r="A74" s="104">
        <v>45334</v>
      </c>
      <c r="B74" s="11" t="s">
        <v>56</v>
      </c>
      <c r="C74" s="28">
        <v>0.32291666666666669</v>
      </c>
      <c r="D74" s="28">
        <v>0.58333333333333337</v>
      </c>
      <c r="E74" s="30">
        <f t="shared" si="1"/>
        <v>5.75</v>
      </c>
      <c r="F74" s="38">
        <v>0.5</v>
      </c>
      <c r="G74" s="11"/>
    </row>
    <row r="75" spans="1:7" x14ac:dyDescent="0.25">
      <c r="A75" s="104">
        <v>45335</v>
      </c>
      <c r="B75" s="11" t="s">
        <v>56</v>
      </c>
      <c r="C75" s="28">
        <v>0.32291666666666669</v>
      </c>
      <c r="D75" s="28">
        <v>0.58333333333333337</v>
      </c>
      <c r="E75" s="30">
        <f t="shared" si="1"/>
        <v>5.75</v>
      </c>
      <c r="F75" s="38">
        <v>0.5</v>
      </c>
      <c r="G75" s="11"/>
    </row>
    <row r="76" spans="1:7" x14ac:dyDescent="0.25">
      <c r="A76" s="104">
        <v>45335</v>
      </c>
      <c r="B76" s="11" t="s">
        <v>44</v>
      </c>
      <c r="C76" s="28">
        <v>0.625</v>
      </c>
      <c r="D76" s="28">
        <v>0.72916666666666663</v>
      </c>
      <c r="E76" s="30">
        <f t="shared" si="1"/>
        <v>2.4999999999999991</v>
      </c>
      <c r="F76" s="38"/>
      <c r="G76" s="11"/>
    </row>
    <row r="77" spans="1:7" x14ac:dyDescent="0.25">
      <c r="A77" s="104">
        <v>45336</v>
      </c>
      <c r="B77" s="11" t="s">
        <v>56</v>
      </c>
      <c r="C77" s="28">
        <v>0.32291666666666669</v>
      </c>
      <c r="D77" s="28">
        <v>0.58333333333333337</v>
      </c>
      <c r="E77" s="30">
        <f t="shared" si="1"/>
        <v>5.75</v>
      </c>
      <c r="F77" s="38">
        <v>0.5</v>
      </c>
      <c r="G77" s="11"/>
    </row>
    <row r="78" spans="1:7" x14ac:dyDescent="0.25">
      <c r="A78" s="104">
        <v>45336</v>
      </c>
      <c r="B78" s="11" t="s">
        <v>49</v>
      </c>
      <c r="C78" s="28">
        <v>0.70833333333333337</v>
      </c>
      <c r="D78" s="28">
        <v>0.89583333333333337</v>
      </c>
      <c r="E78" s="30">
        <f t="shared" si="1"/>
        <v>4.5</v>
      </c>
      <c r="F78" s="38"/>
      <c r="G78" s="11"/>
    </row>
    <row r="79" spans="1:7" x14ac:dyDescent="0.25">
      <c r="A79" s="104">
        <v>45337</v>
      </c>
      <c r="B79" s="11" t="s">
        <v>56</v>
      </c>
      <c r="C79" s="28">
        <v>0.32291666666666669</v>
      </c>
      <c r="D79" s="28">
        <v>0.58333333333333337</v>
      </c>
      <c r="E79" s="30">
        <f t="shared" si="1"/>
        <v>5.75</v>
      </c>
      <c r="F79" s="38">
        <v>0.5</v>
      </c>
      <c r="G79" s="11"/>
    </row>
    <row r="80" spans="1:7" x14ac:dyDescent="0.25">
      <c r="A80" s="104">
        <v>45337</v>
      </c>
      <c r="B80" s="11" t="s">
        <v>56</v>
      </c>
      <c r="C80" s="28">
        <v>0.75</v>
      </c>
      <c r="D80" s="28">
        <v>0.91666666666666663</v>
      </c>
      <c r="E80" s="30">
        <f t="shared" si="1"/>
        <v>3.9999999999999991</v>
      </c>
      <c r="F80" s="38"/>
      <c r="G80" s="11"/>
    </row>
    <row r="81" spans="1:7" x14ac:dyDescent="0.25">
      <c r="A81" s="104">
        <v>45338</v>
      </c>
      <c r="B81" s="11" t="s">
        <v>56</v>
      </c>
      <c r="C81" s="28">
        <v>0.32291666666666669</v>
      </c>
      <c r="D81" s="28">
        <v>0.58333333333333337</v>
      </c>
      <c r="E81" s="30">
        <f t="shared" si="1"/>
        <v>5.75</v>
      </c>
      <c r="F81" s="38">
        <v>0.5</v>
      </c>
      <c r="G81" s="11"/>
    </row>
    <row r="82" spans="1:7" x14ac:dyDescent="0.25">
      <c r="A82" s="104">
        <v>45338</v>
      </c>
      <c r="B82" s="11" t="s">
        <v>58</v>
      </c>
      <c r="C82" s="28">
        <v>0.75</v>
      </c>
      <c r="D82" s="28">
        <v>0.95833333333333337</v>
      </c>
      <c r="E82" s="30">
        <f t="shared" si="1"/>
        <v>5.0000000000000009</v>
      </c>
      <c r="F82" s="38"/>
      <c r="G82" s="11"/>
    </row>
    <row r="83" spans="1:7" x14ac:dyDescent="0.25">
      <c r="A83" s="104">
        <v>45339</v>
      </c>
      <c r="B83" s="11" t="s">
        <v>56</v>
      </c>
      <c r="C83" s="28">
        <v>0.33333333333333331</v>
      </c>
      <c r="D83" s="28">
        <v>0.5</v>
      </c>
      <c r="E83" s="30">
        <f t="shared" si="1"/>
        <v>4</v>
      </c>
      <c r="F83" s="38"/>
      <c r="G83" s="11"/>
    </row>
    <row r="84" spans="1:7" x14ac:dyDescent="0.25">
      <c r="A84" s="104">
        <v>45339</v>
      </c>
      <c r="B84" s="11" t="s">
        <v>49</v>
      </c>
      <c r="C84" s="28">
        <v>0.375</v>
      </c>
      <c r="D84" s="28">
        <v>0.54166666666666663</v>
      </c>
      <c r="E84" s="30">
        <f t="shared" si="1"/>
        <v>3.9999999999999991</v>
      </c>
      <c r="F84" s="38"/>
      <c r="G84" s="11"/>
    </row>
    <row r="85" spans="1:7" x14ac:dyDescent="0.25">
      <c r="A85" s="104">
        <v>45339</v>
      </c>
      <c r="B85" s="11" t="s">
        <v>58</v>
      </c>
      <c r="C85" s="28">
        <v>0.5</v>
      </c>
      <c r="D85" s="28">
        <v>0.8125</v>
      </c>
      <c r="E85" s="30">
        <f t="shared" si="1"/>
        <v>7</v>
      </c>
      <c r="F85" s="38">
        <v>0.5</v>
      </c>
      <c r="G85" s="11"/>
    </row>
    <row r="86" spans="1:7" x14ac:dyDescent="0.25">
      <c r="A86" s="104">
        <v>45339</v>
      </c>
      <c r="B86" s="11" t="s">
        <v>46</v>
      </c>
      <c r="C86" s="28">
        <v>0.54166666666666663</v>
      </c>
      <c r="D86" s="28">
        <v>0.83333333333333337</v>
      </c>
      <c r="E86" s="30">
        <f t="shared" si="1"/>
        <v>6.5000000000000018</v>
      </c>
      <c r="F86" s="38">
        <v>0.5</v>
      </c>
      <c r="G86" s="11"/>
    </row>
    <row r="87" spans="1:7" x14ac:dyDescent="0.25">
      <c r="A87" s="104">
        <v>45339</v>
      </c>
      <c r="B87" s="11" t="s">
        <v>53</v>
      </c>
      <c r="C87" s="28">
        <v>0.625</v>
      </c>
      <c r="D87" s="28">
        <v>0.95833333333333337</v>
      </c>
      <c r="E87" s="30">
        <f t="shared" si="1"/>
        <v>7.5</v>
      </c>
      <c r="F87" s="38">
        <v>0.5</v>
      </c>
      <c r="G87" s="11"/>
    </row>
    <row r="88" spans="1:7" x14ac:dyDescent="0.25">
      <c r="A88" s="104">
        <v>45340</v>
      </c>
      <c r="B88" s="11" t="s">
        <v>53</v>
      </c>
      <c r="C88" s="28">
        <v>0.45833333333333331</v>
      </c>
      <c r="D88" s="28">
        <v>0.875</v>
      </c>
      <c r="E88" s="30">
        <f t="shared" si="1"/>
        <v>9</v>
      </c>
      <c r="F88" s="38">
        <v>1</v>
      </c>
      <c r="G88" s="11"/>
    </row>
    <row r="89" spans="1:7" x14ac:dyDescent="0.25">
      <c r="A89" s="104">
        <v>45340</v>
      </c>
      <c r="B89" s="11" t="s">
        <v>58</v>
      </c>
      <c r="C89" s="28">
        <v>0.66666666666666663</v>
      </c>
      <c r="D89" s="28">
        <v>0.85416666666666663</v>
      </c>
      <c r="E89" s="30">
        <f t="shared" si="1"/>
        <v>4.5</v>
      </c>
      <c r="F89" s="38"/>
      <c r="G89" s="11"/>
    </row>
    <row r="90" spans="1:7" x14ac:dyDescent="0.25">
      <c r="A90" s="104">
        <v>45342</v>
      </c>
      <c r="B90" s="11" t="s">
        <v>56</v>
      </c>
      <c r="C90" s="28">
        <v>0.32291666666666669</v>
      </c>
      <c r="D90" s="28">
        <v>0.58333333333333337</v>
      </c>
      <c r="E90" s="30">
        <f t="shared" si="1"/>
        <v>5.75</v>
      </c>
      <c r="F90" s="38">
        <v>0.5</v>
      </c>
      <c r="G90" s="11"/>
    </row>
    <row r="91" spans="1:7" x14ac:dyDescent="0.25">
      <c r="A91" s="104">
        <v>45343</v>
      </c>
      <c r="B91" s="11" t="s">
        <v>56</v>
      </c>
      <c r="C91" s="28">
        <v>0.32291666666666669</v>
      </c>
      <c r="D91" s="28">
        <v>0.58333333333333337</v>
      </c>
      <c r="E91" s="30">
        <f t="shared" si="1"/>
        <v>5.75</v>
      </c>
      <c r="F91" s="38">
        <v>0.5</v>
      </c>
      <c r="G91" s="11"/>
    </row>
    <row r="92" spans="1:7" x14ac:dyDescent="0.25">
      <c r="A92" s="104">
        <v>45343</v>
      </c>
      <c r="B92" s="11" t="s">
        <v>49</v>
      </c>
      <c r="C92" s="28">
        <v>0.70833333333333337</v>
      </c>
      <c r="D92" s="28">
        <v>0.89583333333333337</v>
      </c>
      <c r="E92" s="30">
        <f t="shared" si="1"/>
        <v>4.5</v>
      </c>
      <c r="F92" s="38"/>
      <c r="G92" s="11"/>
    </row>
    <row r="93" spans="1:7" x14ac:dyDescent="0.25">
      <c r="A93" s="104">
        <v>45344</v>
      </c>
      <c r="B93" s="11" t="s">
        <v>56</v>
      </c>
      <c r="C93" s="28">
        <v>0.32291666666666669</v>
      </c>
      <c r="D93" s="28">
        <v>0.58333333333333337</v>
      </c>
      <c r="E93" s="30">
        <f t="shared" si="1"/>
        <v>5.75</v>
      </c>
      <c r="F93" s="38">
        <v>0.5</v>
      </c>
      <c r="G93" s="11"/>
    </row>
    <row r="94" spans="1:7" x14ac:dyDescent="0.25">
      <c r="A94" s="104">
        <v>45344</v>
      </c>
      <c r="B94" s="11" t="s">
        <v>56</v>
      </c>
      <c r="C94" s="28">
        <v>0.625</v>
      </c>
      <c r="D94" s="28">
        <v>0.95833333333333337</v>
      </c>
      <c r="E94" s="30">
        <f t="shared" si="1"/>
        <v>7</v>
      </c>
      <c r="F94" s="38">
        <v>1</v>
      </c>
      <c r="G94" s="11"/>
    </row>
    <row r="95" spans="1:7" x14ac:dyDescent="0.25">
      <c r="A95" s="104">
        <v>45344</v>
      </c>
      <c r="B95" s="11" t="s">
        <v>49</v>
      </c>
      <c r="C95" s="28">
        <v>0.77083333333333337</v>
      </c>
      <c r="D95" s="28">
        <v>0.9375</v>
      </c>
      <c r="E95" s="30">
        <f t="shared" si="1"/>
        <v>3.9999999999999991</v>
      </c>
      <c r="F95" s="38"/>
      <c r="G95" s="11"/>
    </row>
    <row r="96" spans="1:7" x14ac:dyDescent="0.25">
      <c r="A96" s="104">
        <v>45345</v>
      </c>
      <c r="B96" s="11" t="s">
        <v>56</v>
      </c>
      <c r="C96" s="28">
        <v>0.32291666666666669</v>
      </c>
      <c r="D96" s="28">
        <v>0.58333333333333337</v>
      </c>
      <c r="E96" s="30">
        <f t="shared" si="1"/>
        <v>5.75</v>
      </c>
      <c r="F96" s="38">
        <v>0.5</v>
      </c>
      <c r="G96" s="11"/>
    </row>
    <row r="97" spans="1:7" x14ac:dyDescent="0.25">
      <c r="A97" s="104">
        <v>45345</v>
      </c>
      <c r="B97" s="11" t="s">
        <v>58</v>
      </c>
      <c r="C97" s="28">
        <v>0.75</v>
      </c>
      <c r="D97" s="28">
        <v>0.95833333333333337</v>
      </c>
      <c r="E97" s="30">
        <f t="shared" si="1"/>
        <v>5.0000000000000009</v>
      </c>
      <c r="F97" s="38"/>
      <c r="G97" s="11"/>
    </row>
    <row r="98" spans="1:7" x14ac:dyDescent="0.25">
      <c r="A98" s="104">
        <v>45346</v>
      </c>
      <c r="B98" s="11" t="s">
        <v>56</v>
      </c>
      <c r="C98" s="28">
        <v>0.33333333333333331</v>
      </c>
      <c r="D98" s="28">
        <v>0.5</v>
      </c>
      <c r="E98" s="30">
        <f t="shared" si="1"/>
        <v>4</v>
      </c>
      <c r="F98" s="38"/>
      <c r="G98" s="11"/>
    </row>
    <row r="99" spans="1:7" x14ac:dyDescent="0.25">
      <c r="A99" s="104">
        <v>45346</v>
      </c>
      <c r="B99" s="11" t="s">
        <v>53</v>
      </c>
      <c r="C99" s="28">
        <v>0.39583333333333331</v>
      </c>
      <c r="D99" s="28">
        <v>0.64583333333333337</v>
      </c>
      <c r="E99" s="30">
        <f t="shared" si="1"/>
        <v>5.5000000000000018</v>
      </c>
      <c r="F99" s="38">
        <v>0.5</v>
      </c>
      <c r="G99" s="11"/>
    </row>
    <row r="100" spans="1:7" x14ac:dyDescent="0.25">
      <c r="A100" s="104">
        <v>45346</v>
      </c>
      <c r="B100" s="11" t="s">
        <v>58</v>
      </c>
      <c r="C100" s="28">
        <v>0.6875</v>
      </c>
      <c r="D100" s="28">
        <v>0.9375</v>
      </c>
      <c r="E100" s="30">
        <f t="shared" si="1"/>
        <v>5.5</v>
      </c>
      <c r="F100" s="38">
        <v>0.5</v>
      </c>
      <c r="G100" s="11"/>
    </row>
    <row r="101" spans="1:7" x14ac:dyDescent="0.25">
      <c r="A101" s="104">
        <v>45347</v>
      </c>
      <c r="B101" s="11" t="s">
        <v>53</v>
      </c>
      <c r="C101" s="28">
        <v>0.54166666666666663</v>
      </c>
      <c r="D101" s="28">
        <v>0</v>
      </c>
      <c r="E101" s="30">
        <f t="shared" si="1"/>
        <v>10</v>
      </c>
      <c r="F101" s="38">
        <v>1</v>
      </c>
      <c r="G101" s="11"/>
    </row>
    <row r="102" spans="1:7" x14ac:dyDescent="0.25">
      <c r="A102" s="104">
        <v>45348</v>
      </c>
      <c r="B102" s="11" t="s">
        <v>56</v>
      </c>
      <c r="C102" s="28">
        <v>0.32291666666666669</v>
      </c>
      <c r="D102" s="28">
        <v>0.58333333333333337</v>
      </c>
      <c r="E102" s="30">
        <f t="shared" si="1"/>
        <v>5.75</v>
      </c>
      <c r="F102" s="38">
        <v>0.5</v>
      </c>
      <c r="G102" s="11"/>
    </row>
    <row r="103" spans="1:7" x14ac:dyDescent="0.25">
      <c r="A103" s="104">
        <v>45348</v>
      </c>
      <c r="B103" s="11" t="s">
        <v>56</v>
      </c>
      <c r="C103" s="28">
        <v>0.72916666666666663</v>
      </c>
      <c r="D103" s="28">
        <v>0.91666666666666663</v>
      </c>
      <c r="E103" s="30">
        <f t="shared" si="1"/>
        <v>4.5</v>
      </c>
      <c r="F103" s="38"/>
      <c r="G103" s="11"/>
    </row>
    <row r="104" spans="1:7" x14ac:dyDescent="0.25">
      <c r="A104" s="104">
        <v>45349</v>
      </c>
      <c r="B104" s="11" t="s">
        <v>56</v>
      </c>
      <c r="C104" s="28">
        <v>0.32291666666666669</v>
      </c>
      <c r="D104" s="28">
        <v>0.58333333333333337</v>
      </c>
      <c r="E104" s="30">
        <f t="shared" si="1"/>
        <v>5.75</v>
      </c>
      <c r="F104" s="38">
        <v>0.5</v>
      </c>
      <c r="G104" s="11"/>
    </row>
    <row r="105" spans="1:7" x14ac:dyDescent="0.25">
      <c r="A105" s="104">
        <v>45349</v>
      </c>
      <c r="B105" s="11" t="s">
        <v>44</v>
      </c>
      <c r="C105" s="28">
        <v>0.625</v>
      </c>
      <c r="D105" s="28">
        <v>0.72916666666666663</v>
      </c>
      <c r="E105" s="30">
        <f t="shared" si="1"/>
        <v>2.4999999999999991</v>
      </c>
      <c r="F105" s="38"/>
      <c r="G105" s="11"/>
    </row>
    <row r="106" spans="1:7" x14ac:dyDescent="0.25">
      <c r="A106" s="104">
        <v>45350</v>
      </c>
      <c r="B106" s="11" t="s">
        <v>56</v>
      </c>
      <c r="C106" s="28">
        <v>0.32291666666666669</v>
      </c>
      <c r="D106" s="28">
        <v>0.58333333333333337</v>
      </c>
      <c r="E106" s="30">
        <f t="shared" si="1"/>
        <v>5.75</v>
      </c>
      <c r="F106" s="38">
        <v>0.5</v>
      </c>
      <c r="G106" s="11"/>
    </row>
    <row r="107" spans="1:7" x14ac:dyDescent="0.25">
      <c r="A107" s="104">
        <v>45350</v>
      </c>
      <c r="B107" s="11" t="s">
        <v>49</v>
      </c>
      <c r="C107" s="28">
        <v>0.6875</v>
      </c>
      <c r="D107" s="28">
        <v>0.89583333333333337</v>
      </c>
      <c r="E107" s="30">
        <f t="shared" si="1"/>
        <v>5.0000000000000009</v>
      </c>
      <c r="F107" s="38"/>
      <c r="G107" s="11"/>
    </row>
    <row r="108" spans="1:7" x14ac:dyDescent="0.25">
      <c r="A108" s="105">
        <v>45351</v>
      </c>
      <c r="B108" s="16" t="s">
        <v>49</v>
      </c>
      <c r="C108" s="159">
        <v>0.70833333333333337</v>
      </c>
      <c r="D108" s="159">
        <v>0.95833333333333337</v>
      </c>
      <c r="E108" s="30">
        <f t="shared" si="1"/>
        <v>5.5</v>
      </c>
      <c r="F108" s="39">
        <v>0.5</v>
      </c>
      <c r="G108" s="11"/>
    </row>
    <row r="109" spans="1:7" x14ac:dyDescent="0.25">
      <c r="A109" s="105">
        <v>45351</v>
      </c>
      <c r="B109" s="11" t="s">
        <v>56</v>
      </c>
      <c r="C109" s="28">
        <v>0.77083333333333337</v>
      </c>
      <c r="D109" s="28">
        <v>0.9375</v>
      </c>
      <c r="E109" s="30">
        <f t="shared" si="1"/>
        <v>3.9999999999999991</v>
      </c>
      <c r="F109" s="38"/>
      <c r="G109" s="11"/>
    </row>
    <row r="110" spans="1:7" x14ac:dyDescent="0.25">
      <c r="A110" s="104">
        <v>45352</v>
      </c>
      <c r="B110" s="11" t="s">
        <v>56</v>
      </c>
      <c r="C110" s="28">
        <v>0.32291666666666669</v>
      </c>
      <c r="D110" s="28">
        <v>0.58333333333333337</v>
      </c>
      <c r="E110" s="30">
        <f t="shared" si="1"/>
        <v>5.75</v>
      </c>
      <c r="F110" s="38">
        <v>0.5</v>
      </c>
      <c r="G110" s="12">
        <f>SUM(E:E)</f>
        <v>5521</v>
      </c>
    </row>
    <row r="111" spans="1:7" x14ac:dyDescent="0.25">
      <c r="A111" s="104">
        <v>45352</v>
      </c>
      <c r="B111" s="11" t="s">
        <v>49</v>
      </c>
      <c r="C111" s="28">
        <v>0.6875</v>
      </c>
      <c r="D111" s="28">
        <v>0.97916666666666663</v>
      </c>
      <c r="E111" s="30">
        <f t="shared" si="1"/>
        <v>6.4999999999999991</v>
      </c>
      <c r="F111" s="38">
        <v>0.5</v>
      </c>
      <c r="G111" s="11"/>
    </row>
    <row r="112" spans="1:7" x14ac:dyDescent="0.25">
      <c r="A112" s="104">
        <v>45352</v>
      </c>
      <c r="B112" s="11" t="s">
        <v>56</v>
      </c>
      <c r="C112" s="28">
        <v>0.77083333333333337</v>
      </c>
      <c r="D112" s="28">
        <v>0.95833333333333337</v>
      </c>
      <c r="E112" s="30">
        <f t="shared" si="1"/>
        <v>4.5</v>
      </c>
      <c r="F112" s="38"/>
      <c r="G112" s="11"/>
    </row>
    <row r="113" spans="1:7" x14ac:dyDescent="0.25">
      <c r="A113" s="104">
        <v>45353</v>
      </c>
      <c r="B113" s="11" t="s">
        <v>56</v>
      </c>
      <c r="C113" s="28">
        <v>0.33333333333333331</v>
      </c>
      <c r="D113" s="28">
        <v>0.5</v>
      </c>
      <c r="E113" s="30">
        <f t="shared" si="1"/>
        <v>4</v>
      </c>
      <c r="F113" s="38"/>
      <c r="G113" s="11"/>
    </row>
    <row r="114" spans="1:7" x14ac:dyDescent="0.25">
      <c r="A114" s="104">
        <v>45353</v>
      </c>
      <c r="B114" s="11" t="s">
        <v>46</v>
      </c>
      <c r="C114" s="28">
        <v>0.45833333333333331</v>
      </c>
      <c r="D114" s="28">
        <v>0.70833333333333337</v>
      </c>
      <c r="E114" s="30">
        <f t="shared" si="1"/>
        <v>5.5000000000000018</v>
      </c>
      <c r="F114" s="38">
        <v>0.5</v>
      </c>
      <c r="G114" s="11"/>
    </row>
    <row r="115" spans="1:7" x14ac:dyDescent="0.25">
      <c r="A115" s="104">
        <v>45353</v>
      </c>
      <c r="B115" s="11" t="s">
        <v>58</v>
      </c>
      <c r="C115" s="28">
        <v>0.5</v>
      </c>
      <c r="D115" s="28">
        <v>0.79166666666666663</v>
      </c>
      <c r="E115" s="30">
        <f t="shared" si="1"/>
        <v>6.4999999999999991</v>
      </c>
      <c r="F115" s="38">
        <v>0.5</v>
      </c>
      <c r="G115" s="11"/>
    </row>
    <row r="116" spans="1:7" x14ac:dyDescent="0.25">
      <c r="A116" s="104">
        <v>45355</v>
      </c>
      <c r="B116" s="11" t="s">
        <v>56</v>
      </c>
      <c r="C116" s="28">
        <v>0.32291666666666669</v>
      </c>
      <c r="D116" s="28">
        <v>0.58333333333333337</v>
      </c>
      <c r="E116" s="30">
        <f t="shared" si="1"/>
        <v>5.75</v>
      </c>
      <c r="F116" s="38">
        <v>0.5</v>
      </c>
      <c r="G116" s="11"/>
    </row>
    <row r="117" spans="1:7" x14ac:dyDescent="0.25">
      <c r="A117" s="104">
        <v>45356</v>
      </c>
      <c r="B117" s="11" t="s">
        <v>56</v>
      </c>
      <c r="C117" s="28">
        <v>0.32291666666666669</v>
      </c>
      <c r="D117" s="28">
        <v>0.58333333333333337</v>
      </c>
      <c r="E117" s="30">
        <f t="shared" si="1"/>
        <v>5.75</v>
      </c>
      <c r="F117" s="38">
        <v>0.5</v>
      </c>
      <c r="G117" s="11"/>
    </row>
    <row r="118" spans="1:7" x14ac:dyDescent="0.25">
      <c r="A118" s="104">
        <v>45356</v>
      </c>
      <c r="B118" s="11" t="s">
        <v>56</v>
      </c>
      <c r="C118" s="28">
        <v>0.70833333333333337</v>
      </c>
      <c r="D118" s="28">
        <v>0.875</v>
      </c>
      <c r="E118" s="30">
        <f t="shared" si="1"/>
        <v>3.9999999999999991</v>
      </c>
      <c r="F118" s="38"/>
      <c r="G118" s="11"/>
    </row>
    <row r="119" spans="1:7" x14ac:dyDescent="0.25">
      <c r="A119" s="104">
        <v>45357</v>
      </c>
      <c r="B119" s="11" t="s">
        <v>56</v>
      </c>
      <c r="C119" s="28">
        <v>0.375</v>
      </c>
      <c r="D119" s="28">
        <v>0.58333333333333337</v>
      </c>
      <c r="E119" s="30">
        <f t="shared" si="1"/>
        <v>5.0000000000000009</v>
      </c>
      <c r="F119" s="38"/>
      <c r="G119" s="11"/>
    </row>
    <row r="120" spans="1:7" x14ac:dyDescent="0.25">
      <c r="A120" s="104">
        <v>45357</v>
      </c>
      <c r="B120" s="11" t="s">
        <v>56</v>
      </c>
      <c r="C120" s="28">
        <v>0.6875</v>
      </c>
      <c r="D120" s="28">
        <v>0.89583333333333337</v>
      </c>
      <c r="E120" s="30">
        <f t="shared" si="1"/>
        <v>5.0000000000000009</v>
      </c>
      <c r="F120" s="38"/>
      <c r="G120" s="11"/>
    </row>
    <row r="121" spans="1:7" x14ac:dyDescent="0.25">
      <c r="A121" s="104">
        <v>45358</v>
      </c>
      <c r="B121" s="11" t="s">
        <v>56</v>
      </c>
      <c r="C121" s="28">
        <v>0.32291666666666669</v>
      </c>
      <c r="D121" s="28">
        <v>0.58333333333333337</v>
      </c>
      <c r="E121" s="30">
        <f t="shared" si="1"/>
        <v>5.75</v>
      </c>
      <c r="F121" s="38">
        <v>0.5</v>
      </c>
      <c r="G121" s="11"/>
    </row>
    <row r="122" spans="1:7" x14ac:dyDescent="0.25">
      <c r="A122" s="104">
        <v>45358</v>
      </c>
      <c r="B122" s="11" t="s">
        <v>56</v>
      </c>
      <c r="C122" s="28">
        <v>0.77083333333333337</v>
      </c>
      <c r="D122" s="28">
        <v>0.9375</v>
      </c>
      <c r="E122" s="30">
        <f t="shared" si="1"/>
        <v>3.9999999999999991</v>
      </c>
      <c r="F122" s="38"/>
      <c r="G122" s="11"/>
    </row>
    <row r="123" spans="1:7" x14ac:dyDescent="0.25">
      <c r="A123" s="104">
        <v>45359</v>
      </c>
      <c r="B123" s="11" t="s">
        <v>56</v>
      </c>
      <c r="C123" s="28">
        <v>0.32291666666666669</v>
      </c>
      <c r="D123" s="28">
        <v>0.58333333333333337</v>
      </c>
      <c r="E123" s="30">
        <f t="shared" si="1"/>
        <v>5.75</v>
      </c>
      <c r="F123" s="38">
        <v>0.5</v>
      </c>
      <c r="G123" s="11"/>
    </row>
    <row r="124" spans="1:7" x14ac:dyDescent="0.25">
      <c r="A124" s="104">
        <v>45359</v>
      </c>
      <c r="B124" s="11" t="s">
        <v>58</v>
      </c>
      <c r="C124" s="28">
        <v>0.75</v>
      </c>
      <c r="D124" s="28">
        <v>0.95833333333333337</v>
      </c>
      <c r="E124" s="30">
        <f t="shared" si="1"/>
        <v>5.0000000000000009</v>
      </c>
      <c r="F124" s="38"/>
      <c r="G124" s="11"/>
    </row>
    <row r="125" spans="1:7" x14ac:dyDescent="0.25">
      <c r="A125" s="104">
        <v>45360</v>
      </c>
      <c r="B125" s="11" t="s">
        <v>56</v>
      </c>
      <c r="C125" s="28">
        <v>0.33333333333333331</v>
      </c>
      <c r="D125" s="28">
        <v>0.5</v>
      </c>
      <c r="E125" s="30">
        <f t="shared" si="1"/>
        <v>4</v>
      </c>
      <c r="F125" s="38"/>
      <c r="G125" s="11"/>
    </row>
    <row r="126" spans="1:7" x14ac:dyDescent="0.25">
      <c r="A126" s="104">
        <v>45360</v>
      </c>
      <c r="B126" s="11" t="s">
        <v>46</v>
      </c>
      <c r="C126" s="28">
        <v>0.5</v>
      </c>
      <c r="D126" s="28">
        <v>0.79166666666666663</v>
      </c>
      <c r="E126" s="30">
        <f t="shared" ref="E126:E187" si="2">MOD((D126-C126),1) *24 - F126</f>
        <v>6.4999999999999991</v>
      </c>
      <c r="F126" s="38">
        <v>0.5</v>
      </c>
      <c r="G126" s="11"/>
    </row>
    <row r="127" spans="1:7" x14ac:dyDescent="0.25">
      <c r="A127" s="104">
        <v>45360</v>
      </c>
      <c r="B127" s="11" t="s">
        <v>58</v>
      </c>
      <c r="C127" s="28">
        <v>0.5</v>
      </c>
      <c r="D127" s="28">
        <v>4.1666666666666664E-2</v>
      </c>
      <c r="E127" s="30">
        <f t="shared" si="2"/>
        <v>12.000000000000002</v>
      </c>
      <c r="F127" s="38">
        <v>1</v>
      </c>
      <c r="G127" s="11"/>
    </row>
    <row r="128" spans="1:7" x14ac:dyDescent="0.25">
      <c r="A128" s="104">
        <v>45360</v>
      </c>
      <c r="B128" s="11" t="s">
        <v>53</v>
      </c>
      <c r="C128" s="28">
        <v>0.58333333333333337</v>
      </c>
      <c r="D128" s="28">
        <v>0.83333333333333337</v>
      </c>
      <c r="E128" s="30">
        <f t="shared" si="2"/>
        <v>5.5</v>
      </c>
      <c r="F128" s="38">
        <v>0.5</v>
      </c>
      <c r="G128" s="11"/>
    </row>
    <row r="129" spans="1:9" x14ac:dyDescent="0.25">
      <c r="A129" s="104">
        <v>45360</v>
      </c>
      <c r="B129" s="11" t="s">
        <v>48</v>
      </c>
      <c r="C129" s="28">
        <v>0.625</v>
      </c>
      <c r="D129" s="28">
        <v>4.1666666666666664E-2</v>
      </c>
      <c r="E129" s="30">
        <f t="shared" si="2"/>
        <v>9</v>
      </c>
      <c r="F129" s="38">
        <v>1</v>
      </c>
      <c r="G129" s="11"/>
    </row>
    <row r="130" spans="1:9" x14ac:dyDescent="0.25">
      <c r="A130" s="106">
        <v>45361</v>
      </c>
      <c r="B130" s="11" t="s">
        <v>58</v>
      </c>
      <c r="C130" s="160">
        <v>0.41666666666666669</v>
      </c>
      <c r="D130" s="160">
        <v>0.85416666666666663</v>
      </c>
      <c r="E130" s="36">
        <v>6</v>
      </c>
      <c r="F130" s="40">
        <v>0.5</v>
      </c>
      <c r="G130" s="21"/>
      <c r="I130" t="s">
        <v>88</v>
      </c>
    </row>
    <row r="131" spans="1:9" x14ac:dyDescent="0.25">
      <c r="A131" s="104">
        <v>45362</v>
      </c>
      <c r="B131" s="11" t="s">
        <v>56</v>
      </c>
      <c r="C131" s="28">
        <v>0.45833333333333331</v>
      </c>
      <c r="D131" s="28">
        <v>0.58333333333333337</v>
      </c>
      <c r="E131" s="30">
        <f t="shared" si="2"/>
        <v>3.0000000000000013</v>
      </c>
      <c r="F131" s="38"/>
      <c r="G131" s="11"/>
    </row>
    <row r="132" spans="1:9" x14ac:dyDescent="0.25">
      <c r="A132" s="104">
        <v>45362</v>
      </c>
      <c r="B132" s="11" t="s">
        <v>51</v>
      </c>
      <c r="C132" s="28">
        <v>0.6875</v>
      </c>
      <c r="D132" s="28">
        <v>0.91666666666666663</v>
      </c>
      <c r="E132" s="30">
        <f t="shared" si="2"/>
        <v>5.4999999999999991</v>
      </c>
      <c r="F132" s="38"/>
      <c r="G132" s="11"/>
    </row>
    <row r="133" spans="1:9" x14ac:dyDescent="0.25">
      <c r="A133" s="104">
        <v>45363</v>
      </c>
      <c r="B133" s="11" t="s">
        <v>56</v>
      </c>
      <c r="C133" s="28">
        <v>0.375</v>
      </c>
      <c r="D133" s="28">
        <v>0.58333333333333337</v>
      </c>
      <c r="E133" s="30">
        <f t="shared" si="2"/>
        <v>5.0000000000000009</v>
      </c>
      <c r="F133" s="38"/>
      <c r="G133" s="11"/>
    </row>
    <row r="134" spans="1:9" x14ac:dyDescent="0.25">
      <c r="A134" s="104">
        <v>45364</v>
      </c>
      <c r="B134" s="11" t="s">
        <v>56</v>
      </c>
      <c r="C134" s="28">
        <v>0.32291666666666669</v>
      </c>
      <c r="D134" s="28">
        <v>0.58333333333333337</v>
      </c>
      <c r="E134" s="30">
        <f t="shared" si="2"/>
        <v>5.75</v>
      </c>
      <c r="F134" s="38">
        <v>0.5</v>
      </c>
      <c r="G134" s="11"/>
    </row>
    <row r="135" spans="1:9" x14ac:dyDescent="0.25">
      <c r="A135" s="104">
        <v>45364</v>
      </c>
      <c r="B135" s="11" t="s">
        <v>49</v>
      </c>
      <c r="C135" s="28">
        <v>0.6875</v>
      </c>
      <c r="D135" s="28">
        <v>0.89583333333333337</v>
      </c>
      <c r="E135" s="30">
        <f t="shared" si="2"/>
        <v>5.0000000000000009</v>
      </c>
      <c r="F135" s="38"/>
      <c r="G135" s="11"/>
    </row>
    <row r="136" spans="1:9" x14ac:dyDescent="0.25">
      <c r="A136" s="104">
        <v>45365</v>
      </c>
      <c r="B136" s="11" t="s">
        <v>53</v>
      </c>
      <c r="C136" s="28">
        <v>0.29166666666666669</v>
      </c>
      <c r="D136" s="28">
        <v>0.58333333333333337</v>
      </c>
      <c r="E136" s="30">
        <f t="shared" si="2"/>
        <v>7</v>
      </c>
      <c r="F136" s="38"/>
      <c r="G136" s="11"/>
    </row>
    <row r="137" spans="1:9" x14ac:dyDescent="0.25">
      <c r="A137" s="104">
        <v>45365</v>
      </c>
      <c r="B137" s="11" t="s">
        <v>56</v>
      </c>
      <c r="C137" s="28">
        <v>0.32291666666666669</v>
      </c>
      <c r="D137" s="28">
        <v>0.58333333333333337</v>
      </c>
      <c r="E137" s="30">
        <f t="shared" si="2"/>
        <v>5.75</v>
      </c>
      <c r="F137" s="38">
        <v>0.5</v>
      </c>
      <c r="G137" s="11"/>
    </row>
    <row r="138" spans="1:9" x14ac:dyDescent="0.25">
      <c r="A138" s="104">
        <v>45365</v>
      </c>
      <c r="B138" s="11" t="s">
        <v>53</v>
      </c>
      <c r="C138" s="28">
        <v>0.70833333333333337</v>
      </c>
      <c r="D138" s="28">
        <v>0.8125</v>
      </c>
      <c r="E138" s="30">
        <f t="shared" si="2"/>
        <v>2.4999999999999991</v>
      </c>
      <c r="F138" s="38"/>
      <c r="G138" s="11"/>
    </row>
    <row r="139" spans="1:9" x14ac:dyDescent="0.25">
      <c r="A139" s="104">
        <v>45365</v>
      </c>
      <c r="B139" s="11" t="s">
        <v>56</v>
      </c>
      <c r="C139" s="28">
        <v>0.77083333333333337</v>
      </c>
      <c r="D139" s="28">
        <v>0.9375</v>
      </c>
      <c r="E139" s="30">
        <f t="shared" si="2"/>
        <v>3.9999999999999991</v>
      </c>
      <c r="F139" s="38"/>
      <c r="G139" s="11"/>
    </row>
    <row r="140" spans="1:9" x14ac:dyDescent="0.25">
      <c r="A140" s="104">
        <v>45366</v>
      </c>
      <c r="B140" s="11" t="s">
        <v>56</v>
      </c>
      <c r="C140" s="28">
        <v>0.32291666666666669</v>
      </c>
      <c r="D140" s="28">
        <v>0.58333333333333337</v>
      </c>
      <c r="E140" s="30">
        <f t="shared" si="2"/>
        <v>5.75</v>
      </c>
      <c r="F140" s="38">
        <v>0.5</v>
      </c>
      <c r="G140" s="11"/>
    </row>
    <row r="141" spans="1:9" x14ac:dyDescent="0.25">
      <c r="A141" s="104">
        <v>45366</v>
      </c>
      <c r="B141" s="11" t="s">
        <v>51</v>
      </c>
      <c r="C141" s="28">
        <v>0.54166666666666663</v>
      </c>
      <c r="D141" s="28">
        <v>0.91666666666666663</v>
      </c>
      <c r="E141" s="30">
        <f t="shared" si="2"/>
        <v>8</v>
      </c>
      <c r="F141" s="38">
        <v>1</v>
      </c>
      <c r="G141" s="11"/>
    </row>
    <row r="142" spans="1:9" x14ac:dyDescent="0.25">
      <c r="A142" s="104">
        <v>45366</v>
      </c>
      <c r="B142" s="11" t="s">
        <v>58</v>
      </c>
      <c r="C142" s="28">
        <v>0.75</v>
      </c>
      <c r="D142" s="28">
        <v>0.95833333333333337</v>
      </c>
      <c r="E142" s="30">
        <f t="shared" si="2"/>
        <v>5.0000000000000009</v>
      </c>
      <c r="F142" s="38"/>
      <c r="G142" s="11"/>
    </row>
    <row r="143" spans="1:9" x14ac:dyDescent="0.25">
      <c r="A143" s="104">
        <v>45367</v>
      </c>
      <c r="B143" s="11" t="s">
        <v>56</v>
      </c>
      <c r="C143" s="28">
        <v>0.33333333333333331</v>
      </c>
      <c r="D143" s="28">
        <v>0.5</v>
      </c>
      <c r="E143" s="30">
        <f t="shared" si="2"/>
        <v>4</v>
      </c>
      <c r="F143" s="38"/>
      <c r="G143" s="11"/>
    </row>
    <row r="144" spans="1:9" x14ac:dyDescent="0.25">
      <c r="A144" s="104">
        <v>45367</v>
      </c>
      <c r="B144" s="11" t="s">
        <v>53</v>
      </c>
      <c r="C144" s="28">
        <v>0.45833333333333331</v>
      </c>
      <c r="D144" s="28">
        <v>4.1666666666666664E-2</v>
      </c>
      <c r="E144" s="30">
        <f t="shared" si="2"/>
        <v>13</v>
      </c>
      <c r="F144" s="38">
        <v>1</v>
      </c>
      <c r="G144" s="11"/>
    </row>
    <row r="145" spans="1:7" x14ac:dyDescent="0.25">
      <c r="A145" s="104">
        <v>45367</v>
      </c>
      <c r="B145" s="11" t="s">
        <v>48</v>
      </c>
      <c r="C145" s="28">
        <v>0.5</v>
      </c>
      <c r="D145" s="28">
        <v>0.79166666666666663</v>
      </c>
      <c r="E145" s="30">
        <f t="shared" si="2"/>
        <v>6.4999999999999991</v>
      </c>
      <c r="F145" s="38">
        <v>0.5</v>
      </c>
      <c r="G145" s="11"/>
    </row>
    <row r="146" spans="1:7" x14ac:dyDescent="0.25">
      <c r="A146" s="104">
        <v>45367</v>
      </c>
      <c r="B146" s="11" t="s">
        <v>58</v>
      </c>
      <c r="C146" s="28">
        <v>0.58333333333333337</v>
      </c>
      <c r="D146" s="28">
        <v>0.95833333333333337</v>
      </c>
      <c r="E146" s="30">
        <f t="shared" si="2"/>
        <v>8</v>
      </c>
      <c r="F146" s="38">
        <v>1</v>
      </c>
      <c r="G146" s="11"/>
    </row>
    <row r="147" spans="1:7" x14ac:dyDescent="0.25">
      <c r="A147" s="104">
        <v>45368</v>
      </c>
      <c r="B147" s="11" t="s">
        <v>58</v>
      </c>
      <c r="C147" s="28">
        <v>0.41666666666666669</v>
      </c>
      <c r="D147" s="28">
        <v>0.91666666666666663</v>
      </c>
      <c r="E147" s="30">
        <f t="shared" si="2"/>
        <v>10.999999999999998</v>
      </c>
      <c r="F147" s="38">
        <v>1</v>
      </c>
      <c r="G147" s="11"/>
    </row>
    <row r="148" spans="1:7" x14ac:dyDescent="0.25">
      <c r="A148" s="104">
        <v>45368</v>
      </c>
      <c r="B148" s="11" t="s">
        <v>53</v>
      </c>
      <c r="C148" s="28">
        <v>0.45833333333333331</v>
      </c>
      <c r="D148" s="28">
        <v>0.875</v>
      </c>
      <c r="E148" s="30">
        <f t="shared" si="2"/>
        <v>9</v>
      </c>
      <c r="F148" s="38">
        <v>1</v>
      </c>
      <c r="G148" s="11"/>
    </row>
    <row r="149" spans="1:7" x14ac:dyDescent="0.25">
      <c r="A149" s="104">
        <v>45369</v>
      </c>
      <c r="B149" s="11" t="s">
        <v>56</v>
      </c>
      <c r="C149" s="28">
        <v>0.32291666666666669</v>
      </c>
      <c r="D149" s="28">
        <v>0.58333333333333337</v>
      </c>
      <c r="E149" s="30">
        <f t="shared" si="2"/>
        <v>5.75</v>
      </c>
      <c r="F149" s="38">
        <v>0.5</v>
      </c>
      <c r="G149" s="11"/>
    </row>
    <row r="150" spans="1:7" x14ac:dyDescent="0.25">
      <c r="A150" s="104">
        <v>45370</v>
      </c>
      <c r="B150" s="11" t="s">
        <v>56</v>
      </c>
      <c r="C150" s="28">
        <v>0.32291666666666669</v>
      </c>
      <c r="D150" s="28">
        <v>0.58333333333333337</v>
      </c>
      <c r="E150" s="30">
        <f t="shared" si="2"/>
        <v>5.75</v>
      </c>
      <c r="F150" s="38">
        <v>0.5</v>
      </c>
      <c r="G150" s="11"/>
    </row>
    <row r="151" spans="1:7" x14ac:dyDescent="0.25">
      <c r="A151" s="104">
        <v>45371</v>
      </c>
      <c r="B151" s="11" t="s">
        <v>56</v>
      </c>
      <c r="C151" s="28">
        <v>0.32291666666666669</v>
      </c>
      <c r="D151" s="28">
        <v>0.58333333333333337</v>
      </c>
      <c r="E151" s="30">
        <f t="shared" si="2"/>
        <v>5.75</v>
      </c>
      <c r="F151" s="38">
        <v>0.5</v>
      </c>
      <c r="G151" s="11"/>
    </row>
    <row r="152" spans="1:7" x14ac:dyDescent="0.25">
      <c r="A152" s="104">
        <v>45371</v>
      </c>
      <c r="B152" s="11" t="s">
        <v>53</v>
      </c>
      <c r="C152" s="28">
        <v>0.70833333333333337</v>
      </c>
      <c r="D152" s="28">
        <v>0.91666666666666663</v>
      </c>
      <c r="E152" s="30">
        <f t="shared" si="2"/>
        <v>4.9999999999999982</v>
      </c>
      <c r="F152" s="38"/>
      <c r="G152" s="11"/>
    </row>
    <row r="153" spans="1:7" x14ac:dyDescent="0.25">
      <c r="A153" s="104">
        <v>45372</v>
      </c>
      <c r="B153" s="11" t="s">
        <v>56</v>
      </c>
      <c r="C153" s="28">
        <v>0.32291666666666669</v>
      </c>
      <c r="D153" s="28">
        <v>0.58333333333333337</v>
      </c>
      <c r="E153" s="30">
        <f t="shared" si="2"/>
        <v>5.75</v>
      </c>
      <c r="F153" s="38">
        <v>0.5</v>
      </c>
      <c r="G153" s="11"/>
    </row>
    <row r="154" spans="1:7" x14ac:dyDescent="0.25">
      <c r="A154" s="104">
        <v>45372</v>
      </c>
      <c r="B154" s="11" t="s">
        <v>49</v>
      </c>
      <c r="C154" s="28">
        <v>0.6875</v>
      </c>
      <c r="D154" s="28">
        <v>0.77083333333333337</v>
      </c>
      <c r="E154" s="30">
        <f t="shared" si="2"/>
        <v>2.0000000000000009</v>
      </c>
      <c r="F154" s="38"/>
      <c r="G154" s="11"/>
    </row>
    <row r="155" spans="1:7" x14ac:dyDescent="0.25">
      <c r="A155" s="104">
        <v>45372</v>
      </c>
      <c r="B155" s="11" t="s">
        <v>56</v>
      </c>
      <c r="C155" s="28">
        <v>0.77083333333333337</v>
      </c>
      <c r="D155" s="28">
        <v>0.9375</v>
      </c>
      <c r="E155" s="30">
        <f t="shared" si="2"/>
        <v>3.9999999999999991</v>
      </c>
      <c r="F155" s="38"/>
      <c r="G155" s="11"/>
    </row>
    <row r="156" spans="1:7" x14ac:dyDescent="0.25">
      <c r="A156" s="104">
        <v>45373</v>
      </c>
      <c r="B156" s="11" t="s">
        <v>56</v>
      </c>
      <c r="C156" s="28">
        <v>0.32291666666666669</v>
      </c>
      <c r="D156" s="28">
        <v>0.58333333333333337</v>
      </c>
      <c r="E156" s="30">
        <f t="shared" si="2"/>
        <v>5.75</v>
      </c>
      <c r="F156" s="38">
        <v>0.5</v>
      </c>
      <c r="G156" s="11"/>
    </row>
    <row r="157" spans="1:7" x14ac:dyDescent="0.25">
      <c r="A157" s="104">
        <v>45373</v>
      </c>
      <c r="B157" s="11" t="s">
        <v>58</v>
      </c>
      <c r="C157" s="28">
        <v>0.75</v>
      </c>
      <c r="D157" s="28">
        <v>0.95833333333333337</v>
      </c>
      <c r="E157" s="30">
        <f t="shared" si="2"/>
        <v>5.0000000000000009</v>
      </c>
      <c r="F157" s="38"/>
      <c r="G157" s="11"/>
    </row>
    <row r="158" spans="1:7" x14ac:dyDescent="0.25">
      <c r="A158" s="104">
        <v>45374</v>
      </c>
      <c r="B158" s="11" t="s">
        <v>56</v>
      </c>
      <c r="C158" s="28">
        <v>0.33333333333333331</v>
      </c>
      <c r="D158" s="28">
        <v>0.5</v>
      </c>
      <c r="E158" s="30">
        <f t="shared" si="2"/>
        <v>4</v>
      </c>
      <c r="F158" s="38"/>
      <c r="G158" s="11"/>
    </row>
    <row r="159" spans="1:7" x14ac:dyDescent="0.25">
      <c r="A159" s="104">
        <v>45374</v>
      </c>
      <c r="B159" s="11" t="s">
        <v>46</v>
      </c>
      <c r="C159" s="28">
        <v>0.60416666666666663</v>
      </c>
      <c r="D159" s="28">
        <v>0.85416666666666663</v>
      </c>
      <c r="E159" s="30">
        <f t="shared" si="2"/>
        <v>5.5</v>
      </c>
      <c r="F159" s="38">
        <v>0.5</v>
      </c>
      <c r="G159" s="11"/>
    </row>
    <row r="160" spans="1:7" x14ac:dyDescent="0.25">
      <c r="A160" s="104">
        <v>45374</v>
      </c>
      <c r="B160" s="11" t="s">
        <v>58</v>
      </c>
      <c r="C160" s="28">
        <v>0.75</v>
      </c>
      <c r="D160" s="28">
        <v>0.95833333333333337</v>
      </c>
      <c r="E160" s="30">
        <f t="shared" si="2"/>
        <v>5.0000000000000009</v>
      </c>
      <c r="F160" s="38"/>
      <c r="G160" s="11"/>
    </row>
    <row r="161" spans="1:7" x14ac:dyDescent="0.25">
      <c r="A161" s="104">
        <v>45375</v>
      </c>
      <c r="B161" s="11" t="s">
        <v>53</v>
      </c>
      <c r="C161" s="28">
        <v>0.33333333333333331</v>
      </c>
      <c r="D161" s="28">
        <v>0.66666666666666663</v>
      </c>
      <c r="E161" s="30">
        <f t="shared" si="2"/>
        <v>8</v>
      </c>
      <c r="F161" s="38"/>
      <c r="G161" s="11"/>
    </row>
    <row r="162" spans="1:7" x14ac:dyDescent="0.25">
      <c r="A162" s="104">
        <v>45376</v>
      </c>
      <c r="B162" s="11" t="s">
        <v>56</v>
      </c>
      <c r="C162" s="28">
        <v>0.32291666666666669</v>
      </c>
      <c r="D162" s="28">
        <v>0.58333333333333337</v>
      </c>
      <c r="E162" s="30">
        <f t="shared" si="2"/>
        <v>5.75</v>
      </c>
      <c r="F162" s="38">
        <v>0.5</v>
      </c>
      <c r="G162" s="11"/>
    </row>
    <row r="163" spans="1:7" x14ac:dyDescent="0.25">
      <c r="A163" s="104">
        <v>45377</v>
      </c>
      <c r="B163" s="11" t="s">
        <v>56</v>
      </c>
      <c r="C163" s="28">
        <v>0.32291666666666669</v>
      </c>
      <c r="D163" s="28">
        <v>0.58333333333333337</v>
      </c>
      <c r="E163" s="30">
        <f t="shared" si="2"/>
        <v>5.75</v>
      </c>
      <c r="F163" s="38">
        <v>0.5</v>
      </c>
      <c r="G163" s="11"/>
    </row>
    <row r="164" spans="1:7" x14ac:dyDescent="0.25">
      <c r="A164" s="104">
        <v>45377</v>
      </c>
      <c r="B164" s="11" t="s">
        <v>56</v>
      </c>
      <c r="C164" s="28">
        <v>0.70833333333333337</v>
      </c>
      <c r="D164" s="28">
        <v>0.875</v>
      </c>
      <c r="E164" s="30">
        <f t="shared" si="2"/>
        <v>3.9999999999999991</v>
      </c>
      <c r="F164" s="38"/>
      <c r="G164" s="11"/>
    </row>
    <row r="165" spans="1:7" x14ac:dyDescent="0.25">
      <c r="A165" s="104">
        <v>45378</v>
      </c>
      <c r="B165" s="11" t="s">
        <v>56</v>
      </c>
      <c r="C165" s="28">
        <v>0.32291666666666669</v>
      </c>
      <c r="D165" s="28">
        <v>0.58333333333333337</v>
      </c>
      <c r="E165" s="30">
        <f t="shared" si="2"/>
        <v>5.75</v>
      </c>
      <c r="F165" s="38">
        <v>0.5</v>
      </c>
      <c r="G165" s="11"/>
    </row>
    <row r="166" spans="1:7" x14ac:dyDescent="0.25">
      <c r="A166" s="104">
        <v>45378</v>
      </c>
      <c r="B166" s="11" t="s">
        <v>49</v>
      </c>
      <c r="C166" s="28">
        <v>0.70833333333333337</v>
      </c>
      <c r="D166" s="28">
        <v>0.89583333333333337</v>
      </c>
      <c r="E166" s="30">
        <f t="shared" si="2"/>
        <v>4.5</v>
      </c>
      <c r="F166" s="38"/>
      <c r="G166" s="11"/>
    </row>
    <row r="167" spans="1:7" x14ac:dyDescent="0.25">
      <c r="A167" s="104">
        <v>45379</v>
      </c>
      <c r="B167" s="11" t="s">
        <v>56</v>
      </c>
      <c r="C167" s="28">
        <v>0.32291666666666669</v>
      </c>
      <c r="D167" s="28">
        <v>0.58333333333333337</v>
      </c>
      <c r="E167" s="30">
        <f t="shared" si="2"/>
        <v>5.75</v>
      </c>
      <c r="F167" s="38">
        <v>0.5</v>
      </c>
      <c r="G167" s="11"/>
    </row>
    <row r="168" spans="1:7" x14ac:dyDescent="0.25">
      <c r="A168" s="104">
        <v>45379</v>
      </c>
      <c r="B168" s="11" t="s">
        <v>53</v>
      </c>
      <c r="C168" s="28">
        <v>0.6875</v>
      </c>
      <c r="D168" s="28">
        <v>0</v>
      </c>
      <c r="E168" s="30">
        <f t="shared" si="2"/>
        <v>7</v>
      </c>
      <c r="F168" s="38">
        <v>0.5</v>
      </c>
      <c r="G168" s="11"/>
    </row>
    <row r="169" spans="1:7" x14ac:dyDescent="0.25">
      <c r="A169" s="104">
        <v>45379</v>
      </c>
      <c r="B169" s="11" t="s">
        <v>56</v>
      </c>
      <c r="C169" s="28">
        <v>0.77083333333333337</v>
      </c>
      <c r="D169" s="28">
        <v>0.9375</v>
      </c>
      <c r="E169" s="30">
        <f t="shared" si="2"/>
        <v>3.9999999999999991</v>
      </c>
      <c r="F169" s="38"/>
      <c r="G169" s="11"/>
    </row>
    <row r="170" spans="1:7" x14ac:dyDescent="0.25">
      <c r="A170" s="104">
        <v>45380</v>
      </c>
      <c r="B170" s="11" t="s">
        <v>56</v>
      </c>
      <c r="C170" s="28">
        <v>0.32291666666666669</v>
      </c>
      <c r="D170" s="28">
        <v>0.58333333333333337</v>
      </c>
      <c r="E170" s="30">
        <f t="shared" si="2"/>
        <v>5.75</v>
      </c>
      <c r="F170" s="38">
        <v>0.5</v>
      </c>
      <c r="G170" s="11"/>
    </row>
    <row r="171" spans="1:7" x14ac:dyDescent="0.25">
      <c r="A171" s="104">
        <v>45380</v>
      </c>
      <c r="B171" s="11" t="s">
        <v>58</v>
      </c>
      <c r="C171" s="28">
        <v>0.6875</v>
      </c>
      <c r="D171" s="28">
        <v>0.95833333333333337</v>
      </c>
      <c r="E171" s="30">
        <f t="shared" si="2"/>
        <v>6.0000000000000009</v>
      </c>
      <c r="F171" s="38">
        <v>0.5</v>
      </c>
      <c r="G171" s="11"/>
    </row>
    <row r="172" spans="1:7" x14ac:dyDescent="0.25">
      <c r="A172" s="104">
        <v>45381</v>
      </c>
      <c r="B172" s="11" t="s">
        <v>56</v>
      </c>
      <c r="C172" s="28">
        <v>0.33333333333333331</v>
      </c>
      <c r="D172" s="28">
        <v>0.5</v>
      </c>
      <c r="E172" s="30">
        <f t="shared" si="2"/>
        <v>4</v>
      </c>
      <c r="F172" s="38"/>
      <c r="G172" s="11"/>
    </row>
    <row r="173" spans="1:7" x14ac:dyDescent="0.25">
      <c r="A173" s="104">
        <v>45381</v>
      </c>
      <c r="B173" s="11" t="s">
        <v>48</v>
      </c>
      <c r="C173" s="28">
        <v>0.45833333333333331</v>
      </c>
      <c r="D173" s="28">
        <v>0.70833333333333337</v>
      </c>
      <c r="E173" s="30">
        <f t="shared" si="2"/>
        <v>5.5000000000000018</v>
      </c>
      <c r="F173" s="38">
        <v>0.5</v>
      </c>
      <c r="G173" s="11"/>
    </row>
    <row r="174" spans="1:7" x14ac:dyDescent="0.25">
      <c r="A174" s="104">
        <v>45381</v>
      </c>
      <c r="B174" s="11" t="s">
        <v>58</v>
      </c>
      <c r="C174" s="28">
        <v>0.5</v>
      </c>
      <c r="D174" s="28">
        <v>0.91666666666666663</v>
      </c>
      <c r="E174" s="30">
        <f t="shared" si="2"/>
        <v>9</v>
      </c>
      <c r="F174" s="38">
        <v>1</v>
      </c>
      <c r="G174" s="11"/>
    </row>
    <row r="175" spans="1:7" x14ac:dyDescent="0.25">
      <c r="A175" s="104">
        <v>45384</v>
      </c>
      <c r="B175" s="11" t="s">
        <v>56</v>
      </c>
      <c r="C175" s="28">
        <v>0.375</v>
      </c>
      <c r="D175" s="28">
        <v>0.5625</v>
      </c>
      <c r="E175" s="30">
        <f t="shared" si="2"/>
        <v>4.5</v>
      </c>
      <c r="F175" s="38"/>
      <c r="G175" s="11"/>
    </row>
    <row r="176" spans="1:7" x14ac:dyDescent="0.25">
      <c r="A176" s="104">
        <v>45385</v>
      </c>
      <c r="B176" s="11" t="s">
        <v>56</v>
      </c>
      <c r="C176" s="28">
        <v>0.33333333333333331</v>
      </c>
      <c r="D176" s="28">
        <v>0.58333333333333337</v>
      </c>
      <c r="E176" s="30">
        <f t="shared" si="2"/>
        <v>5.5000000000000018</v>
      </c>
      <c r="F176" s="38">
        <v>0.5</v>
      </c>
      <c r="G176" s="11"/>
    </row>
    <row r="177" spans="1:7" x14ac:dyDescent="0.25">
      <c r="A177" s="104">
        <v>45385</v>
      </c>
      <c r="B177" s="11" t="s">
        <v>56</v>
      </c>
      <c r="C177" s="28">
        <v>0.66666666666666663</v>
      </c>
      <c r="D177" s="28">
        <v>0.875</v>
      </c>
      <c r="E177" s="30">
        <f t="shared" si="2"/>
        <v>5.0000000000000009</v>
      </c>
      <c r="F177" s="38"/>
      <c r="G177" s="11"/>
    </row>
    <row r="178" spans="1:7" x14ac:dyDescent="0.25">
      <c r="A178" s="104">
        <v>45386</v>
      </c>
      <c r="B178" s="11" t="s">
        <v>56</v>
      </c>
      <c r="C178" s="28">
        <v>0.33333333333333331</v>
      </c>
      <c r="D178" s="28">
        <v>0.58333333333333337</v>
      </c>
      <c r="E178" s="30">
        <f t="shared" si="2"/>
        <v>5.5000000000000018</v>
      </c>
      <c r="F178" s="38">
        <v>0.5</v>
      </c>
      <c r="G178" s="11"/>
    </row>
    <row r="179" spans="1:7" x14ac:dyDescent="0.25">
      <c r="A179" s="104">
        <v>45386</v>
      </c>
      <c r="B179" s="11" t="s">
        <v>56</v>
      </c>
      <c r="C179" s="28">
        <v>0.75</v>
      </c>
      <c r="D179" s="28">
        <v>0.9375</v>
      </c>
      <c r="E179" s="30">
        <f t="shared" si="2"/>
        <v>4.5</v>
      </c>
      <c r="F179" s="38"/>
      <c r="G179" s="11"/>
    </row>
    <row r="180" spans="1:7" x14ac:dyDescent="0.25">
      <c r="A180" s="104">
        <v>45387</v>
      </c>
      <c r="B180" s="11" t="s">
        <v>56</v>
      </c>
      <c r="C180" s="28">
        <v>0.33333333333333331</v>
      </c>
      <c r="D180" s="28">
        <v>0.58333333333333337</v>
      </c>
      <c r="E180" s="30">
        <f t="shared" si="2"/>
        <v>5.5000000000000018</v>
      </c>
      <c r="F180" s="38">
        <v>0.5</v>
      </c>
      <c r="G180" s="11"/>
    </row>
    <row r="181" spans="1:7" x14ac:dyDescent="0.25">
      <c r="A181" s="104">
        <v>45387</v>
      </c>
      <c r="B181" s="11" t="s">
        <v>53</v>
      </c>
      <c r="C181" s="28">
        <v>0.64583333333333337</v>
      </c>
      <c r="D181" s="28">
        <v>0.97916666666666663</v>
      </c>
      <c r="E181" s="30">
        <f t="shared" si="2"/>
        <v>7.4999999999999982</v>
      </c>
      <c r="F181" s="38">
        <v>0.5</v>
      </c>
      <c r="G181" s="11"/>
    </row>
    <row r="182" spans="1:7" x14ac:dyDescent="0.25">
      <c r="A182" s="104">
        <v>45387</v>
      </c>
      <c r="B182" s="11" t="s">
        <v>58</v>
      </c>
      <c r="C182" s="28">
        <v>0.75</v>
      </c>
      <c r="D182" s="28">
        <v>0.95833333333333337</v>
      </c>
      <c r="E182" s="30">
        <f t="shared" si="2"/>
        <v>5.0000000000000009</v>
      </c>
      <c r="F182" s="38"/>
      <c r="G182" s="11"/>
    </row>
    <row r="183" spans="1:7" x14ac:dyDescent="0.25">
      <c r="A183" s="104">
        <v>45388</v>
      </c>
      <c r="B183" s="11" t="s">
        <v>56</v>
      </c>
      <c r="C183" s="28">
        <v>0.33333333333333331</v>
      </c>
      <c r="D183" s="28">
        <v>0.52083333333333337</v>
      </c>
      <c r="E183" s="30">
        <f t="shared" si="2"/>
        <v>4.5000000000000018</v>
      </c>
      <c r="F183" s="38"/>
      <c r="G183" s="11"/>
    </row>
    <row r="184" spans="1:7" x14ac:dyDescent="0.25">
      <c r="A184" s="104">
        <v>45388</v>
      </c>
      <c r="B184" s="11" t="s">
        <v>49</v>
      </c>
      <c r="C184" s="28">
        <v>0.33333333333333331</v>
      </c>
      <c r="D184" s="28">
        <v>0.45833333333333331</v>
      </c>
      <c r="E184" s="30">
        <f t="shared" si="2"/>
        <v>3</v>
      </c>
      <c r="F184" s="38"/>
      <c r="G184" s="11"/>
    </row>
    <row r="185" spans="1:7" x14ac:dyDescent="0.25">
      <c r="A185" s="104">
        <v>45388</v>
      </c>
      <c r="B185" s="11" t="s">
        <v>58</v>
      </c>
      <c r="C185" s="28">
        <v>0.52083333333333337</v>
      </c>
      <c r="D185" s="28">
        <v>0.83333333333333337</v>
      </c>
      <c r="E185" s="30">
        <f t="shared" si="2"/>
        <v>7</v>
      </c>
      <c r="F185" s="38">
        <v>0.5</v>
      </c>
      <c r="G185" s="11"/>
    </row>
    <row r="186" spans="1:7" x14ac:dyDescent="0.25">
      <c r="A186" s="104">
        <v>45388</v>
      </c>
      <c r="B186" s="11" t="s">
        <v>48</v>
      </c>
      <c r="C186" s="28">
        <v>0.58333333333333337</v>
      </c>
      <c r="D186" s="28">
        <v>0</v>
      </c>
      <c r="E186" s="30">
        <f t="shared" si="2"/>
        <v>9</v>
      </c>
      <c r="F186" s="38">
        <v>1</v>
      </c>
      <c r="G186" s="11"/>
    </row>
    <row r="187" spans="1:7" x14ac:dyDescent="0.25">
      <c r="A187" s="104">
        <v>45388</v>
      </c>
      <c r="B187" s="11" t="s">
        <v>53</v>
      </c>
      <c r="C187" s="28">
        <v>0.625</v>
      </c>
      <c r="D187" s="28">
        <v>2.0833333333333332E-2</v>
      </c>
      <c r="E187" s="30">
        <f t="shared" si="2"/>
        <v>8.5</v>
      </c>
      <c r="F187" s="38">
        <v>1</v>
      </c>
      <c r="G187" s="11"/>
    </row>
    <row r="188" spans="1:7" x14ac:dyDescent="0.25">
      <c r="A188" s="104">
        <v>45389</v>
      </c>
      <c r="B188" s="11" t="s">
        <v>46</v>
      </c>
      <c r="C188" s="28">
        <v>0.66666666666666663</v>
      </c>
      <c r="D188" s="28">
        <v>0.91666666666666663</v>
      </c>
      <c r="E188" s="30">
        <f t="shared" ref="E188:E249" si="3">MOD((D188-C188),1) *24 - F188</f>
        <v>5.5</v>
      </c>
      <c r="F188" s="38">
        <v>0.5</v>
      </c>
      <c r="G188" s="11"/>
    </row>
    <row r="189" spans="1:7" x14ac:dyDescent="0.25">
      <c r="A189" s="104">
        <v>45390</v>
      </c>
      <c r="B189" s="11" t="s">
        <v>56</v>
      </c>
      <c r="C189" s="28">
        <v>0.33333333333333331</v>
      </c>
      <c r="D189" s="28">
        <v>0.58333333333333337</v>
      </c>
      <c r="E189" s="30">
        <f t="shared" si="3"/>
        <v>5.5000000000000018</v>
      </c>
      <c r="F189" s="38">
        <v>0.5</v>
      </c>
      <c r="G189" s="11"/>
    </row>
    <row r="190" spans="1:7" x14ac:dyDescent="0.25">
      <c r="A190" s="104">
        <v>45391</v>
      </c>
      <c r="B190" s="11" t="s">
        <v>56</v>
      </c>
      <c r="C190" s="28">
        <v>0.33333333333333331</v>
      </c>
      <c r="D190" s="28">
        <v>0.5625</v>
      </c>
      <c r="E190" s="30">
        <f t="shared" si="3"/>
        <v>5.5</v>
      </c>
      <c r="F190" s="38"/>
      <c r="G190" s="11"/>
    </row>
    <row r="191" spans="1:7" x14ac:dyDescent="0.25">
      <c r="A191" s="104">
        <v>45392</v>
      </c>
      <c r="B191" s="11" t="s">
        <v>56</v>
      </c>
      <c r="C191" s="28">
        <v>0.33333333333333331</v>
      </c>
      <c r="D191" s="28">
        <v>0.58333333333333337</v>
      </c>
      <c r="E191" s="30">
        <f t="shared" si="3"/>
        <v>5.5000000000000018</v>
      </c>
      <c r="F191" s="38">
        <v>0.5</v>
      </c>
      <c r="G191" s="11"/>
    </row>
    <row r="192" spans="1:7" x14ac:dyDescent="0.25">
      <c r="A192" s="104">
        <v>45392</v>
      </c>
      <c r="B192" s="11" t="s">
        <v>49</v>
      </c>
      <c r="C192" s="28">
        <v>0.6875</v>
      </c>
      <c r="D192" s="28">
        <v>0.89583333333333337</v>
      </c>
      <c r="E192" s="30">
        <f t="shared" si="3"/>
        <v>5.0000000000000009</v>
      </c>
      <c r="F192" s="38"/>
      <c r="G192" s="11"/>
    </row>
    <row r="193" spans="1:7" x14ac:dyDescent="0.25">
      <c r="A193" s="104">
        <v>45393</v>
      </c>
      <c r="B193" s="11" t="s">
        <v>56</v>
      </c>
      <c r="C193" s="28">
        <v>0.33333333333333331</v>
      </c>
      <c r="D193" s="28">
        <v>0.58333333333333337</v>
      </c>
      <c r="E193" s="30">
        <f t="shared" si="3"/>
        <v>5.5000000000000018</v>
      </c>
      <c r="F193" s="38">
        <v>0.5</v>
      </c>
      <c r="G193" s="11"/>
    </row>
    <row r="194" spans="1:7" x14ac:dyDescent="0.25">
      <c r="A194" s="104">
        <v>45393</v>
      </c>
      <c r="B194" s="11" t="s">
        <v>56</v>
      </c>
      <c r="C194" s="28">
        <v>0.75</v>
      </c>
      <c r="D194" s="28">
        <v>0.9375</v>
      </c>
      <c r="E194" s="30">
        <f t="shared" si="3"/>
        <v>4.5</v>
      </c>
      <c r="F194" s="38"/>
      <c r="G194" s="11"/>
    </row>
    <row r="195" spans="1:7" x14ac:dyDescent="0.25">
      <c r="A195" s="104">
        <v>45394</v>
      </c>
      <c r="B195" s="11" t="s">
        <v>56</v>
      </c>
      <c r="C195" s="28">
        <v>0.33333333333333331</v>
      </c>
      <c r="D195" s="28">
        <v>0.58333333333333337</v>
      </c>
      <c r="E195" s="30">
        <f t="shared" si="3"/>
        <v>5.5000000000000018</v>
      </c>
      <c r="F195" s="38">
        <v>0.5</v>
      </c>
      <c r="G195" s="11"/>
    </row>
    <row r="196" spans="1:7" x14ac:dyDescent="0.25">
      <c r="A196" s="104">
        <v>45394</v>
      </c>
      <c r="B196" s="11" t="s">
        <v>53</v>
      </c>
      <c r="C196" s="28">
        <v>0.70833333333333337</v>
      </c>
      <c r="D196" s="28">
        <v>4.1666666666666664E-2</v>
      </c>
      <c r="E196" s="30">
        <f t="shared" si="3"/>
        <v>7.4999999999999982</v>
      </c>
      <c r="F196" s="38">
        <v>0.5</v>
      </c>
      <c r="G196" s="11"/>
    </row>
    <row r="197" spans="1:7" x14ac:dyDescent="0.25">
      <c r="A197" s="104">
        <v>45394</v>
      </c>
      <c r="B197" s="11" t="s">
        <v>58</v>
      </c>
      <c r="C197" s="28">
        <v>0.75</v>
      </c>
      <c r="D197" s="28">
        <v>0.95833333333333337</v>
      </c>
      <c r="E197" s="30">
        <f t="shared" si="3"/>
        <v>5.0000000000000009</v>
      </c>
      <c r="F197" s="38"/>
      <c r="G197" s="11"/>
    </row>
    <row r="198" spans="1:7" x14ac:dyDescent="0.25">
      <c r="A198" s="104">
        <v>45395</v>
      </c>
      <c r="B198" s="11" t="s">
        <v>58</v>
      </c>
      <c r="C198" s="28">
        <v>0.25</v>
      </c>
      <c r="D198" s="28">
        <v>0.52083333333333337</v>
      </c>
      <c r="E198" s="30">
        <f t="shared" si="3"/>
        <v>6.0000000000000009</v>
      </c>
      <c r="F198" s="38">
        <v>0.5</v>
      </c>
      <c r="G198" s="11"/>
    </row>
    <row r="199" spans="1:7" x14ac:dyDescent="0.25">
      <c r="A199" s="104">
        <v>45395</v>
      </c>
      <c r="B199" s="11" t="s">
        <v>56</v>
      </c>
      <c r="C199" s="28">
        <v>0.52083333333333337</v>
      </c>
      <c r="D199" s="28">
        <v>0.77083333333333337</v>
      </c>
      <c r="E199" s="30">
        <f t="shared" si="3"/>
        <v>5.5</v>
      </c>
      <c r="F199" s="38">
        <v>0.5</v>
      </c>
      <c r="G199" s="11"/>
    </row>
    <row r="200" spans="1:7" x14ac:dyDescent="0.25">
      <c r="A200" s="104">
        <v>45395</v>
      </c>
      <c r="B200" s="11" t="s">
        <v>46</v>
      </c>
      <c r="C200" s="28">
        <v>0.54166666666666663</v>
      </c>
      <c r="D200" s="28">
        <v>0.75</v>
      </c>
      <c r="E200" s="30">
        <f t="shared" si="3"/>
        <v>5.0000000000000009</v>
      </c>
      <c r="F200" s="38"/>
      <c r="G200" s="11"/>
    </row>
    <row r="201" spans="1:7" x14ac:dyDescent="0.25">
      <c r="A201" s="104">
        <v>45395</v>
      </c>
      <c r="B201" s="11" t="s">
        <v>53</v>
      </c>
      <c r="C201" s="28">
        <v>0.54166666666666663</v>
      </c>
      <c r="D201" s="28">
        <v>0.79166666666666663</v>
      </c>
      <c r="E201" s="30">
        <f t="shared" si="3"/>
        <v>5.5</v>
      </c>
      <c r="F201" s="38">
        <v>0.5</v>
      </c>
      <c r="G201" s="11"/>
    </row>
    <row r="202" spans="1:7" x14ac:dyDescent="0.25">
      <c r="A202" s="104">
        <v>45396</v>
      </c>
      <c r="B202" s="11" t="s">
        <v>53</v>
      </c>
      <c r="C202" s="28">
        <v>0.45833333333333331</v>
      </c>
      <c r="D202" s="28">
        <v>0.72916666666666663</v>
      </c>
      <c r="E202" s="30">
        <f t="shared" si="3"/>
        <v>6</v>
      </c>
      <c r="F202" s="38">
        <v>0.5</v>
      </c>
      <c r="G202" s="11"/>
    </row>
    <row r="203" spans="1:7" x14ac:dyDescent="0.25">
      <c r="A203" s="104">
        <v>45398</v>
      </c>
      <c r="B203" s="11" t="s">
        <v>56</v>
      </c>
      <c r="C203" s="28">
        <v>0.33333333333333331</v>
      </c>
      <c r="D203" s="28">
        <v>0.58333333333333337</v>
      </c>
      <c r="E203" s="30">
        <f t="shared" si="3"/>
        <v>5.5000000000000018</v>
      </c>
      <c r="F203" s="38">
        <v>0.5</v>
      </c>
      <c r="G203" s="11"/>
    </row>
    <row r="204" spans="1:7" x14ac:dyDescent="0.25">
      <c r="A204" s="104">
        <v>45399</v>
      </c>
      <c r="B204" s="11" t="s">
        <v>56</v>
      </c>
      <c r="C204" s="28">
        <v>0.33333333333333331</v>
      </c>
      <c r="D204" s="28">
        <v>0.58333333333333337</v>
      </c>
      <c r="E204" s="30">
        <f t="shared" si="3"/>
        <v>5.5000000000000018</v>
      </c>
      <c r="F204" s="38">
        <v>0.5</v>
      </c>
      <c r="G204" s="11"/>
    </row>
    <row r="205" spans="1:7" x14ac:dyDescent="0.25">
      <c r="A205" s="104">
        <v>45399</v>
      </c>
      <c r="B205" s="11" t="s">
        <v>49</v>
      </c>
      <c r="C205" s="28">
        <v>0.6875</v>
      </c>
      <c r="D205" s="28">
        <v>0.875</v>
      </c>
      <c r="E205" s="30">
        <f t="shared" si="3"/>
        <v>4.5</v>
      </c>
      <c r="F205" s="38"/>
      <c r="G205" s="11"/>
    </row>
    <row r="206" spans="1:7" x14ac:dyDescent="0.25">
      <c r="A206" s="104">
        <v>45399</v>
      </c>
      <c r="B206" s="11" t="s">
        <v>58</v>
      </c>
      <c r="C206" s="28">
        <v>0.70833333333333337</v>
      </c>
      <c r="D206" s="28">
        <v>0.875</v>
      </c>
      <c r="E206" s="30">
        <f t="shared" si="3"/>
        <v>3.9999999999999991</v>
      </c>
      <c r="F206" s="38"/>
      <c r="G206" s="11"/>
    </row>
    <row r="207" spans="1:7" x14ac:dyDescent="0.25">
      <c r="A207" s="104">
        <v>45400</v>
      </c>
      <c r="B207" s="11" t="s">
        <v>56</v>
      </c>
      <c r="C207" s="28">
        <v>0.45833333333333331</v>
      </c>
      <c r="D207" s="28">
        <v>0.58333333333333337</v>
      </c>
      <c r="E207" s="30">
        <f t="shared" si="3"/>
        <v>3.0000000000000013</v>
      </c>
      <c r="F207" s="38"/>
      <c r="G207" s="11"/>
    </row>
    <row r="208" spans="1:7" x14ac:dyDescent="0.25">
      <c r="A208" s="104">
        <v>45400</v>
      </c>
      <c r="B208" s="11" t="s">
        <v>56</v>
      </c>
      <c r="C208" s="28">
        <v>0.77083333333333337</v>
      </c>
      <c r="D208" s="28">
        <v>0.9375</v>
      </c>
      <c r="E208" s="30">
        <f t="shared" si="3"/>
        <v>3.9999999999999991</v>
      </c>
      <c r="F208" s="38"/>
      <c r="G208" s="11"/>
    </row>
    <row r="209" spans="1:7" x14ac:dyDescent="0.25">
      <c r="A209" s="104">
        <v>45401</v>
      </c>
      <c r="B209" s="11" t="s">
        <v>56</v>
      </c>
      <c r="C209" s="28">
        <v>0.33333333333333331</v>
      </c>
      <c r="D209" s="28">
        <v>0.58333333333333337</v>
      </c>
      <c r="E209" s="30">
        <f t="shared" si="3"/>
        <v>5.5000000000000018</v>
      </c>
      <c r="F209" s="38">
        <v>0.5</v>
      </c>
      <c r="G209" s="11"/>
    </row>
    <row r="210" spans="1:7" x14ac:dyDescent="0.25">
      <c r="A210" s="104">
        <v>45401</v>
      </c>
      <c r="B210" s="11" t="s">
        <v>56</v>
      </c>
      <c r="C210" s="28">
        <v>0.75</v>
      </c>
      <c r="D210" s="28">
        <v>0.95833333333333337</v>
      </c>
      <c r="E210" s="30">
        <f t="shared" si="3"/>
        <v>5.0000000000000009</v>
      </c>
      <c r="F210" s="38"/>
      <c r="G210" s="11"/>
    </row>
    <row r="211" spans="1:7" x14ac:dyDescent="0.25">
      <c r="A211" s="104">
        <v>45402</v>
      </c>
      <c r="B211" s="11" t="s">
        <v>56</v>
      </c>
      <c r="C211" s="28">
        <v>0.33333333333333331</v>
      </c>
      <c r="D211" s="28">
        <v>0.5</v>
      </c>
      <c r="E211" s="30">
        <f t="shared" si="3"/>
        <v>4</v>
      </c>
      <c r="F211" s="38"/>
      <c r="G211" s="11"/>
    </row>
    <row r="212" spans="1:7" x14ac:dyDescent="0.25">
      <c r="A212" s="104">
        <v>45402</v>
      </c>
      <c r="B212" s="11" t="s">
        <v>46</v>
      </c>
      <c r="C212" s="28">
        <v>0.41666666666666669</v>
      </c>
      <c r="D212" s="28">
        <v>0.66666666666666663</v>
      </c>
      <c r="E212" s="30">
        <f t="shared" si="3"/>
        <v>5.4999999999999982</v>
      </c>
      <c r="F212" s="38">
        <v>0.5</v>
      </c>
      <c r="G212" s="11"/>
    </row>
    <row r="213" spans="1:7" x14ac:dyDescent="0.25">
      <c r="A213" s="104">
        <v>45402</v>
      </c>
      <c r="B213" s="11" t="s">
        <v>53</v>
      </c>
      <c r="C213" s="28">
        <v>0.52083333333333337</v>
      </c>
      <c r="D213" s="28">
        <v>0.75</v>
      </c>
      <c r="E213" s="30">
        <f t="shared" si="3"/>
        <v>5.4999999999999991</v>
      </c>
      <c r="F213" s="38"/>
      <c r="G213" s="11"/>
    </row>
    <row r="214" spans="1:7" x14ac:dyDescent="0.25">
      <c r="A214" s="104">
        <v>45403</v>
      </c>
      <c r="B214" s="11" t="s">
        <v>53</v>
      </c>
      <c r="C214" s="28">
        <v>0.29166666666666669</v>
      </c>
      <c r="D214" s="28">
        <v>0.70833333333333337</v>
      </c>
      <c r="E214" s="30">
        <f t="shared" si="3"/>
        <v>9</v>
      </c>
      <c r="F214" s="38">
        <v>1</v>
      </c>
      <c r="G214" s="11"/>
    </row>
    <row r="215" spans="1:7" x14ac:dyDescent="0.25">
      <c r="A215" s="104">
        <v>45403</v>
      </c>
      <c r="B215" s="11" t="s">
        <v>58</v>
      </c>
      <c r="C215" s="28">
        <v>0.41666666666666669</v>
      </c>
      <c r="D215" s="28">
        <v>0.625</v>
      </c>
      <c r="E215" s="30">
        <f t="shared" si="3"/>
        <v>5</v>
      </c>
      <c r="F215" s="38"/>
      <c r="G215" s="11"/>
    </row>
    <row r="216" spans="1:7" x14ac:dyDescent="0.25">
      <c r="A216" s="104">
        <v>45404</v>
      </c>
      <c r="B216" s="11" t="s">
        <v>56</v>
      </c>
      <c r="C216" s="28">
        <v>0.33333333333333331</v>
      </c>
      <c r="D216" s="28">
        <v>0.58333333333333337</v>
      </c>
      <c r="E216" s="30">
        <f t="shared" si="3"/>
        <v>5.5000000000000018</v>
      </c>
      <c r="F216" s="38">
        <v>0.5</v>
      </c>
      <c r="G216" s="11"/>
    </row>
    <row r="217" spans="1:7" x14ac:dyDescent="0.25">
      <c r="A217" s="104">
        <v>45405</v>
      </c>
      <c r="B217" s="11" t="s">
        <v>56</v>
      </c>
      <c r="C217" s="28">
        <v>0.33333333333333331</v>
      </c>
      <c r="D217" s="28">
        <v>0.58333333333333337</v>
      </c>
      <c r="E217" s="30">
        <f t="shared" si="3"/>
        <v>5.5000000000000018</v>
      </c>
      <c r="F217" s="38">
        <v>0.5</v>
      </c>
      <c r="G217" s="11"/>
    </row>
    <row r="218" spans="1:7" x14ac:dyDescent="0.25">
      <c r="A218" s="104">
        <v>45406</v>
      </c>
      <c r="B218" s="11" t="s">
        <v>56</v>
      </c>
      <c r="C218" s="28">
        <v>0.33333333333333331</v>
      </c>
      <c r="D218" s="28">
        <v>0.58333333333333337</v>
      </c>
      <c r="E218" s="30">
        <f t="shared" si="3"/>
        <v>5.5000000000000018</v>
      </c>
      <c r="F218" s="38">
        <v>0.5</v>
      </c>
      <c r="G218" s="11"/>
    </row>
    <row r="219" spans="1:7" x14ac:dyDescent="0.25">
      <c r="A219" s="104">
        <v>45406</v>
      </c>
      <c r="B219" s="11" t="s">
        <v>49</v>
      </c>
      <c r="C219" s="28">
        <v>0.6875</v>
      </c>
      <c r="D219" s="28">
        <v>0.875</v>
      </c>
      <c r="E219" s="30">
        <f t="shared" si="3"/>
        <v>4.5</v>
      </c>
      <c r="F219" s="38"/>
      <c r="G219" s="11"/>
    </row>
    <row r="220" spans="1:7" x14ac:dyDescent="0.25">
      <c r="A220" s="104">
        <v>45407</v>
      </c>
      <c r="B220" s="11" t="s">
        <v>56</v>
      </c>
      <c r="C220" s="28">
        <v>0.33333333333333331</v>
      </c>
      <c r="D220" s="28">
        <v>0.58333333333333337</v>
      </c>
      <c r="E220" s="30">
        <f t="shared" si="3"/>
        <v>5.5000000000000018</v>
      </c>
      <c r="F220" s="38">
        <v>0.5</v>
      </c>
      <c r="G220" s="11"/>
    </row>
    <row r="221" spans="1:7" x14ac:dyDescent="0.25">
      <c r="A221" s="104">
        <v>45407</v>
      </c>
      <c r="B221" s="11" t="s">
        <v>56</v>
      </c>
      <c r="C221" s="28">
        <v>0.77083333333333337</v>
      </c>
      <c r="D221" s="28">
        <v>0.9375</v>
      </c>
      <c r="E221" s="30">
        <f t="shared" si="3"/>
        <v>3.9999999999999991</v>
      </c>
      <c r="F221" s="38"/>
      <c r="G221" s="11"/>
    </row>
    <row r="222" spans="1:7" x14ac:dyDescent="0.25">
      <c r="A222" s="104">
        <v>45408</v>
      </c>
      <c r="B222" s="11" t="s">
        <v>56</v>
      </c>
      <c r="C222" s="28">
        <v>0.375</v>
      </c>
      <c r="D222" s="28">
        <v>0.58333333333333337</v>
      </c>
      <c r="E222" s="30">
        <f t="shared" si="3"/>
        <v>5.0000000000000009</v>
      </c>
      <c r="F222" s="38"/>
      <c r="G222" s="11"/>
    </row>
    <row r="223" spans="1:7" x14ac:dyDescent="0.25">
      <c r="A223" s="104">
        <v>45408</v>
      </c>
      <c r="B223" s="11" t="s">
        <v>56</v>
      </c>
      <c r="C223" s="28">
        <v>0.75</v>
      </c>
      <c r="D223" s="28">
        <v>0.95833333333333337</v>
      </c>
      <c r="E223" s="30">
        <f t="shared" si="3"/>
        <v>5.0000000000000009</v>
      </c>
      <c r="F223" s="38"/>
      <c r="G223" s="11"/>
    </row>
    <row r="224" spans="1:7" x14ac:dyDescent="0.25">
      <c r="A224" s="104">
        <v>45409</v>
      </c>
      <c r="B224" s="11" t="s">
        <v>53</v>
      </c>
      <c r="C224" s="28">
        <v>0.35416666666666669</v>
      </c>
      <c r="D224" s="28">
        <v>0.625</v>
      </c>
      <c r="E224" s="30">
        <f t="shared" si="3"/>
        <v>6</v>
      </c>
      <c r="F224" s="38">
        <v>0.5</v>
      </c>
      <c r="G224" s="11"/>
    </row>
    <row r="225" spans="1:7" x14ac:dyDescent="0.25">
      <c r="A225" s="104">
        <v>45409</v>
      </c>
      <c r="B225" s="11" t="s">
        <v>56</v>
      </c>
      <c r="C225" s="28">
        <v>0.375</v>
      </c>
      <c r="D225" s="28">
        <v>0.54166666666666663</v>
      </c>
      <c r="E225" s="30">
        <f t="shared" si="3"/>
        <v>3.9999999999999991</v>
      </c>
      <c r="F225" s="38"/>
      <c r="G225" s="11"/>
    </row>
    <row r="226" spans="1:7" x14ac:dyDescent="0.25">
      <c r="A226" s="104">
        <v>45409</v>
      </c>
      <c r="B226" s="11" t="s">
        <v>46</v>
      </c>
      <c r="C226" s="28">
        <v>0.375</v>
      </c>
      <c r="D226" s="28">
        <v>0.70833333333333337</v>
      </c>
      <c r="E226" s="30">
        <f t="shared" si="3"/>
        <v>7.5</v>
      </c>
      <c r="F226" s="38">
        <v>0.5</v>
      </c>
      <c r="G226" s="11"/>
    </row>
    <row r="227" spans="1:7" x14ac:dyDescent="0.25">
      <c r="A227" s="104">
        <v>45409</v>
      </c>
      <c r="B227" s="11" t="s">
        <v>56</v>
      </c>
      <c r="C227" s="28">
        <v>0.5</v>
      </c>
      <c r="D227" s="28">
        <v>0.75</v>
      </c>
      <c r="E227" s="30">
        <f t="shared" si="3"/>
        <v>5.5</v>
      </c>
      <c r="F227" s="38">
        <v>0.5</v>
      </c>
      <c r="G227" s="11"/>
    </row>
    <row r="228" spans="1:7" x14ac:dyDescent="0.25">
      <c r="A228" s="104">
        <v>45409</v>
      </c>
      <c r="B228" s="11" t="s">
        <v>48</v>
      </c>
      <c r="C228" s="28">
        <v>0.625</v>
      </c>
      <c r="D228" s="28">
        <v>0.75</v>
      </c>
      <c r="E228" s="30">
        <f t="shared" si="3"/>
        <v>3</v>
      </c>
      <c r="F228" s="38"/>
      <c r="G228" s="11"/>
    </row>
    <row r="229" spans="1:7" x14ac:dyDescent="0.25">
      <c r="A229" s="104">
        <v>45410</v>
      </c>
      <c r="B229" s="11" t="s">
        <v>53</v>
      </c>
      <c r="C229" s="28">
        <v>0.5</v>
      </c>
      <c r="D229" s="28">
        <v>0.79166666666666663</v>
      </c>
      <c r="E229" s="30">
        <f t="shared" si="3"/>
        <v>6.4999999999999991</v>
      </c>
      <c r="F229" s="38">
        <v>0.5</v>
      </c>
      <c r="G229" s="11"/>
    </row>
    <row r="230" spans="1:7" x14ac:dyDescent="0.25">
      <c r="A230" s="104">
        <v>45410</v>
      </c>
      <c r="B230" s="11" t="s">
        <v>58</v>
      </c>
      <c r="C230" s="28">
        <v>0.625</v>
      </c>
      <c r="D230" s="28">
        <v>0.83333333333333337</v>
      </c>
      <c r="E230" s="30">
        <f t="shared" si="3"/>
        <v>5.0000000000000009</v>
      </c>
      <c r="F230" s="38"/>
      <c r="G230" s="11"/>
    </row>
    <row r="231" spans="1:7" x14ac:dyDescent="0.25">
      <c r="A231" s="104">
        <v>45411</v>
      </c>
      <c r="B231" s="11" t="s">
        <v>56</v>
      </c>
      <c r="C231" s="28">
        <v>0.33333333333333331</v>
      </c>
      <c r="D231" s="28">
        <v>0.58333333333333337</v>
      </c>
      <c r="E231" s="30">
        <f t="shared" si="3"/>
        <v>5.5000000000000018</v>
      </c>
      <c r="F231" s="38">
        <v>0.5</v>
      </c>
      <c r="G231" s="11"/>
    </row>
    <row r="232" spans="1:7" x14ac:dyDescent="0.25">
      <c r="A232" s="104">
        <v>45412</v>
      </c>
      <c r="B232" s="11" t="s">
        <v>56</v>
      </c>
      <c r="C232" s="28">
        <v>0.33333333333333331</v>
      </c>
      <c r="D232" s="28">
        <v>0.54166666666666663</v>
      </c>
      <c r="E232" s="30">
        <f t="shared" si="3"/>
        <v>5</v>
      </c>
      <c r="F232" s="38"/>
      <c r="G232" s="11"/>
    </row>
    <row r="233" spans="1:7" x14ac:dyDescent="0.25">
      <c r="A233" s="104">
        <v>45413</v>
      </c>
      <c r="B233" s="11" t="s">
        <v>56</v>
      </c>
      <c r="C233" s="28">
        <v>0.33333333333333331</v>
      </c>
      <c r="D233" s="28">
        <v>0.58333333333333337</v>
      </c>
      <c r="E233" s="30">
        <f t="shared" si="3"/>
        <v>5.5000000000000018</v>
      </c>
      <c r="F233" s="38">
        <v>0.5</v>
      </c>
      <c r="G233" s="12">
        <f>SUM(E:E)</f>
        <v>5521</v>
      </c>
    </row>
    <row r="234" spans="1:7" x14ac:dyDescent="0.25">
      <c r="A234" s="104">
        <v>45413</v>
      </c>
      <c r="B234" s="11" t="s">
        <v>49</v>
      </c>
      <c r="C234" s="28">
        <v>0.6875</v>
      </c>
      <c r="D234" s="28">
        <v>0.875</v>
      </c>
      <c r="E234" s="30">
        <f t="shared" si="3"/>
        <v>4.5</v>
      </c>
      <c r="F234" s="38"/>
      <c r="G234" s="11"/>
    </row>
    <row r="235" spans="1:7" x14ac:dyDescent="0.25">
      <c r="A235" s="104">
        <v>45414</v>
      </c>
      <c r="B235" s="11" t="s">
        <v>56</v>
      </c>
      <c r="C235" s="28">
        <v>0.77083333333333337</v>
      </c>
      <c r="D235" s="28">
        <v>0.9375</v>
      </c>
      <c r="E235" s="30">
        <f t="shared" si="3"/>
        <v>3.9999999999999991</v>
      </c>
      <c r="F235" s="38"/>
      <c r="G235" s="11"/>
    </row>
    <row r="236" spans="1:7" x14ac:dyDescent="0.25">
      <c r="A236" s="104">
        <v>45414</v>
      </c>
      <c r="B236" s="11" t="s">
        <v>56</v>
      </c>
      <c r="C236" s="28">
        <v>0.33333333333333331</v>
      </c>
      <c r="D236" s="28">
        <v>0.58333333333333337</v>
      </c>
      <c r="E236" s="30">
        <f t="shared" si="3"/>
        <v>5.5000000000000018</v>
      </c>
      <c r="F236" s="38">
        <v>0.5</v>
      </c>
      <c r="G236" s="11"/>
    </row>
    <row r="237" spans="1:7" x14ac:dyDescent="0.25">
      <c r="A237" s="104">
        <v>45415</v>
      </c>
      <c r="B237" s="11" t="s">
        <v>56</v>
      </c>
      <c r="C237" s="28">
        <v>0.33333333333333331</v>
      </c>
      <c r="D237" s="28">
        <v>0.58333333333333337</v>
      </c>
      <c r="E237" s="30">
        <f t="shared" si="3"/>
        <v>5.5000000000000018</v>
      </c>
      <c r="F237" s="38">
        <v>0.5</v>
      </c>
      <c r="G237" s="11"/>
    </row>
    <row r="238" spans="1:7" x14ac:dyDescent="0.25">
      <c r="A238" s="104">
        <v>45416</v>
      </c>
      <c r="B238" s="11" t="s">
        <v>56</v>
      </c>
      <c r="C238" s="28">
        <v>0.52083333333333337</v>
      </c>
      <c r="D238" s="28">
        <v>0.75</v>
      </c>
      <c r="E238" s="30">
        <f t="shared" si="3"/>
        <v>5.4999999999999991</v>
      </c>
      <c r="F238" s="38"/>
      <c r="G238" s="11"/>
    </row>
    <row r="239" spans="1:7" x14ac:dyDescent="0.25">
      <c r="A239" s="104">
        <v>45416</v>
      </c>
      <c r="B239" s="11" t="s">
        <v>58</v>
      </c>
      <c r="C239" s="28">
        <v>0.625</v>
      </c>
      <c r="D239" s="28">
        <v>0.875</v>
      </c>
      <c r="E239" s="30">
        <f t="shared" si="3"/>
        <v>5.5</v>
      </c>
      <c r="F239" s="38">
        <v>0.5</v>
      </c>
      <c r="G239" s="11"/>
    </row>
    <row r="240" spans="1:7" x14ac:dyDescent="0.25">
      <c r="A240" s="104">
        <v>45416</v>
      </c>
      <c r="B240" s="11" t="s">
        <v>53</v>
      </c>
      <c r="C240" s="28">
        <v>0.625</v>
      </c>
      <c r="D240" s="28">
        <v>0.83333333333333337</v>
      </c>
      <c r="E240" s="30">
        <f t="shared" si="3"/>
        <v>5.0000000000000009</v>
      </c>
      <c r="F240" s="38"/>
      <c r="G240" s="11"/>
    </row>
    <row r="241" spans="1:7" x14ac:dyDescent="0.25">
      <c r="A241" s="104">
        <v>45418</v>
      </c>
      <c r="B241" s="11" t="s">
        <v>56</v>
      </c>
      <c r="C241" s="28">
        <v>0.33333333333333331</v>
      </c>
      <c r="D241" s="28">
        <v>0.58333333333333337</v>
      </c>
      <c r="E241" s="30">
        <f t="shared" si="3"/>
        <v>5.5000000000000018</v>
      </c>
      <c r="F241" s="38">
        <v>0.5</v>
      </c>
      <c r="G241" s="11"/>
    </row>
    <row r="242" spans="1:7" x14ac:dyDescent="0.25">
      <c r="A242" s="104">
        <v>45419</v>
      </c>
      <c r="B242" s="11" t="s">
        <v>56</v>
      </c>
      <c r="C242" s="28">
        <v>0.375</v>
      </c>
      <c r="D242" s="28">
        <v>0.5625</v>
      </c>
      <c r="E242" s="30">
        <f t="shared" si="3"/>
        <v>4.5</v>
      </c>
      <c r="F242" s="38"/>
      <c r="G242" s="11"/>
    </row>
    <row r="243" spans="1:7" x14ac:dyDescent="0.25">
      <c r="A243" s="104">
        <v>45420</v>
      </c>
      <c r="B243" s="11" t="s">
        <v>56</v>
      </c>
      <c r="C243" s="28">
        <v>0.33333333333333331</v>
      </c>
      <c r="D243" s="28">
        <v>0.54166666666666663</v>
      </c>
      <c r="E243" s="30">
        <f t="shared" si="3"/>
        <v>5</v>
      </c>
      <c r="F243" s="38"/>
      <c r="G243" s="11"/>
    </row>
    <row r="244" spans="1:7" x14ac:dyDescent="0.25">
      <c r="A244" s="104">
        <v>45420</v>
      </c>
      <c r="B244" s="11" t="s">
        <v>56</v>
      </c>
      <c r="C244" s="28">
        <v>0.66666666666666663</v>
      </c>
      <c r="D244" s="28">
        <v>0.72916666666666663</v>
      </c>
      <c r="E244" s="30">
        <f t="shared" si="3"/>
        <v>1.5</v>
      </c>
      <c r="F244" s="38"/>
      <c r="G244" s="11"/>
    </row>
    <row r="245" spans="1:7" x14ac:dyDescent="0.25">
      <c r="A245" s="104">
        <v>45420</v>
      </c>
      <c r="B245" s="11" t="s">
        <v>49</v>
      </c>
      <c r="C245" s="28">
        <v>0.6875</v>
      </c>
      <c r="D245" s="28">
        <v>0.875</v>
      </c>
      <c r="E245" s="30">
        <f t="shared" si="3"/>
        <v>4.5</v>
      </c>
      <c r="F245" s="38"/>
      <c r="G245" s="11"/>
    </row>
    <row r="246" spans="1:7" x14ac:dyDescent="0.25">
      <c r="A246" s="104">
        <v>45421</v>
      </c>
      <c r="B246" s="11" t="s">
        <v>49</v>
      </c>
      <c r="C246" s="28">
        <v>0.77083333333333337</v>
      </c>
      <c r="D246" s="28">
        <v>0.95833333333333337</v>
      </c>
      <c r="E246" s="30">
        <f t="shared" si="3"/>
        <v>4.5</v>
      </c>
      <c r="F246" s="38"/>
      <c r="G246" s="11"/>
    </row>
    <row r="247" spans="1:7" x14ac:dyDescent="0.25">
      <c r="A247" s="104">
        <v>45421</v>
      </c>
      <c r="B247" s="11" t="s">
        <v>56</v>
      </c>
      <c r="C247" s="28">
        <v>0.33333333333333331</v>
      </c>
      <c r="D247" s="28">
        <v>0.58333333333333337</v>
      </c>
      <c r="E247" s="30">
        <f t="shared" si="3"/>
        <v>5.5000000000000018</v>
      </c>
      <c r="F247" s="38">
        <v>0.5</v>
      </c>
      <c r="G247" s="11"/>
    </row>
    <row r="248" spans="1:7" x14ac:dyDescent="0.25">
      <c r="A248" s="104">
        <v>45421</v>
      </c>
      <c r="B248" s="11" t="s">
        <v>56</v>
      </c>
      <c r="C248" s="28">
        <v>0.77083333333333337</v>
      </c>
      <c r="D248" s="28">
        <v>0.9375</v>
      </c>
      <c r="E248" s="30">
        <f t="shared" si="3"/>
        <v>3.9999999999999991</v>
      </c>
      <c r="F248" s="38"/>
      <c r="G248" s="11"/>
    </row>
    <row r="249" spans="1:7" x14ac:dyDescent="0.25">
      <c r="A249" s="104">
        <v>45422</v>
      </c>
      <c r="B249" s="11" t="s">
        <v>49</v>
      </c>
      <c r="C249" s="28">
        <v>0.75</v>
      </c>
      <c r="D249" s="28">
        <v>0.97916666666666663</v>
      </c>
      <c r="E249" s="30">
        <f t="shared" si="3"/>
        <v>4.9999999999999991</v>
      </c>
      <c r="F249" s="38">
        <v>0.5</v>
      </c>
      <c r="G249" s="11"/>
    </row>
    <row r="250" spans="1:7" x14ac:dyDescent="0.25">
      <c r="A250" s="104">
        <v>45422</v>
      </c>
      <c r="B250" s="11" t="s">
        <v>56</v>
      </c>
      <c r="C250" s="28">
        <v>0.33333333333333331</v>
      </c>
      <c r="D250" s="28">
        <v>0.58333333333333337</v>
      </c>
      <c r="E250" s="30">
        <f t="shared" ref="E250:E312" si="4">MOD((D250-C250),1) *24 - F250</f>
        <v>5.5000000000000018</v>
      </c>
      <c r="F250" s="38">
        <v>0.5</v>
      </c>
      <c r="G250" s="11"/>
    </row>
    <row r="251" spans="1:7" x14ac:dyDescent="0.25">
      <c r="A251" s="104">
        <v>45423</v>
      </c>
      <c r="B251" s="11" t="s">
        <v>53</v>
      </c>
      <c r="C251" s="28">
        <v>0.52083333333333337</v>
      </c>
      <c r="D251" s="28">
        <v>0.6875</v>
      </c>
      <c r="E251" s="30">
        <f t="shared" si="4"/>
        <v>3.9999999999999991</v>
      </c>
      <c r="F251" s="38"/>
      <c r="G251" s="11"/>
    </row>
    <row r="252" spans="1:7" x14ac:dyDescent="0.25">
      <c r="A252" s="104">
        <v>45423</v>
      </c>
      <c r="B252" s="11" t="s">
        <v>58</v>
      </c>
      <c r="C252" s="28">
        <v>0.58333333333333337</v>
      </c>
      <c r="D252" s="28">
        <v>0.85416666666666663</v>
      </c>
      <c r="E252" s="30">
        <f t="shared" si="4"/>
        <v>5.9999999999999982</v>
      </c>
      <c r="F252" s="38">
        <v>0.5</v>
      </c>
      <c r="G252" s="11"/>
    </row>
    <row r="253" spans="1:7" x14ac:dyDescent="0.25">
      <c r="A253" s="104">
        <v>45423</v>
      </c>
      <c r="B253" s="11" t="s">
        <v>53</v>
      </c>
      <c r="C253" s="28">
        <v>0.3125</v>
      </c>
      <c r="D253" s="28">
        <v>0.52083333333333337</v>
      </c>
      <c r="E253" s="30">
        <f t="shared" si="4"/>
        <v>5.0000000000000009</v>
      </c>
      <c r="F253" s="38"/>
      <c r="G253" s="11"/>
    </row>
    <row r="254" spans="1:7" x14ac:dyDescent="0.25">
      <c r="A254" s="104">
        <v>45423</v>
      </c>
      <c r="B254" s="11" t="s">
        <v>46</v>
      </c>
      <c r="C254" s="28">
        <v>0.41666666666666669</v>
      </c>
      <c r="D254" s="28">
        <v>0.70833333333333337</v>
      </c>
      <c r="E254" s="30">
        <f t="shared" si="4"/>
        <v>6.5</v>
      </c>
      <c r="F254" s="38">
        <v>0.5</v>
      </c>
      <c r="G254" s="11"/>
    </row>
    <row r="255" spans="1:7" x14ac:dyDescent="0.25">
      <c r="A255" s="104">
        <v>45424</v>
      </c>
      <c r="B255" s="11" t="s">
        <v>49</v>
      </c>
      <c r="C255" s="28">
        <v>0.625</v>
      </c>
      <c r="D255" s="28">
        <v>0.79166666666666663</v>
      </c>
      <c r="E255" s="30">
        <f t="shared" si="4"/>
        <v>3.9999999999999991</v>
      </c>
      <c r="F255" s="38"/>
      <c r="G255" s="11"/>
    </row>
    <row r="256" spans="1:7" x14ac:dyDescent="0.25">
      <c r="A256" s="104">
        <v>45425</v>
      </c>
      <c r="B256" s="11" t="s">
        <v>56</v>
      </c>
      <c r="C256" s="28">
        <v>0.33333333333333331</v>
      </c>
      <c r="D256" s="28">
        <v>0.58333333333333337</v>
      </c>
      <c r="E256" s="30">
        <f t="shared" si="4"/>
        <v>5.5000000000000018</v>
      </c>
      <c r="F256" s="38">
        <v>0.5</v>
      </c>
      <c r="G256" s="11"/>
    </row>
    <row r="257" spans="1:7" x14ac:dyDescent="0.25">
      <c r="A257" s="104">
        <v>45426</v>
      </c>
      <c r="B257" s="11" t="s">
        <v>56</v>
      </c>
      <c r="C257" s="28">
        <v>0.33333333333333331</v>
      </c>
      <c r="D257" s="28">
        <v>0.58333333333333337</v>
      </c>
      <c r="E257" s="30">
        <f t="shared" si="4"/>
        <v>5.5000000000000018</v>
      </c>
      <c r="F257" s="38">
        <v>0.5</v>
      </c>
      <c r="G257" s="11"/>
    </row>
    <row r="258" spans="1:7" x14ac:dyDescent="0.25">
      <c r="A258" s="104">
        <v>45427</v>
      </c>
      <c r="B258" s="11" t="s">
        <v>56</v>
      </c>
      <c r="C258" s="28">
        <v>0.33333333333333331</v>
      </c>
      <c r="D258" s="28">
        <v>0.58333333333333337</v>
      </c>
      <c r="E258" s="30">
        <f t="shared" si="4"/>
        <v>5.5000000000000018</v>
      </c>
      <c r="F258" s="38">
        <v>0.5</v>
      </c>
      <c r="G258" s="11"/>
    </row>
    <row r="259" spans="1:7" x14ac:dyDescent="0.25">
      <c r="A259" s="104">
        <v>45427</v>
      </c>
      <c r="B259" s="11" t="s">
        <v>56</v>
      </c>
      <c r="C259" s="28">
        <v>0.66666666666666663</v>
      </c>
      <c r="D259" s="28">
        <v>0.875</v>
      </c>
      <c r="E259" s="30">
        <f t="shared" si="4"/>
        <v>5.0000000000000009</v>
      </c>
      <c r="F259" s="38"/>
      <c r="G259" s="11"/>
    </row>
    <row r="260" spans="1:7" x14ac:dyDescent="0.25">
      <c r="A260" s="104">
        <v>45427</v>
      </c>
      <c r="B260" s="11" t="s">
        <v>49</v>
      </c>
      <c r="C260" s="28">
        <v>0.6875</v>
      </c>
      <c r="D260" s="28">
        <v>0.875</v>
      </c>
      <c r="E260" s="30">
        <f t="shared" si="4"/>
        <v>4.5</v>
      </c>
      <c r="F260" s="38"/>
      <c r="G260" s="11"/>
    </row>
    <row r="261" spans="1:7" x14ac:dyDescent="0.25">
      <c r="A261" s="104">
        <v>45428</v>
      </c>
      <c r="B261" s="11" t="s">
        <v>56</v>
      </c>
      <c r="C261" s="28">
        <v>0.33333333333333331</v>
      </c>
      <c r="D261" s="28">
        <v>0.58333333333333337</v>
      </c>
      <c r="E261" s="30">
        <f t="shared" si="4"/>
        <v>5.5000000000000018</v>
      </c>
      <c r="F261" s="38">
        <v>0.5</v>
      </c>
      <c r="G261" s="11"/>
    </row>
    <row r="262" spans="1:7" x14ac:dyDescent="0.25">
      <c r="A262" s="104">
        <v>45428</v>
      </c>
      <c r="B262" s="11" t="s">
        <v>89</v>
      </c>
      <c r="C262" s="28">
        <v>0.29166666666666669</v>
      </c>
      <c r="D262" s="28">
        <v>0.45833333333333331</v>
      </c>
      <c r="E262" s="30">
        <f t="shared" si="4"/>
        <v>3.9999999999999991</v>
      </c>
      <c r="F262" s="38"/>
      <c r="G262" s="11"/>
    </row>
    <row r="263" spans="1:7" x14ac:dyDescent="0.25">
      <c r="A263" s="104">
        <v>45428</v>
      </c>
      <c r="B263" s="11" t="s">
        <v>56</v>
      </c>
      <c r="C263" s="28">
        <v>0.75</v>
      </c>
      <c r="D263" s="28">
        <v>0.95833333333333337</v>
      </c>
      <c r="E263" s="30">
        <f t="shared" si="4"/>
        <v>5.0000000000000009</v>
      </c>
      <c r="F263" s="38"/>
      <c r="G263" s="11"/>
    </row>
    <row r="264" spans="1:7" x14ac:dyDescent="0.25">
      <c r="A264" s="104">
        <v>45428</v>
      </c>
      <c r="B264" s="11" t="s">
        <v>44</v>
      </c>
      <c r="C264" s="28">
        <v>0.79166666666666663</v>
      </c>
      <c r="D264" s="28">
        <v>0.91666666666666663</v>
      </c>
      <c r="E264" s="30">
        <f t="shared" si="4"/>
        <v>3</v>
      </c>
      <c r="F264" s="38"/>
      <c r="G264" s="11"/>
    </row>
    <row r="265" spans="1:7" x14ac:dyDescent="0.25">
      <c r="A265" s="104">
        <v>45429</v>
      </c>
      <c r="B265" s="11" t="s">
        <v>56</v>
      </c>
      <c r="C265" s="28">
        <v>0.375</v>
      </c>
      <c r="D265" s="28">
        <v>0.58333333333333337</v>
      </c>
      <c r="E265" s="30">
        <f t="shared" si="4"/>
        <v>5.0000000000000009</v>
      </c>
      <c r="F265" s="38"/>
      <c r="G265" s="11"/>
    </row>
    <row r="266" spans="1:7" x14ac:dyDescent="0.25">
      <c r="A266" s="104">
        <v>45430</v>
      </c>
      <c r="B266" s="11" t="s">
        <v>58</v>
      </c>
      <c r="C266" s="28">
        <v>0.64583333333333337</v>
      </c>
      <c r="D266" s="28">
        <v>0.9375</v>
      </c>
      <c r="E266" s="30">
        <f t="shared" si="4"/>
        <v>6.4999999999999991</v>
      </c>
      <c r="F266" s="38">
        <v>0.5</v>
      </c>
      <c r="G266" s="11"/>
    </row>
    <row r="267" spans="1:7" x14ac:dyDescent="0.25">
      <c r="A267" s="104">
        <v>45430</v>
      </c>
      <c r="B267" s="11" t="s">
        <v>56</v>
      </c>
      <c r="C267" s="28">
        <v>0.33333333333333331</v>
      </c>
      <c r="D267" s="28">
        <v>0.52083333333333337</v>
      </c>
      <c r="E267" s="30">
        <f t="shared" si="4"/>
        <v>4.5000000000000018</v>
      </c>
      <c r="F267" s="38"/>
      <c r="G267" s="11"/>
    </row>
    <row r="268" spans="1:7" x14ac:dyDescent="0.25">
      <c r="A268" s="104">
        <v>45431</v>
      </c>
      <c r="B268" s="11" t="s">
        <v>48</v>
      </c>
      <c r="C268" s="28">
        <v>0.58333333333333337</v>
      </c>
      <c r="D268" s="28">
        <v>0.79166666666666663</v>
      </c>
      <c r="E268" s="30">
        <f t="shared" si="4"/>
        <v>4.9999999999999982</v>
      </c>
      <c r="F268" s="38"/>
      <c r="G268" s="11"/>
    </row>
    <row r="269" spans="1:7" x14ac:dyDescent="0.25">
      <c r="A269" s="104">
        <v>45431</v>
      </c>
      <c r="B269" s="11" t="s">
        <v>58</v>
      </c>
      <c r="C269" s="28">
        <v>0.625</v>
      </c>
      <c r="D269" s="28">
        <v>0.9375</v>
      </c>
      <c r="E269" s="30">
        <f t="shared" si="4"/>
        <v>7</v>
      </c>
      <c r="F269" s="38">
        <v>0.5</v>
      </c>
      <c r="G269" s="11"/>
    </row>
    <row r="270" spans="1:7" x14ac:dyDescent="0.25">
      <c r="A270" s="104">
        <v>45432</v>
      </c>
      <c r="B270" s="11" t="s">
        <v>56</v>
      </c>
      <c r="C270" s="28">
        <v>0.33333333333333331</v>
      </c>
      <c r="D270" s="28">
        <v>0.58333333333333337</v>
      </c>
      <c r="E270" s="30">
        <f t="shared" si="4"/>
        <v>5.5000000000000018</v>
      </c>
      <c r="F270" s="38">
        <v>0.5</v>
      </c>
      <c r="G270" s="11"/>
    </row>
    <row r="271" spans="1:7" x14ac:dyDescent="0.25">
      <c r="A271" s="104">
        <v>45432</v>
      </c>
      <c r="B271" s="11" t="s">
        <v>58</v>
      </c>
      <c r="C271" s="28">
        <v>0.75</v>
      </c>
      <c r="D271" s="28">
        <v>0.89583333333333337</v>
      </c>
      <c r="E271" s="30">
        <f t="shared" si="4"/>
        <v>3.5000000000000009</v>
      </c>
      <c r="F271" s="38"/>
      <c r="G271" s="11"/>
    </row>
    <row r="272" spans="1:7" x14ac:dyDescent="0.25">
      <c r="A272" s="104">
        <v>45433</v>
      </c>
      <c r="B272" s="11" t="s">
        <v>56</v>
      </c>
      <c r="C272" s="28">
        <v>0.33333333333333331</v>
      </c>
      <c r="D272" s="28">
        <v>0.58333333333333337</v>
      </c>
      <c r="E272" s="30">
        <f t="shared" si="4"/>
        <v>5.5000000000000018</v>
      </c>
      <c r="F272" s="38">
        <v>0.5</v>
      </c>
      <c r="G272" s="11"/>
    </row>
    <row r="273" spans="1:7" x14ac:dyDescent="0.25">
      <c r="A273" s="104">
        <v>45434</v>
      </c>
      <c r="B273" s="11" t="s">
        <v>56</v>
      </c>
      <c r="C273" s="28">
        <v>0.6875</v>
      </c>
      <c r="D273" s="28">
        <v>0.875</v>
      </c>
      <c r="E273" s="30">
        <f t="shared" si="4"/>
        <v>4.5</v>
      </c>
      <c r="F273" s="38"/>
      <c r="G273" s="11"/>
    </row>
    <row r="274" spans="1:7" x14ac:dyDescent="0.25">
      <c r="A274" s="104">
        <v>45434</v>
      </c>
      <c r="B274" s="11" t="s">
        <v>56</v>
      </c>
      <c r="C274" s="28">
        <v>0.33333333333333331</v>
      </c>
      <c r="D274" s="28">
        <v>0.54166666666666663</v>
      </c>
      <c r="E274" s="30">
        <f t="shared" si="4"/>
        <v>5</v>
      </c>
      <c r="F274" s="38"/>
      <c r="G274" s="11"/>
    </row>
    <row r="275" spans="1:7" x14ac:dyDescent="0.25">
      <c r="A275" s="104">
        <v>45435</v>
      </c>
      <c r="B275" s="11" t="s">
        <v>56</v>
      </c>
      <c r="C275" s="28">
        <v>0.33333333333333331</v>
      </c>
      <c r="D275" s="28">
        <v>0.58333333333333337</v>
      </c>
      <c r="E275" s="30">
        <f t="shared" si="4"/>
        <v>5.5000000000000018</v>
      </c>
      <c r="F275" s="38">
        <v>0.5</v>
      </c>
      <c r="G275" s="11"/>
    </row>
    <row r="276" spans="1:7" x14ac:dyDescent="0.25">
      <c r="A276" s="104">
        <v>45435</v>
      </c>
      <c r="B276" s="11" t="s">
        <v>56</v>
      </c>
      <c r="C276" s="28">
        <v>0.77083333333333337</v>
      </c>
      <c r="D276" s="28">
        <v>0.9375</v>
      </c>
      <c r="E276" s="30">
        <f t="shared" si="4"/>
        <v>3.9999999999999991</v>
      </c>
      <c r="F276" s="38"/>
      <c r="G276" s="11"/>
    </row>
    <row r="277" spans="1:7" x14ac:dyDescent="0.25">
      <c r="A277" s="104">
        <v>45435</v>
      </c>
      <c r="B277" s="11" t="s">
        <v>51</v>
      </c>
      <c r="C277" s="28">
        <v>0.70833333333333337</v>
      </c>
      <c r="D277" s="28">
        <v>0.91666666666666663</v>
      </c>
      <c r="E277" s="30">
        <f t="shared" si="4"/>
        <v>4.4999999999999982</v>
      </c>
      <c r="F277" s="38">
        <v>0.5</v>
      </c>
      <c r="G277" s="11"/>
    </row>
    <row r="278" spans="1:7" x14ac:dyDescent="0.25">
      <c r="A278" s="104">
        <v>45436</v>
      </c>
      <c r="B278" s="11" t="s">
        <v>56</v>
      </c>
      <c r="C278" s="28">
        <v>0.33333333333333331</v>
      </c>
      <c r="D278" s="28">
        <v>0.58333333333333337</v>
      </c>
      <c r="E278" s="30">
        <f t="shared" si="4"/>
        <v>5.5000000000000018</v>
      </c>
      <c r="F278" s="38">
        <v>0.5</v>
      </c>
      <c r="G278" s="11"/>
    </row>
    <row r="279" spans="1:7" x14ac:dyDescent="0.25">
      <c r="A279" s="104">
        <v>45436</v>
      </c>
      <c r="B279" s="11" t="s">
        <v>51</v>
      </c>
      <c r="C279" s="28">
        <v>0.77083333333333337</v>
      </c>
      <c r="D279" s="28">
        <v>0.97916666666666663</v>
      </c>
      <c r="E279" s="30">
        <f t="shared" si="4"/>
        <v>4.9999999999999982</v>
      </c>
      <c r="F279" s="38"/>
      <c r="G279" s="11"/>
    </row>
    <row r="280" spans="1:7" x14ac:dyDescent="0.25">
      <c r="A280" s="104">
        <v>45437</v>
      </c>
      <c r="B280" s="11" t="s">
        <v>58</v>
      </c>
      <c r="C280" s="28">
        <v>0.5</v>
      </c>
      <c r="D280" s="28">
        <v>0.89583333333333337</v>
      </c>
      <c r="E280" s="30">
        <f t="shared" si="4"/>
        <v>8.5</v>
      </c>
      <c r="F280" s="38">
        <v>1</v>
      </c>
      <c r="G280" s="11"/>
    </row>
    <row r="281" spans="1:7" x14ac:dyDescent="0.25">
      <c r="A281" s="104">
        <v>45437</v>
      </c>
      <c r="B281" s="11" t="s">
        <v>53</v>
      </c>
      <c r="C281" s="28">
        <v>0.79166666666666663</v>
      </c>
      <c r="D281" s="28">
        <v>0.875</v>
      </c>
      <c r="E281" s="30">
        <f t="shared" si="4"/>
        <v>2.0000000000000009</v>
      </c>
      <c r="F281" s="38"/>
      <c r="G281" s="11"/>
    </row>
    <row r="282" spans="1:7" x14ac:dyDescent="0.25">
      <c r="A282" s="104">
        <v>45437</v>
      </c>
      <c r="B282" s="11" t="s">
        <v>46</v>
      </c>
      <c r="C282" s="28">
        <v>0.52083333333333337</v>
      </c>
      <c r="D282" s="28">
        <v>0.79166666666666663</v>
      </c>
      <c r="E282" s="30">
        <f t="shared" si="4"/>
        <v>5.9999999999999982</v>
      </c>
      <c r="F282" s="38">
        <v>0.5</v>
      </c>
      <c r="G282" s="11"/>
    </row>
    <row r="283" spans="1:7" x14ac:dyDescent="0.25">
      <c r="A283" s="104">
        <v>45438</v>
      </c>
      <c r="B283" s="11" t="s">
        <v>51</v>
      </c>
      <c r="C283" s="28">
        <v>0.66666666666666663</v>
      </c>
      <c r="D283" s="28">
        <v>0.95833333333333337</v>
      </c>
      <c r="E283" s="30">
        <f t="shared" si="4"/>
        <v>6.5000000000000018</v>
      </c>
      <c r="F283" s="38">
        <v>0.5</v>
      </c>
      <c r="G283" s="11"/>
    </row>
    <row r="284" spans="1:7" x14ac:dyDescent="0.25">
      <c r="A284" s="104">
        <v>45440</v>
      </c>
      <c r="B284" s="11" t="s">
        <v>56</v>
      </c>
      <c r="C284" s="28">
        <v>0.33333333333333331</v>
      </c>
      <c r="D284" s="28">
        <v>0.58333333333333337</v>
      </c>
      <c r="E284" s="30">
        <f t="shared" si="4"/>
        <v>5.5000000000000018</v>
      </c>
      <c r="F284" s="38">
        <v>0.5</v>
      </c>
      <c r="G284" s="11"/>
    </row>
    <row r="285" spans="1:7" x14ac:dyDescent="0.25">
      <c r="A285" s="104">
        <v>45441</v>
      </c>
      <c r="B285" s="11" t="s">
        <v>49</v>
      </c>
      <c r="C285" s="28">
        <v>0.6875</v>
      </c>
      <c r="D285" s="28">
        <v>0.875</v>
      </c>
      <c r="E285" s="30">
        <f t="shared" si="4"/>
        <v>4.5</v>
      </c>
      <c r="F285" s="38"/>
      <c r="G285" s="11"/>
    </row>
    <row r="286" spans="1:7" x14ac:dyDescent="0.25">
      <c r="A286" s="104">
        <v>45442</v>
      </c>
      <c r="B286" s="11" t="s">
        <v>56</v>
      </c>
      <c r="C286" s="28">
        <v>0.75</v>
      </c>
      <c r="D286" s="28">
        <v>0.95833333333333337</v>
      </c>
      <c r="E286" s="30">
        <f t="shared" si="4"/>
        <v>5.0000000000000009</v>
      </c>
      <c r="F286" s="38"/>
      <c r="G286" s="11"/>
    </row>
    <row r="287" spans="1:7" x14ac:dyDescent="0.25">
      <c r="A287" s="104">
        <v>45442</v>
      </c>
      <c r="B287" s="11" t="s">
        <v>44</v>
      </c>
      <c r="C287" s="28">
        <v>0.79166666666666663</v>
      </c>
      <c r="D287" s="28">
        <v>0.91666666666666663</v>
      </c>
      <c r="E287" s="30">
        <f t="shared" si="4"/>
        <v>3</v>
      </c>
      <c r="F287" s="38"/>
      <c r="G287" s="11"/>
    </row>
    <row r="288" spans="1:7" x14ac:dyDescent="0.25">
      <c r="A288" s="104">
        <v>45442</v>
      </c>
      <c r="B288" s="11" t="s">
        <v>53</v>
      </c>
      <c r="C288" s="28">
        <v>0.64583333333333337</v>
      </c>
      <c r="D288" s="28">
        <v>0.91666666666666663</v>
      </c>
      <c r="E288" s="30">
        <f t="shared" si="4"/>
        <v>5.9999999999999982</v>
      </c>
      <c r="F288" s="38">
        <v>0.5</v>
      </c>
      <c r="G288" s="11"/>
    </row>
    <row r="289" spans="1:7" x14ac:dyDescent="0.25">
      <c r="A289" s="104">
        <v>45442</v>
      </c>
      <c r="B289" s="11" t="s">
        <v>56</v>
      </c>
      <c r="C289" s="28">
        <v>0.375</v>
      </c>
      <c r="D289" s="28">
        <v>0.58333333333333337</v>
      </c>
      <c r="E289" s="30">
        <f t="shared" si="4"/>
        <v>5.0000000000000009</v>
      </c>
      <c r="F289" s="38"/>
      <c r="G289" s="11"/>
    </row>
    <row r="290" spans="1:7" x14ac:dyDescent="0.25">
      <c r="A290" s="104">
        <v>45443</v>
      </c>
      <c r="B290" s="11" t="s">
        <v>56</v>
      </c>
      <c r="C290" s="28">
        <v>0.33333333333333331</v>
      </c>
      <c r="D290" s="28">
        <v>0.58333333333333337</v>
      </c>
      <c r="E290" s="30">
        <f t="shared" si="4"/>
        <v>5.5000000000000018</v>
      </c>
      <c r="F290" s="38">
        <v>0.5</v>
      </c>
      <c r="G290" s="11"/>
    </row>
    <row r="291" spans="1:7" x14ac:dyDescent="0.25">
      <c r="A291" s="104">
        <v>45444</v>
      </c>
      <c r="B291" s="11" t="s">
        <v>53</v>
      </c>
      <c r="C291" s="28">
        <v>0.375</v>
      </c>
      <c r="D291" s="28">
        <v>0.54166666666666663</v>
      </c>
      <c r="E291" s="30">
        <f t="shared" si="4"/>
        <v>3.9999999999999991</v>
      </c>
      <c r="F291" s="38"/>
      <c r="G291" s="12">
        <f>SUM(E:E)</f>
        <v>5521</v>
      </c>
    </row>
    <row r="292" spans="1:7" x14ac:dyDescent="0.25">
      <c r="A292" s="104">
        <v>45444</v>
      </c>
      <c r="B292" s="11" t="s">
        <v>46</v>
      </c>
      <c r="C292" s="28">
        <v>0.375</v>
      </c>
      <c r="D292" s="28">
        <v>0.70833333333333337</v>
      </c>
      <c r="E292" s="30">
        <f t="shared" si="4"/>
        <v>7.5</v>
      </c>
      <c r="F292" s="38">
        <v>0.5</v>
      </c>
      <c r="G292" s="11"/>
    </row>
    <row r="293" spans="1:7" x14ac:dyDescent="0.25">
      <c r="A293" s="104">
        <v>45444</v>
      </c>
      <c r="B293" s="11" t="s">
        <v>58</v>
      </c>
      <c r="C293" s="28">
        <v>0.54166666666666663</v>
      </c>
      <c r="D293" s="28">
        <v>0.875</v>
      </c>
      <c r="E293" s="30">
        <f t="shared" si="4"/>
        <v>7.5</v>
      </c>
      <c r="F293" s="38">
        <v>0.5</v>
      </c>
      <c r="G293" s="11"/>
    </row>
    <row r="294" spans="1:7" x14ac:dyDescent="0.25">
      <c r="A294" s="104">
        <v>45444</v>
      </c>
      <c r="B294" s="11" t="s">
        <v>53</v>
      </c>
      <c r="C294" s="28">
        <v>0.66666666666666663</v>
      </c>
      <c r="D294" s="28">
        <v>0.875</v>
      </c>
      <c r="E294" s="30">
        <f t="shared" si="4"/>
        <v>5.0000000000000009</v>
      </c>
      <c r="F294" s="38"/>
      <c r="G294" s="11"/>
    </row>
    <row r="295" spans="1:7" x14ac:dyDescent="0.25">
      <c r="A295" s="104">
        <v>45445</v>
      </c>
      <c r="B295" s="11" t="s">
        <v>53</v>
      </c>
      <c r="C295" s="28">
        <v>0.66666666666666663</v>
      </c>
      <c r="D295" s="28">
        <v>0.95833333333333337</v>
      </c>
      <c r="E295" s="30">
        <f t="shared" si="4"/>
        <v>6.5000000000000018</v>
      </c>
      <c r="F295" s="38">
        <v>0.5</v>
      </c>
      <c r="G295" s="11"/>
    </row>
    <row r="296" spans="1:7" x14ac:dyDescent="0.25">
      <c r="A296" s="104">
        <v>45446</v>
      </c>
      <c r="B296" s="11" t="s">
        <v>56</v>
      </c>
      <c r="C296" s="28">
        <v>0.33333333333333331</v>
      </c>
      <c r="D296" s="28">
        <v>0.58333333333333337</v>
      </c>
      <c r="E296" s="30">
        <f t="shared" si="4"/>
        <v>5.5000000000000018</v>
      </c>
      <c r="F296" s="38">
        <v>0.5</v>
      </c>
      <c r="G296" s="11"/>
    </row>
    <row r="297" spans="1:7" x14ac:dyDescent="0.25">
      <c r="A297" s="104">
        <v>45447</v>
      </c>
      <c r="B297" s="11" t="s">
        <v>56</v>
      </c>
      <c r="C297" s="28">
        <v>0.33333333333333331</v>
      </c>
      <c r="D297" s="28">
        <v>0.58333333333333337</v>
      </c>
      <c r="E297" s="30">
        <f t="shared" si="4"/>
        <v>5.5000000000000018</v>
      </c>
      <c r="F297" s="38">
        <v>0.5</v>
      </c>
      <c r="G297" s="11"/>
    </row>
    <row r="298" spans="1:7" x14ac:dyDescent="0.25">
      <c r="A298" s="104">
        <v>45447</v>
      </c>
      <c r="B298" s="11" t="s">
        <v>53</v>
      </c>
      <c r="C298" s="28">
        <v>0.70833333333333337</v>
      </c>
      <c r="D298" s="28">
        <v>0.95833333333333337</v>
      </c>
      <c r="E298" s="30">
        <f t="shared" si="4"/>
        <v>5.5</v>
      </c>
      <c r="F298" s="38">
        <v>0.5</v>
      </c>
      <c r="G298" s="11"/>
    </row>
    <row r="299" spans="1:7" x14ac:dyDescent="0.25">
      <c r="A299" s="104">
        <v>45448</v>
      </c>
      <c r="B299" s="11" t="s">
        <v>56</v>
      </c>
      <c r="C299" s="28">
        <v>0.33333333333333331</v>
      </c>
      <c r="D299" s="28">
        <v>0.58333333333333337</v>
      </c>
      <c r="E299" s="30">
        <f t="shared" si="4"/>
        <v>5.5000000000000018</v>
      </c>
      <c r="F299" s="38">
        <v>0.5</v>
      </c>
      <c r="G299" s="11"/>
    </row>
    <row r="300" spans="1:7" x14ac:dyDescent="0.25">
      <c r="A300" s="104">
        <v>45448</v>
      </c>
      <c r="B300" s="11" t="s">
        <v>58</v>
      </c>
      <c r="C300" s="28">
        <v>0.66666666666666663</v>
      </c>
      <c r="D300" s="28">
        <v>0.875</v>
      </c>
      <c r="E300" s="30">
        <f t="shared" si="4"/>
        <v>5.0000000000000009</v>
      </c>
      <c r="F300" s="38"/>
      <c r="G300" s="11"/>
    </row>
    <row r="301" spans="1:7" x14ac:dyDescent="0.25">
      <c r="A301" s="104">
        <v>45448</v>
      </c>
      <c r="B301" s="11" t="s">
        <v>49</v>
      </c>
      <c r="C301" s="28">
        <v>0.66666666666666663</v>
      </c>
      <c r="D301" s="28">
        <v>0.89583333333333337</v>
      </c>
      <c r="E301" s="30">
        <f t="shared" si="4"/>
        <v>5.5000000000000018</v>
      </c>
      <c r="F301" s="38"/>
      <c r="G301" s="11"/>
    </row>
    <row r="302" spans="1:7" x14ac:dyDescent="0.25">
      <c r="A302" s="104">
        <v>45449</v>
      </c>
      <c r="B302" s="11" t="s">
        <v>53</v>
      </c>
      <c r="C302" s="28">
        <v>0.29166666666666669</v>
      </c>
      <c r="D302" s="28">
        <v>0.58333333333333337</v>
      </c>
      <c r="E302" s="30">
        <f t="shared" si="4"/>
        <v>6.5</v>
      </c>
      <c r="F302" s="38">
        <v>0.5</v>
      </c>
      <c r="G302" s="11"/>
    </row>
    <row r="303" spans="1:7" x14ac:dyDescent="0.25">
      <c r="A303" s="104">
        <v>45449</v>
      </c>
      <c r="B303" s="11" t="s">
        <v>56</v>
      </c>
      <c r="C303" s="28">
        <v>0.33333333333333331</v>
      </c>
      <c r="D303" s="28">
        <v>0.58333333333333337</v>
      </c>
      <c r="E303" s="30">
        <f t="shared" si="4"/>
        <v>5.5000000000000018</v>
      </c>
      <c r="F303" s="38">
        <v>0.5</v>
      </c>
      <c r="G303" s="11"/>
    </row>
    <row r="304" spans="1:7" x14ac:dyDescent="0.25">
      <c r="A304" s="104">
        <v>45449</v>
      </c>
      <c r="B304" s="11" t="s">
        <v>56</v>
      </c>
      <c r="C304" s="28">
        <v>0.75</v>
      </c>
      <c r="D304" s="28">
        <v>0.95833333333333337</v>
      </c>
      <c r="E304" s="30">
        <f t="shared" si="4"/>
        <v>5.0000000000000009</v>
      </c>
      <c r="F304" s="38"/>
      <c r="G304" s="11"/>
    </row>
    <row r="305" spans="1:7" x14ac:dyDescent="0.25">
      <c r="A305" s="104">
        <v>45449</v>
      </c>
      <c r="B305" s="11" t="s">
        <v>49</v>
      </c>
      <c r="C305" s="28">
        <v>0.79166666666666663</v>
      </c>
      <c r="D305" s="28">
        <v>0.9375</v>
      </c>
      <c r="E305" s="30">
        <f t="shared" si="4"/>
        <v>3.5000000000000009</v>
      </c>
      <c r="F305" s="38"/>
      <c r="G305" s="11"/>
    </row>
    <row r="306" spans="1:7" x14ac:dyDescent="0.25">
      <c r="A306" s="104">
        <v>45450</v>
      </c>
      <c r="B306" s="11" t="s">
        <v>56</v>
      </c>
      <c r="C306" s="28">
        <v>0.33333333333333331</v>
      </c>
      <c r="D306" s="28">
        <v>0.58333333333333337</v>
      </c>
      <c r="E306" s="30">
        <f t="shared" si="4"/>
        <v>5.5000000000000018</v>
      </c>
      <c r="F306" s="38">
        <v>0.5</v>
      </c>
      <c r="G306" s="11"/>
    </row>
    <row r="307" spans="1:7" x14ac:dyDescent="0.25">
      <c r="A307" s="104">
        <v>45451</v>
      </c>
      <c r="B307" s="11" t="s">
        <v>56</v>
      </c>
      <c r="C307" s="28">
        <v>0.33333333333333331</v>
      </c>
      <c r="D307" s="28">
        <v>0.52083333333333337</v>
      </c>
      <c r="E307" s="30">
        <f t="shared" si="4"/>
        <v>4.5000000000000018</v>
      </c>
      <c r="F307" s="38"/>
      <c r="G307" s="11"/>
    </row>
    <row r="308" spans="1:7" x14ac:dyDescent="0.25">
      <c r="A308" s="104">
        <v>45451</v>
      </c>
      <c r="B308" s="11" t="s">
        <v>53</v>
      </c>
      <c r="C308" s="28">
        <v>0.375</v>
      </c>
      <c r="D308" s="28">
        <v>0.83333333333333337</v>
      </c>
      <c r="E308" s="30">
        <f t="shared" si="4"/>
        <v>10</v>
      </c>
      <c r="F308" s="38">
        <v>1</v>
      </c>
      <c r="G308" s="11"/>
    </row>
    <row r="309" spans="1:7" x14ac:dyDescent="0.25">
      <c r="A309" s="104">
        <v>45451</v>
      </c>
      <c r="B309" s="11" t="s">
        <v>58</v>
      </c>
      <c r="C309" s="28">
        <v>0.54166666666666663</v>
      </c>
      <c r="D309" s="28">
        <v>0.9375</v>
      </c>
      <c r="E309" s="30">
        <f t="shared" si="4"/>
        <v>8.5</v>
      </c>
      <c r="F309" s="38">
        <v>1</v>
      </c>
      <c r="G309" s="11"/>
    </row>
    <row r="310" spans="1:7" x14ac:dyDescent="0.25">
      <c r="A310" s="104">
        <v>45452</v>
      </c>
      <c r="B310" s="11" t="s">
        <v>58</v>
      </c>
      <c r="C310" s="28">
        <v>0.47916666666666669</v>
      </c>
      <c r="D310" s="28">
        <v>0.77083333333333337</v>
      </c>
      <c r="E310" s="30">
        <f t="shared" si="4"/>
        <v>6.5</v>
      </c>
      <c r="F310" s="38">
        <v>0.5</v>
      </c>
      <c r="G310" s="11"/>
    </row>
    <row r="311" spans="1:7" x14ac:dyDescent="0.25">
      <c r="A311" s="104">
        <v>45453</v>
      </c>
      <c r="B311" s="11" t="s">
        <v>56</v>
      </c>
      <c r="C311" s="28">
        <v>0.33333333333333331</v>
      </c>
      <c r="D311" s="28">
        <v>0.58333333333333337</v>
      </c>
      <c r="E311" s="30">
        <f t="shared" si="4"/>
        <v>5.5000000000000018</v>
      </c>
      <c r="F311" s="38">
        <v>0.5</v>
      </c>
      <c r="G311" s="11"/>
    </row>
    <row r="312" spans="1:7" x14ac:dyDescent="0.25">
      <c r="A312" s="104">
        <v>45453</v>
      </c>
      <c r="B312" s="11" t="s">
        <v>44</v>
      </c>
      <c r="C312" s="28">
        <v>0.33333333333333331</v>
      </c>
      <c r="D312" s="28">
        <v>0.54166666666666663</v>
      </c>
      <c r="E312" s="30">
        <f t="shared" si="4"/>
        <v>5</v>
      </c>
      <c r="F312" s="38"/>
      <c r="G312" s="11"/>
    </row>
    <row r="313" spans="1:7" x14ac:dyDescent="0.25">
      <c r="A313" s="104">
        <v>45453</v>
      </c>
      <c r="B313" s="11" t="s">
        <v>47</v>
      </c>
      <c r="C313" s="28">
        <v>0.52083333333333337</v>
      </c>
      <c r="D313" s="28">
        <v>0.6875</v>
      </c>
      <c r="E313" s="30">
        <f t="shared" ref="E313:E376" si="5">MOD((D313-C313),1) *24 - F313</f>
        <v>3.9999999999999991</v>
      </c>
      <c r="F313" s="38"/>
      <c r="G313" s="11"/>
    </row>
    <row r="314" spans="1:7" x14ac:dyDescent="0.25">
      <c r="A314" s="104">
        <v>45454</v>
      </c>
      <c r="B314" s="11" t="s">
        <v>56</v>
      </c>
      <c r="C314" s="28">
        <v>0.33333333333333331</v>
      </c>
      <c r="D314" s="28">
        <v>0.58333333333333337</v>
      </c>
      <c r="E314" s="30">
        <f t="shared" si="5"/>
        <v>5.5000000000000018</v>
      </c>
      <c r="F314" s="38">
        <v>0.5</v>
      </c>
      <c r="G314" s="11"/>
    </row>
    <row r="315" spans="1:7" x14ac:dyDescent="0.25">
      <c r="A315" s="104">
        <v>45454</v>
      </c>
      <c r="B315" s="11" t="s">
        <v>47</v>
      </c>
      <c r="C315" s="28">
        <v>0.52083333333333337</v>
      </c>
      <c r="D315" s="28">
        <v>0.6875</v>
      </c>
      <c r="E315" s="30">
        <f t="shared" si="5"/>
        <v>3.9999999999999991</v>
      </c>
      <c r="F315" s="38"/>
      <c r="G315" s="11"/>
    </row>
    <row r="316" spans="1:7" x14ac:dyDescent="0.25">
      <c r="A316" s="104">
        <v>45455</v>
      </c>
      <c r="B316" s="11" t="s">
        <v>56</v>
      </c>
      <c r="C316" s="28">
        <v>0.33333333333333331</v>
      </c>
      <c r="D316" s="28">
        <v>0.58333333333333337</v>
      </c>
      <c r="E316" s="30">
        <f t="shared" si="5"/>
        <v>5.5000000000000018</v>
      </c>
      <c r="F316" s="38">
        <v>0.5</v>
      </c>
      <c r="G316" s="11"/>
    </row>
    <row r="317" spans="1:7" x14ac:dyDescent="0.25">
      <c r="A317" s="104">
        <v>45455</v>
      </c>
      <c r="B317" s="11" t="s">
        <v>54</v>
      </c>
      <c r="C317" s="28">
        <v>0.5</v>
      </c>
      <c r="D317" s="28">
        <v>0.66666666666666663</v>
      </c>
      <c r="E317" s="30">
        <f t="shared" si="5"/>
        <v>3.9999999999999991</v>
      </c>
      <c r="F317" s="38"/>
      <c r="G317" s="11"/>
    </row>
    <row r="318" spans="1:7" x14ac:dyDescent="0.25">
      <c r="A318" s="104">
        <v>45455</v>
      </c>
      <c r="B318" s="11" t="s">
        <v>47</v>
      </c>
      <c r="C318" s="28">
        <v>0.52083333333333337</v>
      </c>
      <c r="D318" s="28">
        <v>0.6875</v>
      </c>
      <c r="E318" s="30">
        <f t="shared" si="5"/>
        <v>3.9999999999999991</v>
      </c>
      <c r="F318" s="38"/>
      <c r="G318" s="11"/>
    </row>
    <row r="319" spans="1:7" x14ac:dyDescent="0.25">
      <c r="A319" s="104">
        <v>45455</v>
      </c>
      <c r="B319" s="11" t="s">
        <v>49</v>
      </c>
      <c r="C319" s="28">
        <v>0.66666666666666663</v>
      </c>
      <c r="D319" s="28">
        <v>0.89583333333333337</v>
      </c>
      <c r="E319" s="30">
        <f t="shared" si="5"/>
        <v>5.5000000000000018</v>
      </c>
      <c r="F319" s="38"/>
      <c r="G319" s="11"/>
    </row>
    <row r="320" spans="1:7" x14ac:dyDescent="0.25">
      <c r="A320" s="104">
        <v>45456</v>
      </c>
      <c r="B320" s="11" t="s">
        <v>56</v>
      </c>
      <c r="C320" s="28">
        <v>0.33333333333333331</v>
      </c>
      <c r="D320" s="28">
        <v>0.58333333333333337</v>
      </c>
      <c r="E320" s="30">
        <f t="shared" si="5"/>
        <v>5.5000000000000018</v>
      </c>
      <c r="F320" s="38">
        <v>0.5</v>
      </c>
      <c r="G320" s="11"/>
    </row>
    <row r="321" spans="1:7" x14ac:dyDescent="0.25">
      <c r="A321" s="104">
        <v>45456</v>
      </c>
      <c r="B321" s="11" t="s">
        <v>47</v>
      </c>
      <c r="C321" s="28">
        <v>0.52083333333333337</v>
      </c>
      <c r="D321" s="28">
        <v>0.6875</v>
      </c>
      <c r="E321" s="30">
        <f t="shared" si="5"/>
        <v>3.9999999999999991</v>
      </c>
      <c r="F321" s="38"/>
      <c r="G321" s="11"/>
    </row>
    <row r="322" spans="1:7" x14ac:dyDescent="0.25">
      <c r="A322" s="104">
        <v>45456</v>
      </c>
      <c r="B322" s="11" t="s">
        <v>49</v>
      </c>
      <c r="C322" s="28">
        <v>0.75</v>
      </c>
      <c r="D322" s="28">
        <v>0.9375</v>
      </c>
      <c r="E322" s="30">
        <f t="shared" si="5"/>
        <v>4.5</v>
      </c>
      <c r="F322" s="38"/>
      <c r="G322" s="11"/>
    </row>
    <row r="323" spans="1:7" x14ac:dyDescent="0.25">
      <c r="A323" s="104">
        <v>45456</v>
      </c>
      <c r="B323" s="11" t="s">
        <v>56</v>
      </c>
      <c r="C323" s="28">
        <v>0.75</v>
      </c>
      <c r="D323" s="28">
        <v>0.95833333333333337</v>
      </c>
      <c r="E323" s="30">
        <f t="shared" si="5"/>
        <v>5.0000000000000009</v>
      </c>
      <c r="F323" s="38"/>
      <c r="G323" s="11"/>
    </row>
    <row r="324" spans="1:7" x14ac:dyDescent="0.25">
      <c r="A324" s="104">
        <v>45457</v>
      </c>
      <c r="B324" s="11" t="s">
        <v>56</v>
      </c>
      <c r="C324" s="28">
        <v>0.33333333333333331</v>
      </c>
      <c r="D324" s="28">
        <v>0.58333333333333337</v>
      </c>
      <c r="E324" s="30">
        <f t="shared" si="5"/>
        <v>5.5000000000000018</v>
      </c>
      <c r="F324" s="38">
        <v>0.5</v>
      </c>
      <c r="G324" s="11"/>
    </row>
    <row r="325" spans="1:7" x14ac:dyDescent="0.25">
      <c r="A325" s="104">
        <v>45457</v>
      </c>
      <c r="B325" s="11" t="s">
        <v>47</v>
      </c>
      <c r="C325" s="28">
        <v>0.52083333333333337</v>
      </c>
      <c r="D325" s="28">
        <v>0.6875</v>
      </c>
      <c r="E325" s="30">
        <f t="shared" si="5"/>
        <v>3.9999999999999991</v>
      </c>
      <c r="F325" s="38"/>
      <c r="G325" s="11"/>
    </row>
    <row r="326" spans="1:7" x14ac:dyDescent="0.25">
      <c r="A326" s="104">
        <v>45457</v>
      </c>
      <c r="B326" s="11" t="s">
        <v>46</v>
      </c>
      <c r="C326" s="28">
        <v>0.58333333333333337</v>
      </c>
      <c r="D326" s="28">
        <v>0.95833333333333337</v>
      </c>
      <c r="E326" s="30">
        <f t="shared" si="5"/>
        <v>8</v>
      </c>
      <c r="F326" s="38">
        <v>1</v>
      </c>
      <c r="G326" s="11"/>
    </row>
    <row r="327" spans="1:7" x14ac:dyDescent="0.25">
      <c r="A327" s="104">
        <v>45458</v>
      </c>
      <c r="B327" s="11" t="s">
        <v>56</v>
      </c>
      <c r="C327" s="28">
        <v>0.33333333333333331</v>
      </c>
      <c r="D327" s="28">
        <v>0.52083333333333337</v>
      </c>
      <c r="E327" s="30">
        <f t="shared" si="5"/>
        <v>4.5000000000000018</v>
      </c>
      <c r="F327" s="38"/>
      <c r="G327" s="11"/>
    </row>
    <row r="328" spans="1:7" x14ac:dyDescent="0.25">
      <c r="A328" s="104">
        <v>45458</v>
      </c>
      <c r="B328" s="11" t="s">
        <v>53</v>
      </c>
      <c r="C328" s="28">
        <v>0.33333333333333331</v>
      </c>
      <c r="D328" s="28">
        <v>6.25E-2</v>
      </c>
      <c r="E328" s="30">
        <f t="shared" si="5"/>
        <v>16</v>
      </c>
      <c r="F328" s="38">
        <v>1.5</v>
      </c>
      <c r="G328" s="11"/>
    </row>
    <row r="329" spans="1:7" x14ac:dyDescent="0.25">
      <c r="A329" s="104">
        <v>45458</v>
      </c>
      <c r="B329" s="11" t="s">
        <v>46</v>
      </c>
      <c r="C329" s="28">
        <v>0.58333333333333337</v>
      </c>
      <c r="D329" s="28">
        <v>0.95833333333333337</v>
      </c>
      <c r="E329" s="30">
        <f t="shared" si="5"/>
        <v>8</v>
      </c>
      <c r="F329" s="38">
        <v>1</v>
      </c>
      <c r="G329" s="11"/>
    </row>
    <row r="330" spans="1:7" x14ac:dyDescent="0.25">
      <c r="A330" s="104">
        <v>45459</v>
      </c>
      <c r="B330" s="11" t="s">
        <v>46</v>
      </c>
      <c r="C330" s="28">
        <v>0.41666666666666669</v>
      </c>
      <c r="D330" s="28">
        <v>0.625</v>
      </c>
      <c r="E330" s="30">
        <f t="shared" si="5"/>
        <v>5</v>
      </c>
      <c r="F330" s="38"/>
      <c r="G330" s="11"/>
    </row>
    <row r="331" spans="1:7" x14ac:dyDescent="0.25">
      <c r="A331" s="104">
        <v>45459</v>
      </c>
      <c r="B331" s="11" t="s">
        <v>53</v>
      </c>
      <c r="C331" s="28">
        <v>0.58333333333333337</v>
      </c>
      <c r="D331" s="28">
        <v>0.91666666666666663</v>
      </c>
      <c r="E331" s="30">
        <f t="shared" si="5"/>
        <v>7.4999999999999982</v>
      </c>
      <c r="F331" s="38">
        <v>0.5</v>
      </c>
      <c r="G331" s="11"/>
    </row>
    <row r="332" spans="1:7" x14ac:dyDescent="0.25">
      <c r="A332" s="104">
        <v>45460</v>
      </c>
      <c r="B332" s="11" t="s">
        <v>56</v>
      </c>
      <c r="C332" s="28">
        <v>0.33333333333333331</v>
      </c>
      <c r="D332" s="28">
        <v>0.58333333333333337</v>
      </c>
      <c r="E332" s="30">
        <f t="shared" si="5"/>
        <v>5.5000000000000018</v>
      </c>
      <c r="F332" s="38">
        <v>0.5</v>
      </c>
      <c r="G332" s="11"/>
    </row>
    <row r="333" spans="1:7" x14ac:dyDescent="0.25">
      <c r="A333" s="104">
        <v>45460</v>
      </c>
      <c r="B333" s="11" t="s">
        <v>47</v>
      </c>
      <c r="C333" s="28">
        <v>0.33333333333333331</v>
      </c>
      <c r="D333" s="28">
        <v>0.6875</v>
      </c>
      <c r="E333" s="30">
        <f t="shared" si="5"/>
        <v>8</v>
      </c>
      <c r="F333" s="38">
        <v>0.5</v>
      </c>
      <c r="G333" s="11"/>
    </row>
    <row r="334" spans="1:7" x14ac:dyDescent="0.25">
      <c r="A334" s="104">
        <v>45461</v>
      </c>
      <c r="B334" s="11" t="s">
        <v>56</v>
      </c>
      <c r="C334" s="28">
        <v>0.33333333333333331</v>
      </c>
      <c r="D334" s="28">
        <v>0.58333333333333337</v>
      </c>
      <c r="E334" s="30">
        <f t="shared" si="5"/>
        <v>5.5000000000000018</v>
      </c>
      <c r="F334" s="38">
        <v>0.5</v>
      </c>
      <c r="G334" s="11"/>
    </row>
    <row r="335" spans="1:7" x14ac:dyDescent="0.25">
      <c r="A335" s="104">
        <v>45461</v>
      </c>
      <c r="B335" s="11" t="s">
        <v>47</v>
      </c>
      <c r="C335" s="28">
        <v>0.5</v>
      </c>
      <c r="D335" s="28">
        <v>0.6875</v>
      </c>
      <c r="E335" s="30">
        <f t="shared" si="5"/>
        <v>4.5</v>
      </c>
      <c r="F335" s="38"/>
      <c r="G335" s="11"/>
    </row>
    <row r="336" spans="1:7" x14ac:dyDescent="0.25">
      <c r="A336" s="104">
        <v>45462</v>
      </c>
      <c r="B336" s="11" t="s">
        <v>56</v>
      </c>
      <c r="C336" s="28">
        <v>0.33333333333333331</v>
      </c>
      <c r="D336" s="28">
        <v>0.58333333333333337</v>
      </c>
      <c r="E336" s="30">
        <f t="shared" si="5"/>
        <v>5.5000000000000018</v>
      </c>
      <c r="F336" s="38">
        <v>0.5</v>
      </c>
      <c r="G336" s="11"/>
    </row>
    <row r="337" spans="1:7" x14ac:dyDescent="0.25">
      <c r="A337" s="104">
        <v>45462</v>
      </c>
      <c r="B337" s="11" t="s">
        <v>47</v>
      </c>
      <c r="C337" s="28">
        <v>0.5</v>
      </c>
      <c r="D337" s="28">
        <v>0.6875</v>
      </c>
      <c r="E337" s="30">
        <f t="shared" si="5"/>
        <v>4.5</v>
      </c>
      <c r="F337" s="38"/>
      <c r="G337" s="11"/>
    </row>
    <row r="338" spans="1:7" x14ac:dyDescent="0.25">
      <c r="A338" s="104">
        <v>45462</v>
      </c>
      <c r="B338" s="11" t="s">
        <v>46</v>
      </c>
      <c r="C338" s="28">
        <v>0.66666666666666663</v>
      </c>
      <c r="D338" s="28">
        <v>0.91666666666666663</v>
      </c>
      <c r="E338" s="30">
        <f t="shared" si="5"/>
        <v>5.5</v>
      </c>
      <c r="F338" s="38">
        <v>0.5</v>
      </c>
      <c r="G338" s="11"/>
    </row>
    <row r="339" spans="1:7" x14ac:dyDescent="0.25">
      <c r="A339" s="104">
        <v>45462</v>
      </c>
      <c r="B339" s="11" t="s">
        <v>58</v>
      </c>
      <c r="C339" s="28">
        <v>0.70833333333333337</v>
      </c>
      <c r="D339" s="28">
        <v>0.875</v>
      </c>
      <c r="E339" s="30">
        <f t="shared" si="5"/>
        <v>3.9999999999999991</v>
      </c>
      <c r="F339" s="38"/>
      <c r="G339" s="11"/>
    </row>
    <row r="340" spans="1:7" x14ac:dyDescent="0.25">
      <c r="A340" s="104">
        <v>45463</v>
      </c>
      <c r="B340" s="11" t="s">
        <v>56</v>
      </c>
      <c r="C340" s="28">
        <v>0.33333333333333331</v>
      </c>
      <c r="D340" s="28">
        <v>0.58333333333333337</v>
      </c>
      <c r="E340" s="30">
        <f t="shared" si="5"/>
        <v>5.5000000000000018</v>
      </c>
      <c r="F340" s="38">
        <v>0.5</v>
      </c>
      <c r="G340" s="11"/>
    </row>
    <row r="341" spans="1:7" x14ac:dyDescent="0.25">
      <c r="A341" s="104">
        <v>45463</v>
      </c>
      <c r="B341" s="11" t="s">
        <v>47</v>
      </c>
      <c r="C341" s="28">
        <v>0.5</v>
      </c>
      <c r="D341" s="28">
        <v>0.6875</v>
      </c>
      <c r="E341" s="30">
        <f t="shared" si="5"/>
        <v>4.5</v>
      </c>
      <c r="F341" s="38"/>
      <c r="G341" s="11"/>
    </row>
    <row r="342" spans="1:7" x14ac:dyDescent="0.25">
      <c r="A342" s="104">
        <v>45463</v>
      </c>
      <c r="B342" s="11" t="s">
        <v>49</v>
      </c>
      <c r="C342" s="28">
        <v>0.75</v>
      </c>
      <c r="D342" s="28">
        <v>0.9375</v>
      </c>
      <c r="E342" s="30">
        <f t="shared" si="5"/>
        <v>4.5</v>
      </c>
      <c r="F342" s="38"/>
      <c r="G342" s="11"/>
    </row>
    <row r="343" spans="1:7" x14ac:dyDescent="0.25">
      <c r="A343" s="104">
        <v>45463</v>
      </c>
      <c r="B343" s="11" t="s">
        <v>56</v>
      </c>
      <c r="C343" s="28">
        <v>0.75</v>
      </c>
      <c r="D343" s="28">
        <v>0.95833333333333337</v>
      </c>
      <c r="E343" s="30">
        <f t="shared" si="5"/>
        <v>5.0000000000000009</v>
      </c>
      <c r="F343" s="38"/>
      <c r="G343" s="11"/>
    </row>
    <row r="344" spans="1:7" x14ac:dyDescent="0.25">
      <c r="A344" s="104">
        <v>45464</v>
      </c>
      <c r="B344" s="11" t="s">
        <v>56</v>
      </c>
      <c r="C344" s="28">
        <v>0.33333333333333331</v>
      </c>
      <c r="D344" s="28">
        <v>0.58333333333333337</v>
      </c>
      <c r="E344" s="30">
        <f t="shared" si="5"/>
        <v>5.5000000000000018</v>
      </c>
      <c r="F344" s="38">
        <v>0.5</v>
      </c>
      <c r="G344" s="11"/>
    </row>
    <row r="345" spans="1:7" x14ac:dyDescent="0.25">
      <c r="A345" s="104">
        <v>45464</v>
      </c>
      <c r="B345" s="11" t="s">
        <v>47</v>
      </c>
      <c r="C345" s="28">
        <v>0.5</v>
      </c>
      <c r="D345" s="28">
        <v>0.6875</v>
      </c>
      <c r="E345" s="30">
        <f t="shared" si="5"/>
        <v>4.5</v>
      </c>
      <c r="F345" s="38"/>
      <c r="G345" s="11"/>
    </row>
    <row r="346" spans="1:7" x14ac:dyDescent="0.25">
      <c r="A346" s="104">
        <v>45464</v>
      </c>
      <c r="B346" s="11" t="s">
        <v>53</v>
      </c>
      <c r="C346" s="28">
        <v>0.54166666666666663</v>
      </c>
      <c r="D346" s="28">
        <v>4.1666666666666664E-2</v>
      </c>
      <c r="E346" s="30">
        <f t="shared" si="5"/>
        <v>11</v>
      </c>
      <c r="F346" s="38">
        <v>1</v>
      </c>
      <c r="G346" s="11"/>
    </row>
    <row r="347" spans="1:7" x14ac:dyDescent="0.25">
      <c r="A347" s="104">
        <v>45464</v>
      </c>
      <c r="B347" s="11" t="s">
        <v>58</v>
      </c>
      <c r="C347" s="28">
        <v>0.70833333333333337</v>
      </c>
      <c r="D347" s="28">
        <v>0.95833333333333337</v>
      </c>
      <c r="E347" s="30">
        <f t="shared" si="5"/>
        <v>5.5</v>
      </c>
      <c r="F347" s="38">
        <v>0.5</v>
      </c>
      <c r="G347" s="11"/>
    </row>
    <row r="348" spans="1:7" x14ac:dyDescent="0.25">
      <c r="A348" s="104">
        <v>45465</v>
      </c>
      <c r="B348" s="11" t="s">
        <v>56</v>
      </c>
      <c r="C348" s="28">
        <v>0.33333333333333331</v>
      </c>
      <c r="D348" s="28">
        <v>0.52083333333333337</v>
      </c>
      <c r="E348" s="30">
        <f t="shared" si="5"/>
        <v>4.5000000000000018</v>
      </c>
      <c r="F348" s="38"/>
      <c r="G348" s="11"/>
    </row>
    <row r="349" spans="1:7" x14ac:dyDescent="0.25">
      <c r="A349" s="104">
        <v>45465</v>
      </c>
      <c r="B349" s="11" t="s">
        <v>48</v>
      </c>
      <c r="C349" s="28">
        <v>0.35416666666666669</v>
      </c>
      <c r="D349" s="28">
        <v>0.70833333333333337</v>
      </c>
      <c r="E349" s="30">
        <f t="shared" si="5"/>
        <v>8</v>
      </c>
      <c r="F349" s="38">
        <v>0.5</v>
      </c>
      <c r="G349" s="11"/>
    </row>
    <row r="350" spans="1:7" x14ac:dyDescent="0.25">
      <c r="A350" s="104">
        <v>45465</v>
      </c>
      <c r="B350" s="11" t="s">
        <v>53</v>
      </c>
      <c r="C350" s="28">
        <v>0.33333333333333331</v>
      </c>
      <c r="D350" s="28">
        <v>0.91666666666666663</v>
      </c>
      <c r="E350" s="30">
        <f t="shared" si="5"/>
        <v>12.999999999999998</v>
      </c>
      <c r="F350" s="38">
        <v>1</v>
      </c>
      <c r="G350" s="11"/>
    </row>
    <row r="351" spans="1:7" x14ac:dyDescent="0.25">
      <c r="A351" s="104">
        <v>45465</v>
      </c>
      <c r="B351" s="11" t="s">
        <v>58</v>
      </c>
      <c r="C351" s="28">
        <v>0.58333333333333337</v>
      </c>
      <c r="D351" s="28">
        <v>0</v>
      </c>
      <c r="E351" s="30">
        <f t="shared" si="5"/>
        <v>9</v>
      </c>
      <c r="F351" s="38">
        <v>1</v>
      </c>
      <c r="G351" s="11"/>
    </row>
    <row r="352" spans="1:7" x14ac:dyDescent="0.25">
      <c r="A352" s="104">
        <v>45465</v>
      </c>
      <c r="B352" s="11" t="s">
        <v>46</v>
      </c>
      <c r="C352" s="28">
        <v>0.45833333333333331</v>
      </c>
      <c r="D352" s="28">
        <v>0.875</v>
      </c>
      <c r="E352" s="30">
        <f t="shared" si="5"/>
        <v>9</v>
      </c>
      <c r="F352" s="38">
        <v>1</v>
      </c>
      <c r="G352" s="11"/>
    </row>
    <row r="353" spans="1:7" x14ac:dyDescent="0.25">
      <c r="A353" s="104">
        <v>45466</v>
      </c>
      <c r="B353" s="11" t="s">
        <v>46</v>
      </c>
      <c r="C353" s="28">
        <v>0.45833333333333331</v>
      </c>
      <c r="D353" s="28">
        <v>0.75</v>
      </c>
      <c r="E353" s="30">
        <f t="shared" si="5"/>
        <v>6.5</v>
      </c>
      <c r="F353" s="38">
        <v>0.5</v>
      </c>
      <c r="G353" s="11"/>
    </row>
    <row r="354" spans="1:7" x14ac:dyDescent="0.25">
      <c r="A354" s="104">
        <v>45466</v>
      </c>
      <c r="B354" s="11" t="s">
        <v>53</v>
      </c>
      <c r="C354" s="28">
        <v>0.58333333333333337</v>
      </c>
      <c r="D354" s="28">
        <v>0.91666666666666663</v>
      </c>
      <c r="E354" s="30">
        <f t="shared" si="5"/>
        <v>7.4999999999999982</v>
      </c>
      <c r="F354" s="38">
        <v>0.5</v>
      </c>
      <c r="G354" s="11"/>
    </row>
    <row r="355" spans="1:7" x14ac:dyDescent="0.25">
      <c r="A355" s="104">
        <v>45467</v>
      </c>
      <c r="B355" s="11" t="s">
        <v>56</v>
      </c>
      <c r="C355" s="28">
        <v>0.33333333333333331</v>
      </c>
      <c r="D355" s="28">
        <v>0.58333333333333337</v>
      </c>
      <c r="E355" s="30">
        <f t="shared" si="5"/>
        <v>5.5000000000000018</v>
      </c>
      <c r="F355" s="38">
        <v>0.5</v>
      </c>
      <c r="G355" s="11"/>
    </row>
    <row r="356" spans="1:7" x14ac:dyDescent="0.25">
      <c r="A356" s="104">
        <v>45467</v>
      </c>
      <c r="B356" s="11" t="s">
        <v>47</v>
      </c>
      <c r="C356" s="28">
        <v>0.33333333333333331</v>
      </c>
      <c r="D356" s="28">
        <v>0.6875</v>
      </c>
      <c r="E356" s="30">
        <f t="shared" si="5"/>
        <v>8</v>
      </c>
      <c r="F356" s="38">
        <v>0.5</v>
      </c>
      <c r="G356" s="11"/>
    </row>
    <row r="357" spans="1:7" x14ac:dyDescent="0.25">
      <c r="A357" s="104">
        <v>45468</v>
      </c>
      <c r="B357" s="11" t="s">
        <v>56</v>
      </c>
      <c r="C357" s="28">
        <v>0.33333333333333331</v>
      </c>
      <c r="D357" s="28">
        <v>0.58333333333333337</v>
      </c>
      <c r="E357" s="30">
        <f t="shared" si="5"/>
        <v>5.5000000000000018</v>
      </c>
      <c r="F357" s="38">
        <v>0.5</v>
      </c>
      <c r="G357" s="11"/>
    </row>
    <row r="358" spans="1:7" x14ac:dyDescent="0.25">
      <c r="A358" s="104">
        <v>45468</v>
      </c>
      <c r="B358" s="11" t="s">
        <v>47</v>
      </c>
      <c r="C358" s="28">
        <v>0.33333333333333331</v>
      </c>
      <c r="D358" s="28">
        <v>0.6875</v>
      </c>
      <c r="E358" s="30">
        <f t="shared" si="5"/>
        <v>8</v>
      </c>
      <c r="F358" s="38">
        <v>0.5</v>
      </c>
      <c r="G358" s="11"/>
    </row>
    <row r="359" spans="1:7" x14ac:dyDescent="0.25">
      <c r="A359" s="104">
        <v>45469</v>
      </c>
      <c r="B359" s="11" t="s">
        <v>56</v>
      </c>
      <c r="C359" s="28">
        <v>0.33333333333333331</v>
      </c>
      <c r="D359" s="28">
        <v>0.58333333333333337</v>
      </c>
      <c r="E359" s="30">
        <f t="shared" si="5"/>
        <v>5.5000000000000018</v>
      </c>
      <c r="F359" s="38">
        <v>0.5</v>
      </c>
      <c r="G359" s="11"/>
    </row>
    <row r="360" spans="1:7" x14ac:dyDescent="0.25">
      <c r="A360" s="104">
        <v>45469</v>
      </c>
      <c r="B360" s="11" t="s">
        <v>47</v>
      </c>
      <c r="C360" s="28">
        <v>0.33333333333333331</v>
      </c>
      <c r="D360" s="28">
        <v>0.6875</v>
      </c>
      <c r="E360" s="30">
        <f t="shared" si="5"/>
        <v>8</v>
      </c>
      <c r="F360" s="38">
        <v>0.5</v>
      </c>
      <c r="G360" s="11"/>
    </row>
    <row r="361" spans="1:7" x14ac:dyDescent="0.25">
      <c r="A361" s="104">
        <v>45469</v>
      </c>
      <c r="B361" s="11" t="s">
        <v>49</v>
      </c>
      <c r="C361" s="28">
        <v>0.66666666666666663</v>
      </c>
      <c r="D361" s="28">
        <v>0.89583333333333337</v>
      </c>
      <c r="E361" s="30">
        <f t="shared" si="5"/>
        <v>5.5000000000000018</v>
      </c>
      <c r="F361" s="38"/>
      <c r="G361" s="11"/>
    </row>
    <row r="362" spans="1:7" x14ac:dyDescent="0.25">
      <c r="A362" s="104">
        <v>45470</v>
      </c>
      <c r="B362" s="11" t="s">
        <v>56</v>
      </c>
      <c r="C362" s="28">
        <v>0.33333333333333331</v>
      </c>
      <c r="D362" s="28">
        <v>0.58333333333333337</v>
      </c>
      <c r="E362" s="30">
        <f t="shared" si="5"/>
        <v>5.5000000000000018</v>
      </c>
      <c r="F362" s="38">
        <v>0.5</v>
      </c>
      <c r="G362" s="11"/>
    </row>
    <row r="363" spans="1:7" x14ac:dyDescent="0.25">
      <c r="A363" s="104">
        <v>45470</v>
      </c>
      <c r="B363" s="11" t="s">
        <v>47</v>
      </c>
      <c r="C363" s="28">
        <v>0.5</v>
      </c>
      <c r="D363" s="28">
        <v>0.6875</v>
      </c>
      <c r="E363" s="30">
        <f t="shared" si="5"/>
        <v>4.5</v>
      </c>
      <c r="F363" s="38"/>
      <c r="G363" s="11"/>
    </row>
    <row r="364" spans="1:7" x14ac:dyDescent="0.25">
      <c r="A364" s="104">
        <v>45470</v>
      </c>
      <c r="B364" s="11" t="s">
        <v>49</v>
      </c>
      <c r="C364" s="28">
        <v>0.75</v>
      </c>
      <c r="D364" s="28">
        <v>0.9375</v>
      </c>
      <c r="E364" s="30">
        <f t="shared" si="5"/>
        <v>4.5</v>
      </c>
      <c r="F364" s="38"/>
      <c r="G364" s="11"/>
    </row>
    <row r="365" spans="1:7" x14ac:dyDescent="0.25">
      <c r="A365" s="104">
        <v>45470</v>
      </c>
      <c r="B365" s="11" t="s">
        <v>56</v>
      </c>
      <c r="C365" s="28">
        <v>0.75</v>
      </c>
      <c r="D365" s="28">
        <v>0.95833333333333337</v>
      </c>
      <c r="E365" s="30">
        <f t="shared" si="5"/>
        <v>5.0000000000000009</v>
      </c>
      <c r="F365" s="38"/>
      <c r="G365" s="11"/>
    </row>
    <row r="366" spans="1:7" x14ac:dyDescent="0.25">
      <c r="A366" s="104">
        <v>45471</v>
      </c>
      <c r="B366" s="11" t="s">
        <v>56</v>
      </c>
      <c r="C366" s="28">
        <v>0.33333333333333331</v>
      </c>
      <c r="D366" s="28">
        <v>0.58333333333333337</v>
      </c>
      <c r="E366" s="30">
        <f t="shared" si="5"/>
        <v>5.5000000000000018</v>
      </c>
      <c r="F366" s="38">
        <v>0.5</v>
      </c>
      <c r="G366" s="11"/>
    </row>
    <row r="367" spans="1:7" x14ac:dyDescent="0.25">
      <c r="A367" s="104">
        <v>45471</v>
      </c>
      <c r="B367" s="11" t="s">
        <v>47</v>
      </c>
      <c r="C367" s="28">
        <v>0.5</v>
      </c>
      <c r="D367" s="28">
        <v>0.6875</v>
      </c>
      <c r="E367" s="30">
        <f t="shared" si="5"/>
        <v>4.5</v>
      </c>
      <c r="F367" s="38"/>
      <c r="G367" s="11"/>
    </row>
    <row r="368" spans="1:7" x14ac:dyDescent="0.25">
      <c r="A368" s="104">
        <v>45472</v>
      </c>
      <c r="B368" s="11" t="s">
        <v>56</v>
      </c>
      <c r="C368" s="28">
        <v>0.33333333333333331</v>
      </c>
      <c r="D368" s="28">
        <v>0.52083333333333337</v>
      </c>
      <c r="E368" s="30">
        <f t="shared" si="5"/>
        <v>4.5000000000000018</v>
      </c>
      <c r="F368" s="38"/>
      <c r="G368" s="11"/>
    </row>
    <row r="369" spans="1:7" x14ac:dyDescent="0.25">
      <c r="A369" s="104">
        <v>45472</v>
      </c>
      <c r="B369" s="11" t="s">
        <v>49</v>
      </c>
      <c r="C369" s="28">
        <v>0.33333333333333331</v>
      </c>
      <c r="D369" s="28">
        <v>0</v>
      </c>
      <c r="E369" s="30">
        <f t="shared" si="5"/>
        <v>15</v>
      </c>
      <c r="F369" s="38">
        <v>1</v>
      </c>
      <c r="G369" s="11"/>
    </row>
    <row r="370" spans="1:7" x14ac:dyDescent="0.25">
      <c r="A370" s="104">
        <v>45472</v>
      </c>
      <c r="B370" s="11" t="s">
        <v>48</v>
      </c>
      <c r="C370" s="28">
        <v>0.35416666666666669</v>
      </c>
      <c r="D370" s="28">
        <v>0.6875</v>
      </c>
      <c r="E370" s="30">
        <f t="shared" si="5"/>
        <v>7.5</v>
      </c>
      <c r="F370" s="38">
        <v>0.5</v>
      </c>
      <c r="G370" s="11"/>
    </row>
    <row r="371" spans="1:7" x14ac:dyDescent="0.25">
      <c r="A371" s="104">
        <v>45472</v>
      </c>
      <c r="B371" s="11" t="s">
        <v>58</v>
      </c>
      <c r="C371" s="28">
        <v>0.54166666666666663</v>
      </c>
      <c r="D371" s="28">
        <v>0.83333333333333337</v>
      </c>
      <c r="E371" s="30">
        <f t="shared" si="5"/>
        <v>6.5000000000000018</v>
      </c>
      <c r="F371" s="38">
        <v>0.5</v>
      </c>
      <c r="G371" s="11"/>
    </row>
    <row r="372" spans="1:7" x14ac:dyDescent="0.25">
      <c r="A372" s="104">
        <v>45472</v>
      </c>
      <c r="B372" s="11" t="s">
        <v>46</v>
      </c>
      <c r="C372" s="28">
        <v>0.45833333333333331</v>
      </c>
      <c r="D372" s="28">
        <v>0.83333333333333337</v>
      </c>
      <c r="E372" s="30">
        <f t="shared" si="5"/>
        <v>8.0000000000000018</v>
      </c>
      <c r="F372" s="38">
        <v>1</v>
      </c>
      <c r="G372" s="11"/>
    </row>
    <row r="373" spans="1:7" x14ac:dyDescent="0.25">
      <c r="A373" s="104">
        <v>45474</v>
      </c>
      <c r="B373" s="11" t="s">
        <v>56</v>
      </c>
      <c r="C373" s="28">
        <v>0.33333333333333331</v>
      </c>
      <c r="D373" s="28">
        <v>0.58333333333333337</v>
      </c>
      <c r="E373" s="30">
        <f t="shared" si="5"/>
        <v>5.5000000000000018</v>
      </c>
      <c r="F373" s="38">
        <v>0.5</v>
      </c>
      <c r="G373" s="12">
        <f>SUM(E:E)</f>
        <v>5521</v>
      </c>
    </row>
    <row r="374" spans="1:7" x14ac:dyDescent="0.25">
      <c r="A374" s="104">
        <v>45475</v>
      </c>
      <c r="B374" s="11" t="s">
        <v>56</v>
      </c>
      <c r="C374" s="28">
        <v>0.33333333333333331</v>
      </c>
      <c r="D374" s="28">
        <v>0.58333333333333337</v>
      </c>
      <c r="E374" s="30">
        <f t="shared" si="5"/>
        <v>5.5000000000000018</v>
      </c>
      <c r="F374" s="38">
        <v>0.5</v>
      </c>
      <c r="G374" s="11"/>
    </row>
    <row r="375" spans="1:7" x14ac:dyDescent="0.25">
      <c r="A375" s="104">
        <v>45476</v>
      </c>
      <c r="B375" s="11" t="s">
        <v>49</v>
      </c>
      <c r="C375" s="28">
        <v>0.66666666666666663</v>
      </c>
      <c r="D375" s="28">
        <v>0.89583333333333337</v>
      </c>
      <c r="E375" s="30">
        <f t="shared" si="5"/>
        <v>5.0000000000000018</v>
      </c>
      <c r="F375" s="38">
        <v>0.5</v>
      </c>
      <c r="G375" s="11"/>
    </row>
    <row r="376" spans="1:7" x14ac:dyDescent="0.25">
      <c r="A376" s="104">
        <v>45476</v>
      </c>
      <c r="B376" s="11" t="s">
        <v>56</v>
      </c>
      <c r="C376" s="28">
        <v>0.33333333333333331</v>
      </c>
      <c r="D376" s="28">
        <v>0.58333333333333337</v>
      </c>
      <c r="E376" s="30">
        <f t="shared" si="5"/>
        <v>5.5000000000000018</v>
      </c>
      <c r="F376" s="38">
        <v>0.5</v>
      </c>
      <c r="G376" s="11"/>
    </row>
    <row r="377" spans="1:7" x14ac:dyDescent="0.25">
      <c r="A377" s="104">
        <v>45478</v>
      </c>
      <c r="B377" s="11" t="s">
        <v>56</v>
      </c>
      <c r="C377" s="28">
        <v>0.33333333333333331</v>
      </c>
      <c r="D377" s="28">
        <v>0.58333333333333337</v>
      </c>
      <c r="E377" s="30">
        <f t="shared" ref="E377:E439" si="6">MOD((D377-C377),1) *24 - F377</f>
        <v>5.5000000000000018</v>
      </c>
      <c r="F377" s="38">
        <v>0.5</v>
      </c>
      <c r="G377" s="11"/>
    </row>
    <row r="378" spans="1:7" x14ac:dyDescent="0.25">
      <c r="A378" s="104">
        <v>45479</v>
      </c>
      <c r="B378" s="11" t="s">
        <v>53</v>
      </c>
      <c r="C378" s="28">
        <v>0.54166666666666663</v>
      </c>
      <c r="D378" s="28">
        <v>0.75</v>
      </c>
      <c r="E378" s="30">
        <f t="shared" si="6"/>
        <v>5.0000000000000009</v>
      </c>
      <c r="F378" s="38"/>
      <c r="G378" s="11"/>
    </row>
    <row r="379" spans="1:7" x14ac:dyDescent="0.25">
      <c r="A379" s="104">
        <v>45479</v>
      </c>
      <c r="B379" s="11" t="s">
        <v>49</v>
      </c>
      <c r="C379" s="28">
        <v>0.32291666666666669</v>
      </c>
      <c r="D379" s="28">
        <v>0.54166666666666663</v>
      </c>
      <c r="E379" s="30">
        <f t="shared" si="6"/>
        <v>4.7499999999999982</v>
      </c>
      <c r="F379" s="38">
        <v>0.5</v>
      </c>
      <c r="G379" s="11"/>
    </row>
    <row r="380" spans="1:7" x14ac:dyDescent="0.25">
      <c r="A380" s="104">
        <v>45479</v>
      </c>
      <c r="B380" s="11" t="s">
        <v>56</v>
      </c>
      <c r="C380" s="28">
        <v>0.33333333333333331</v>
      </c>
      <c r="D380" s="28">
        <v>0.54166666666666663</v>
      </c>
      <c r="E380" s="30">
        <f t="shared" si="6"/>
        <v>5</v>
      </c>
      <c r="F380" s="38"/>
      <c r="G380" s="11"/>
    </row>
    <row r="381" spans="1:7" x14ac:dyDescent="0.25">
      <c r="A381" s="104">
        <v>45479</v>
      </c>
      <c r="B381" s="11" t="s">
        <v>53</v>
      </c>
      <c r="C381" s="28">
        <v>0.75</v>
      </c>
      <c r="D381" s="28">
        <v>0.9375</v>
      </c>
      <c r="E381" s="30">
        <f t="shared" si="6"/>
        <v>4.5</v>
      </c>
      <c r="F381" s="38"/>
      <c r="G381" s="11"/>
    </row>
    <row r="382" spans="1:7" x14ac:dyDescent="0.25">
      <c r="A382" s="104">
        <v>45479</v>
      </c>
      <c r="B382" s="11" t="s">
        <v>58</v>
      </c>
      <c r="C382" s="28">
        <v>0.72916666666666663</v>
      </c>
      <c r="D382" s="28">
        <v>0.97916666666666663</v>
      </c>
      <c r="E382" s="30">
        <f t="shared" si="6"/>
        <v>5.5</v>
      </c>
      <c r="F382" s="38">
        <v>0.5</v>
      </c>
      <c r="G382" s="11"/>
    </row>
    <row r="383" spans="1:7" x14ac:dyDescent="0.25">
      <c r="A383" s="104">
        <v>45480</v>
      </c>
      <c r="B383" s="11" t="s">
        <v>58</v>
      </c>
      <c r="C383" s="28">
        <v>0.5</v>
      </c>
      <c r="D383" s="28">
        <v>0.75</v>
      </c>
      <c r="E383" s="30">
        <f t="shared" si="6"/>
        <v>5.5</v>
      </c>
      <c r="F383" s="38">
        <v>0.5</v>
      </c>
      <c r="G383" s="11"/>
    </row>
    <row r="384" spans="1:7" x14ac:dyDescent="0.25">
      <c r="A384" s="104">
        <v>45481</v>
      </c>
      <c r="B384" s="11" t="s">
        <v>56</v>
      </c>
      <c r="C384" s="28">
        <v>0.33333333333333331</v>
      </c>
      <c r="D384" s="28">
        <v>0.58333333333333337</v>
      </c>
      <c r="E384" s="30">
        <f t="shared" si="6"/>
        <v>5.5000000000000018</v>
      </c>
      <c r="F384" s="38">
        <v>0.5</v>
      </c>
      <c r="G384" s="11"/>
    </row>
    <row r="385" spans="1:7" x14ac:dyDescent="0.25">
      <c r="A385" s="104">
        <v>45481</v>
      </c>
      <c r="B385" s="11" t="s">
        <v>49</v>
      </c>
      <c r="C385" s="28">
        <v>0.33333333333333331</v>
      </c>
      <c r="D385" s="28">
        <v>0.5</v>
      </c>
      <c r="E385" s="30">
        <f t="shared" si="6"/>
        <v>4</v>
      </c>
      <c r="F385" s="38"/>
      <c r="G385" s="11"/>
    </row>
    <row r="386" spans="1:7" x14ac:dyDescent="0.25">
      <c r="A386" s="104">
        <v>45481</v>
      </c>
      <c r="B386" s="11" t="s">
        <v>47</v>
      </c>
      <c r="C386" s="28">
        <v>0.33333333333333331</v>
      </c>
      <c r="D386" s="28">
        <v>0.6875</v>
      </c>
      <c r="E386" s="30">
        <f t="shared" si="6"/>
        <v>8</v>
      </c>
      <c r="F386" s="38">
        <v>0.5</v>
      </c>
      <c r="G386" s="11"/>
    </row>
    <row r="387" spans="1:7" x14ac:dyDescent="0.25">
      <c r="A387" s="104">
        <v>45482</v>
      </c>
      <c r="B387" s="11" t="s">
        <v>56</v>
      </c>
      <c r="C387" s="28">
        <v>0.33333333333333331</v>
      </c>
      <c r="D387" s="28">
        <v>0.58333333333333337</v>
      </c>
      <c r="E387" s="30">
        <f t="shared" si="6"/>
        <v>5.5000000000000018</v>
      </c>
      <c r="F387" s="38">
        <v>0.5</v>
      </c>
      <c r="G387" s="11"/>
    </row>
    <row r="388" spans="1:7" x14ac:dyDescent="0.25">
      <c r="A388" s="104">
        <v>45483</v>
      </c>
      <c r="B388" s="11" t="s">
        <v>49</v>
      </c>
      <c r="C388" s="28">
        <v>0.66666666666666663</v>
      </c>
      <c r="D388" s="28">
        <v>0.89583333333333337</v>
      </c>
      <c r="E388" s="30">
        <f t="shared" si="6"/>
        <v>5.0000000000000018</v>
      </c>
      <c r="F388" s="38">
        <v>0.5</v>
      </c>
      <c r="G388" s="11"/>
    </row>
    <row r="389" spans="1:7" x14ac:dyDescent="0.25">
      <c r="A389" s="104">
        <v>45483</v>
      </c>
      <c r="B389" s="11" t="s">
        <v>56</v>
      </c>
      <c r="C389" s="28">
        <v>0.33333333333333331</v>
      </c>
      <c r="D389" s="28">
        <v>0.58333333333333337</v>
      </c>
      <c r="E389" s="30">
        <f t="shared" si="6"/>
        <v>5.5000000000000018</v>
      </c>
      <c r="F389" s="38">
        <v>0.5</v>
      </c>
      <c r="G389" s="11"/>
    </row>
    <row r="390" spans="1:7" x14ac:dyDescent="0.25">
      <c r="A390" s="104">
        <v>45484</v>
      </c>
      <c r="B390" s="11" t="s">
        <v>56</v>
      </c>
      <c r="C390" s="28">
        <v>0.33333333333333331</v>
      </c>
      <c r="D390" s="28">
        <v>0.58333333333333337</v>
      </c>
      <c r="E390" s="30">
        <f t="shared" si="6"/>
        <v>5.5000000000000018</v>
      </c>
      <c r="F390" s="38">
        <v>0.5</v>
      </c>
      <c r="G390" s="11"/>
    </row>
    <row r="391" spans="1:7" x14ac:dyDescent="0.25">
      <c r="A391" s="104">
        <v>45484</v>
      </c>
      <c r="B391" s="11" t="s">
        <v>56</v>
      </c>
      <c r="C391" s="28">
        <v>0.75</v>
      </c>
      <c r="D391" s="28">
        <v>0.95833333333333337</v>
      </c>
      <c r="E391" s="30">
        <f t="shared" si="6"/>
        <v>5.0000000000000009</v>
      </c>
      <c r="F391" s="38"/>
      <c r="G391" s="11"/>
    </row>
    <row r="392" spans="1:7" x14ac:dyDescent="0.25">
      <c r="A392" s="104">
        <v>45485</v>
      </c>
      <c r="B392" s="11" t="s">
        <v>56</v>
      </c>
      <c r="C392" s="28">
        <v>0.33333333333333331</v>
      </c>
      <c r="D392" s="28">
        <v>0.58333333333333337</v>
      </c>
      <c r="E392" s="30">
        <f t="shared" si="6"/>
        <v>5.5000000000000018</v>
      </c>
      <c r="F392" s="38">
        <v>0.5</v>
      </c>
      <c r="G392" s="11"/>
    </row>
    <row r="393" spans="1:7" x14ac:dyDescent="0.25">
      <c r="A393" s="104">
        <v>45486</v>
      </c>
      <c r="B393" s="11" t="s">
        <v>48</v>
      </c>
      <c r="C393" s="28">
        <v>0.54166666666666663</v>
      </c>
      <c r="D393" s="28">
        <v>0.875</v>
      </c>
      <c r="E393" s="30">
        <f t="shared" si="6"/>
        <v>7.5</v>
      </c>
      <c r="F393" s="38">
        <v>0.5</v>
      </c>
      <c r="G393" s="11"/>
    </row>
    <row r="394" spans="1:7" x14ac:dyDescent="0.25">
      <c r="A394" s="104">
        <v>45486</v>
      </c>
      <c r="B394" s="11" t="s">
        <v>49</v>
      </c>
      <c r="C394" s="28">
        <v>0.32291666666666669</v>
      </c>
      <c r="D394" s="28">
        <v>0.64583333333333337</v>
      </c>
      <c r="E394" s="30">
        <f t="shared" si="6"/>
        <v>7.25</v>
      </c>
      <c r="F394" s="38">
        <v>0.5</v>
      </c>
      <c r="G394" s="11"/>
    </row>
    <row r="395" spans="1:7" x14ac:dyDescent="0.25">
      <c r="A395" s="104">
        <v>45486</v>
      </c>
      <c r="B395" s="11" t="s">
        <v>56</v>
      </c>
      <c r="C395" s="28">
        <v>0.33333333333333331</v>
      </c>
      <c r="D395" s="28">
        <v>0.54166666666666663</v>
      </c>
      <c r="E395" s="30">
        <f t="shared" si="6"/>
        <v>5</v>
      </c>
      <c r="F395" s="38"/>
      <c r="G395" s="11"/>
    </row>
    <row r="396" spans="1:7" x14ac:dyDescent="0.25">
      <c r="A396" s="104">
        <v>45486</v>
      </c>
      <c r="B396" s="11" t="s">
        <v>53</v>
      </c>
      <c r="C396" s="28">
        <v>0.625</v>
      </c>
      <c r="D396" s="28">
        <v>0.79166666666666663</v>
      </c>
      <c r="E396" s="30">
        <f t="shared" si="6"/>
        <v>3.9999999999999991</v>
      </c>
      <c r="F396" s="38"/>
      <c r="G396" s="11"/>
    </row>
    <row r="397" spans="1:7" x14ac:dyDescent="0.25">
      <c r="A397" s="104">
        <v>45486</v>
      </c>
      <c r="B397" s="11" t="s">
        <v>53</v>
      </c>
      <c r="C397" s="28">
        <v>0.79166666666666663</v>
      </c>
      <c r="D397" s="28">
        <v>0</v>
      </c>
      <c r="E397" s="30">
        <f t="shared" si="6"/>
        <v>5.0000000000000009</v>
      </c>
      <c r="F397" s="38"/>
      <c r="G397" s="11"/>
    </row>
    <row r="398" spans="1:7" x14ac:dyDescent="0.25">
      <c r="A398" s="104">
        <v>45486</v>
      </c>
      <c r="B398" s="11" t="s">
        <v>46</v>
      </c>
      <c r="C398" s="28">
        <v>0.625</v>
      </c>
      <c r="D398" s="28">
        <v>0.91666666666666663</v>
      </c>
      <c r="E398" s="30">
        <f t="shared" si="6"/>
        <v>6.4999999999999991</v>
      </c>
      <c r="F398" s="38">
        <v>0.5</v>
      </c>
      <c r="G398" s="11"/>
    </row>
    <row r="399" spans="1:7" x14ac:dyDescent="0.25">
      <c r="A399" s="104">
        <v>45486</v>
      </c>
      <c r="B399" s="11" t="s">
        <v>58</v>
      </c>
      <c r="C399" s="28">
        <v>0.54166666666666663</v>
      </c>
      <c r="D399" s="28">
        <v>0.875</v>
      </c>
      <c r="E399" s="30">
        <f t="shared" si="6"/>
        <v>7.5</v>
      </c>
      <c r="F399" s="38">
        <v>0.5</v>
      </c>
      <c r="G399" s="11"/>
    </row>
    <row r="400" spans="1:7" x14ac:dyDescent="0.25">
      <c r="A400" s="104">
        <v>45487</v>
      </c>
      <c r="B400" s="11" t="s">
        <v>53</v>
      </c>
      <c r="C400" s="28">
        <v>0.29166666666666669</v>
      </c>
      <c r="D400" s="28">
        <v>0.45833333333333331</v>
      </c>
      <c r="E400" s="30">
        <f t="shared" si="6"/>
        <v>3.9999999999999991</v>
      </c>
      <c r="F400" s="38"/>
      <c r="G400" s="11"/>
    </row>
    <row r="401" spans="1:7" x14ac:dyDescent="0.25">
      <c r="A401" s="104">
        <v>45487</v>
      </c>
      <c r="B401" s="11" t="s">
        <v>53</v>
      </c>
      <c r="C401" s="28">
        <v>0.45833333333333331</v>
      </c>
      <c r="D401" s="28">
        <v>0.75</v>
      </c>
      <c r="E401" s="30">
        <f t="shared" si="6"/>
        <v>6.5</v>
      </c>
      <c r="F401" s="38">
        <v>0.5</v>
      </c>
      <c r="G401" s="11"/>
    </row>
    <row r="402" spans="1:7" x14ac:dyDescent="0.25">
      <c r="A402" s="104">
        <v>45487</v>
      </c>
      <c r="B402" s="11" t="s">
        <v>46</v>
      </c>
      <c r="C402" s="28">
        <v>0.29166666666666669</v>
      </c>
      <c r="D402" s="28">
        <v>0.66666666666666663</v>
      </c>
      <c r="E402" s="30">
        <f t="shared" si="6"/>
        <v>7.9999999999999982</v>
      </c>
      <c r="F402" s="38">
        <v>1</v>
      </c>
      <c r="G402" s="11"/>
    </row>
    <row r="403" spans="1:7" x14ac:dyDescent="0.25">
      <c r="A403" s="104">
        <v>45488</v>
      </c>
      <c r="B403" s="11" t="s">
        <v>56</v>
      </c>
      <c r="C403" s="28">
        <v>0.33333333333333331</v>
      </c>
      <c r="D403" s="28">
        <v>0.58333333333333337</v>
      </c>
      <c r="E403" s="30">
        <f t="shared" si="6"/>
        <v>5.5000000000000018</v>
      </c>
      <c r="F403" s="38">
        <v>0.5</v>
      </c>
      <c r="G403" s="11"/>
    </row>
    <row r="404" spans="1:7" x14ac:dyDescent="0.25">
      <c r="A404" s="104">
        <v>45489</v>
      </c>
      <c r="B404" s="11" t="s">
        <v>58</v>
      </c>
      <c r="C404" s="28">
        <v>0.70833333333333337</v>
      </c>
      <c r="D404" s="28">
        <v>0.91666666666666663</v>
      </c>
      <c r="E404" s="30">
        <f t="shared" si="6"/>
        <v>4.9999999999999982</v>
      </c>
      <c r="F404" s="38"/>
      <c r="G404" s="11"/>
    </row>
    <row r="405" spans="1:7" x14ac:dyDescent="0.25">
      <c r="A405" s="104">
        <v>45489</v>
      </c>
      <c r="B405" s="11" t="s">
        <v>56</v>
      </c>
      <c r="C405" s="28">
        <v>0.33333333333333331</v>
      </c>
      <c r="D405" s="28">
        <v>0.58333333333333337</v>
      </c>
      <c r="E405" s="30">
        <f t="shared" si="6"/>
        <v>5.5000000000000018</v>
      </c>
      <c r="F405" s="38">
        <v>0.5</v>
      </c>
      <c r="G405" s="11"/>
    </row>
    <row r="406" spans="1:7" x14ac:dyDescent="0.25">
      <c r="A406" s="104">
        <v>45490</v>
      </c>
      <c r="B406" s="11" t="s">
        <v>56</v>
      </c>
      <c r="C406" s="28">
        <v>0.33333333333333331</v>
      </c>
      <c r="D406" s="28">
        <v>0.58333333333333337</v>
      </c>
      <c r="E406" s="30">
        <f t="shared" si="6"/>
        <v>5.5000000000000018</v>
      </c>
      <c r="F406" s="38">
        <v>0.5</v>
      </c>
      <c r="G406" s="11"/>
    </row>
    <row r="407" spans="1:7" x14ac:dyDescent="0.25">
      <c r="A407" s="104">
        <v>45490</v>
      </c>
      <c r="B407" s="11" t="s">
        <v>58</v>
      </c>
      <c r="C407" s="28">
        <v>0.70833333333333337</v>
      </c>
      <c r="D407" s="28">
        <v>0.875</v>
      </c>
      <c r="E407" s="30">
        <f t="shared" si="6"/>
        <v>3.9999999999999991</v>
      </c>
      <c r="F407" s="38"/>
      <c r="G407" s="11"/>
    </row>
    <row r="408" spans="1:7" x14ac:dyDescent="0.25">
      <c r="A408" s="104">
        <v>45490</v>
      </c>
      <c r="B408" s="11" t="s">
        <v>49</v>
      </c>
      <c r="C408" s="28">
        <v>0.66666666666666663</v>
      </c>
      <c r="D408" s="28">
        <v>0.89583333333333337</v>
      </c>
      <c r="E408" s="30">
        <f t="shared" si="6"/>
        <v>5.0000000000000018</v>
      </c>
      <c r="F408" s="38">
        <v>0.5</v>
      </c>
      <c r="G408" s="11"/>
    </row>
    <row r="409" spans="1:7" x14ac:dyDescent="0.25">
      <c r="A409" s="104">
        <v>45491</v>
      </c>
      <c r="B409" s="11" t="s">
        <v>56</v>
      </c>
      <c r="C409" s="28">
        <v>0.75</v>
      </c>
      <c r="D409" s="28">
        <v>0.95833333333333337</v>
      </c>
      <c r="E409" s="30">
        <f t="shared" si="6"/>
        <v>5.0000000000000009</v>
      </c>
      <c r="F409" s="38"/>
      <c r="G409" s="11"/>
    </row>
    <row r="410" spans="1:7" x14ac:dyDescent="0.25">
      <c r="A410" s="104">
        <v>45491</v>
      </c>
      <c r="B410" s="11" t="s">
        <v>56</v>
      </c>
      <c r="C410" s="28">
        <v>0.33333333333333331</v>
      </c>
      <c r="D410" s="28">
        <v>0.58333333333333337</v>
      </c>
      <c r="E410" s="30">
        <f t="shared" si="6"/>
        <v>5.5000000000000018</v>
      </c>
      <c r="F410" s="38">
        <v>0.5</v>
      </c>
      <c r="G410" s="11"/>
    </row>
    <row r="411" spans="1:7" x14ac:dyDescent="0.25">
      <c r="A411" s="104">
        <v>45492</v>
      </c>
      <c r="B411" s="11" t="s">
        <v>56</v>
      </c>
      <c r="C411" s="28">
        <v>0.33333333333333331</v>
      </c>
      <c r="D411" s="28">
        <v>0.58333333333333337</v>
      </c>
      <c r="E411" s="30">
        <f t="shared" si="6"/>
        <v>5.5000000000000018</v>
      </c>
      <c r="F411" s="38">
        <v>0.5</v>
      </c>
      <c r="G411" s="11"/>
    </row>
    <row r="412" spans="1:7" x14ac:dyDescent="0.25">
      <c r="A412" s="104">
        <v>45492</v>
      </c>
      <c r="B412" s="11" t="s">
        <v>58</v>
      </c>
      <c r="C412" s="28">
        <v>0.66666666666666663</v>
      </c>
      <c r="D412" s="28">
        <v>0.95833333333333337</v>
      </c>
      <c r="E412" s="30">
        <f t="shared" si="6"/>
        <v>6.5000000000000018</v>
      </c>
      <c r="F412" s="38">
        <v>0.5</v>
      </c>
      <c r="G412" s="11"/>
    </row>
    <row r="413" spans="1:7" x14ac:dyDescent="0.25">
      <c r="A413" s="104">
        <v>45493</v>
      </c>
      <c r="B413" s="11" t="s">
        <v>49</v>
      </c>
      <c r="C413" s="28">
        <v>0.28125</v>
      </c>
      <c r="D413" s="28">
        <v>0.60416666666666663</v>
      </c>
      <c r="E413" s="30">
        <f t="shared" si="6"/>
        <v>7.2499999999999991</v>
      </c>
      <c r="F413" s="38">
        <v>0.5</v>
      </c>
      <c r="G413" s="11"/>
    </row>
    <row r="414" spans="1:7" x14ac:dyDescent="0.25">
      <c r="A414" s="104">
        <v>45493</v>
      </c>
      <c r="B414" s="11" t="s">
        <v>56</v>
      </c>
      <c r="C414" s="28">
        <v>0.33333333333333331</v>
      </c>
      <c r="D414" s="28">
        <v>0.54166666666666663</v>
      </c>
      <c r="E414" s="30">
        <f t="shared" si="6"/>
        <v>5</v>
      </c>
      <c r="F414" s="38"/>
      <c r="G414" s="11"/>
    </row>
    <row r="415" spans="1:7" x14ac:dyDescent="0.25">
      <c r="A415" s="104">
        <v>45493</v>
      </c>
      <c r="B415" s="11" t="s">
        <v>53</v>
      </c>
      <c r="C415" s="28">
        <v>0.60416666666666663</v>
      </c>
      <c r="D415" s="28">
        <v>0.97916666666666663</v>
      </c>
      <c r="E415" s="30">
        <f t="shared" si="6"/>
        <v>8</v>
      </c>
      <c r="F415" s="38">
        <v>1</v>
      </c>
      <c r="G415" s="11"/>
    </row>
    <row r="416" spans="1:7" x14ac:dyDescent="0.25">
      <c r="A416" s="104">
        <v>45493</v>
      </c>
      <c r="B416" s="11" t="s">
        <v>58</v>
      </c>
      <c r="C416" s="28">
        <v>0.625</v>
      </c>
      <c r="D416" s="28">
        <v>0.95833333333333337</v>
      </c>
      <c r="E416" s="30">
        <f t="shared" si="6"/>
        <v>7.5</v>
      </c>
      <c r="F416" s="38">
        <v>0.5</v>
      </c>
      <c r="G416" s="11"/>
    </row>
    <row r="417" spans="1:7" x14ac:dyDescent="0.25">
      <c r="A417" s="104">
        <v>45493</v>
      </c>
      <c r="B417" s="11" t="s">
        <v>46</v>
      </c>
      <c r="C417" s="28">
        <v>0.45833333333333331</v>
      </c>
      <c r="D417" s="28">
        <v>0.79166666666666663</v>
      </c>
      <c r="E417" s="30">
        <f t="shared" si="6"/>
        <v>7.5</v>
      </c>
      <c r="F417" s="38">
        <v>0.5</v>
      </c>
      <c r="G417" s="11"/>
    </row>
    <row r="418" spans="1:7" x14ac:dyDescent="0.25">
      <c r="A418" s="104">
        <v>45494</v>
      </c>
      <c r="B418" s="11" t="s">
        <v>53</v>
      </c>
      <c r="C418" s="28">
        <v>0.66666666666666663</v>
      </c>
      <c r="D418" s="28">
        <v>0.875</v>
      </c>
      <c r="E418" s="30">
        <f t="shared" si="6"/>
        <v>5.0000000000000009</v>
      </c>
      <c r="F418" s="38"/>
      <c r="G418" s="11"/>
    </row>
    <row r="419" spans="1:7" x14ac:dyDescent="0.25">
      <c r="A419" s="104">
        <v>45494</v>
      </c>
      <c r="B419" s="11" t="s">
        <v>53</v>
      </c>
      <c r="C419" s="28">
        <v>0.33333333333333331</v>
      </c>
      <c r="D419" s="28">
        <v>0.66666666666666663</v>
      </c>
      <c r="E419" s="30">
        <f t="shared" si="6"/>
        <v>7.5</v>
      </c>
      <c r="F419" s="38">
        <v>0.5</v>
      </c>
      <c r="G419" s="11"/>
    </row>
    <row r="420" spans="1:7" x14ac:dyDescent="0.25">
      <c r="A420" s="104">
        <v>45494</v>
      </c>
      <c r="B420" s="11" t="s">
        <v>58</v>
      </c>
      <c r="C420" s="28">
        <v>0.35416666666666669</v>
      </c>
      <c r="D420" s="28">
        <v>0.625</v>
      </c>
      <c r="E420" s="30">
        <f t="shared" si="6"/>
        <v>6</v>
      </c>
      <c r="F420" s="38">
        <v>0.5</v>
      </c>
      <c r="G420" s="11"/>
    </row>
    <row r="421" spans="1:7" x14ac:dyDescent="0.25">
      <c r="A421" s="104">
        <v>45495</v>
      </c>
      <c r="B421" s="11" t="s">
        <v>56</v>
      </c>
      <c r="C421" s="28">
        <v>0.33333333333333331</v>
      </c>
      <c r="D421" s="28">
        <v>0.58333333333333337</v>
      </c>
      <c r="E421" s="30">
        <f t="shared" si="6"/>
        <v>5.5000000000000018</v>
      </c>
      <c r="F421" s="38">
        <v>0.5</v>
      </c>
      <c r="G421" s="11"/>
    </row>
    <row r="422" spans="1:7" x14ac:dyDescent="0.25">
      <c r="A422" s="104">
        <v>45496</v>
      </c>
      <c r="B422" s="11" t="s">
        <v>56</v>
      </c>
      <c r="C422" s="28">
        <v>0.33333333333333331</v>
      </c>
      <c r="D422" s="28">
        <v>0.58333333333333337</v>
      </c>
      <c r="E422" s="30">
        <f t="shared" si="6"/>
        <v>5.5000000000000018</v>
      </c>
      <c r="F422" s="38">
        <v>0.5</v>
      </c>
      <c r="G422" s="11"/>
    </row>
    <row r="423" spans="1:7" x14ac:dyDescent="0.25">
      <c r="A423" s="104">
        <v>45497</v>
      </c>
      <c r="B423" s="11" t="s">
        <v>56</v>
      </c>
      <c r="C423" s="28">
        <v>0.33333333333333331</v>
      </c>
      <c r="D423" s="28">
        <v>0.58333333333333337</v>
      </c>
      <c r="E423" s="30">
        <f t="shared" si="6"/>
        <v>5.5000000000000018</v>
      </c>
      <c r="F423" s="38">
        <v>0.5</v>
      </c>
      <c r="G423" s="11"/>
    </row>
    <row r="424" spans="1:7" x14ac:dyDescent="0.25">
      <c r="A424" s="104">
        <v>45497</v>
      </c>
      <c r="B424" s="11" t="s">
        <v>49</v>
      </c>
      <c r="C424" s="28">
        <v>0.66666666666666663</v>
      </c>
      <c r="D424" s="28">
        <v>0.9375</v>
      </c>
      <c r="E424" s="30">
        <f t="shared" si="6"/>
        <v>6.0000000000000009</v>
      </c>
      <c r="F424" s="38">
        <v>0.5</v>
      </c>
      <c r="G424" s="11"/>
    </row>
    <row r="425" spans="1:7" x14ac:dyDescent="0.25">
      <c r="A425" s="104">
        <v>45498</v>
      </c>
      <c r="B425" s="11" t="s">
        <v>56</v>
      </c>
      <c r="C425" s="28">
        <v>0.33333333333333331</v>
      </c>
      <c r="D425" s="28">
        <v>0.58333333333333337</v>
      </c>
      <c r="E425" s="30">
        <f t="shared" si="6"/>
        <v>5.5000000000000018</v>
      </c>
      <c r="F425" s="38">
        <v>0.5</v>
      </c>
      <c r="G425" s="11"/>
    </row>
    <row r="426" spans="1:7" x14ac:dyDescent="0.25">
      <c r="A426" s="104">
        <v>45498</v>
      </c>
      <c r="B426" s="11" t="s">
        <v>56</v>
      </c>
      <c r="C426" s="28">
        <v>0.75</v>
      </c>
      <c r="D426" s="28">
        <v>0.95833333333333337</v>
      </c>
      <c r="E426" s="30">
        <f t="shared" si="6"/>
        <v>5.0000000000000009</v>
      </c>
      <c r="F426" s="38"/>
      <c r="G426" s="11"/>
    </row>
    <row r="427" spans="1:7" x14ac:dyDescent="0.25">
      <c r="A427" s="104">
        <v>45499</v>
      </c>
      <c r="B427" s="11" t="s">
        <v>56</v>
      </c>
      <c r="C427" s="28">
        <v>0.33333333333333331</v>
      </c>
      <c r="D427" s="28">
        <v>0.58333333333333337</v>
      </c>
      <c r="E427" s="30">
        <f t="shared" si="6"/>
        <v>5.5000000000000018</v>
      </c>
      <c r="F427" s="38">
        <v>0.5</v>
      </c>
      <c r="G427" s="11"/>
    </row>
    <row r="428" spans="1:7" x14ac:dyDescent="0.25">
      <c r="A428" s="104">
        <v>45500</v>
      </c>
      <c r="B428" s="11" t="s">
        <v>49</v>
      </c>
      <c r="C428" s="28">
        <v>0.29166666666666669</v>
      </c>
      <c r="D428" s="28">
        <v>0.64583333333333337</v>
      </c>
      <c r="E428" s="30">
        <f t="shared" si="6"/>
        <v>8</v>
      </c>
      <c r="F428" s="38">
        <v>0.5</v>
      </c>
      <c r="G428" s="11"/>
    </row>
    <row r="429" spans="1:7" x14ac:dyDescent="0.25">
      <c r="A429" s="104">
        <v>45500</v>
      </c>
      <c r="B429" s="11" t="s">
        <v>56</v>
      </c>
      <c r="C429" s="28">
        <v>0.33333333333333331</v>
      </c>
      <c r="D429" s="28">
        <v>0.54166666666666663</v>
      </c>
      <c r="E429" s="30">
        <f t="shared" si="6"/>
        <v>5</v>
      </c>
      <c r="F429" s="38"/>
      <c r="G429" s="11"/>
    </row>
    <row r="430" spans="1:7" x14ac:dyDescent="0.25">
      <c r="A430" s="104">
        <v>45500</v>
      </c>
      <c r="B430" s="11" t="s">
        <v>46</v>
      </c>
      <c r="C430" s="28">
        <v>0.54166666666666663</v>
      </c>
      <c r="D430" s="28">
        <v>0.75</v>
      </c>
      <c r="E430" s="30">
        <f t="shared" si="6"/>
        <v>4.5000000000000009</v>
      </c>
      <c r="F430" s="38">
        <v>0.5</v>
      </c>
      <c r="G430" s="11"/>
    </row>
    <row r="431" spans="1:7" x14ac:dyDescent="0.25">
      <c r="A431" s="104">
        <v>45500</v>
      </c>
      <c r="B431" s="11" t="s">
        <v>58</v>
      </c>
      <c r="C431" s="28">
        <v>0.64583333333333337</v>
      </c>
      <c r="D431" s="28">
        <v>0.89583333333333337</v>
      </c>
      <c r="E431" s="30">
        <f t="shared" si="6"/>
        <v>5.5</v>
      </c>
      <c r="F431" s="38">
        <v>0.5</v>
      </c>
      <c r="G431" s="11"/>
    </row>
    <row r="432" spans="1:7" x14ac:dyDescent="0.25">
      <c r="A432" s="104">
        <v>45501</v>
      </c>
      <c r="B432" s="11" t="s">
        <v>53</v>
      </c>
      <c r="C432" s="28">
        <v>0.41666666666666669</v>
      </c>
      <c r="D432" s="28">
        <v>0.625</v>
      </c>
      <c r="E432" s="30">
        <f t="shared" si="6"/>
        <v>5</v>
      </c>
      <c r="F432" s="38"/>
      <c r="G432" s="11"/>
    </row>
    <row r="433" spans="1:7" x14ac:dyDescent="0.25">
      <c r="A433" s="104">
        <v>45502</v>
      </c>
      <c r="B433" s="11" t="s">
        <v>58</v>
      </c>
      <c r="C433" s="28">
        <v>0.6875</v>
      </c>
      <c r="D433" s="28">
        <v>0.89583333333333337</v>
      </c>
      <c r="E433" s="30">
        <f t="shared" si="6"/>
        <v>5.0000000000000009</v>
      </c>
      <c r="F433" s="38"/>
      <c r="G433" s="11"/>
    </row>
    <row r="434" spans="1:7" x14ac:dyDescent="0.25">
      <c r="A434" s="104">
        <v>45502</v>
      </c>
      <c r="B434" s="11" t="s">
        <v>56</v>
      </c>
      <c r="C434" s="28">
        <v>0.33333333333333331</v>
      </c>
      <c r="D434" s="28">
        <v>0.58333333333333337</v>
      </c>
      <c r="E434" s="30">
        <f t="shared" si="6"/>
        <v>5.5000000000000018</v>
      </c>
      <c r="F434" s="38">
        <v>0.5</v>
      </c>
      <c r="G434" s="11"/>
    </row>
    <row r="435" spans="1:7" x14ac:dyDescent="0.25">
      <c r="A435" s="104">
        <v>45503</v>
      </c>
      <c r="B435" s="11" t="s">
        <v>56</v>
      </c>
      <c r="C435" s="28">
        <v>0.33333333333333331</v>
      </c>
      <c r="D435" s="28">
        <v>0.58333333333333337</v>
      </c>
      <c r="E435" s="30">
        <f t="shared" si="6"/>
        <v>5.5000000000000018</v>
      </c>
      <c r="F435" s="38">
        <v>0.5</v>
      </c>
      <c r="G435" s="11"/>
    </row>
    <row r="436" spans="1:7" x14ac:dyDescent="0.25">
      <c r="A436" s="104">
        <v>45504</v>
      </c>
      <c r="B436" s="11" t="s">
        <v>56</v>
      </c>
      <c r="C436" s="28">
        <v>0.33333333333333331</v>
      </c>
      <c r="D436" s="28">
        <v>0.58333333333333337</v>
      </c>
      <c r="E436" s="30">
        <f t="shared" si="6"/>
        <v>5.5000000000000018</v>
      </c>
      <c r="F436" s="38">
        <v>0.5</v>
      </c>
      <c r="G436" s="11"/>
    </row>
    <row r="437" spans="1:7" x14ac:dyDescent="0.25">
      <c r="A437" s="104">
        <v>45504</v>
      </c>
      <c r="B437" s="11" t="s">
        <v>56</v>
      </c>
      <c r="C437" s="28">
        <v>0.66666666666666663</v>
      </c>
      <c r="D437" s="28">
        <v>0.91666666666666663</v>
      </c>
      <c r="E437" s="30">
        <f t="shared" si="6"/>
        <v>5.5</v>
      </c>
      <c r="F437" s="38">
        <v>0.5</v>
      </c>
      <c r="G437" s="11"/>
    </row>
    <row r="438" spans="1:7" x14ac:dyDescent="0.25">
      <c r="A438" s="107">
        <v>45505</v>
      </c>
      <c r="B438" s="11" t="s">
        <v>56</v>
      </c>
      <c r="C438" s="161">
        <v>0.33333333333333331</v>
      </c>
      <c r="D438" s="161">
        <v>0.58333333333333337</v>
      </c>
      <c r="E438" s="34">
        <f t="shared" si="6"/>
        <v>5.5000000000000018</v>
      </c>
      <c r="F438" s="41">
        <v>0.5</v>
      </c>
      <c r="G438" s="12">
        <f>SUM(E:E)</f>
        <v>5521</v>
      </c>
    </row>
    <row r="439" spans="1:7" x14ac:dyDescent="0.25">
      <c r="A439" s="104">
        <v>45505</v>
      </c>
      <c r="B439" s="11" t="s">
        <v>56</v>
      </c>
      <c r="C439" s="28">
        <v>0.75</v>
      </c>
      <c r="D439" s="28">
        <v>0.95833333333333337</v>
      </c>
      <c r="E439" s="30">
        <f t="shared" si="6"/>
        <v>5.0000000000000009</v>
      </c>
      <c r="F439" s="38"/>
      <c r="G439" s="11"/>
    </row>
    <row r="440" spans="1:7" x14ac:dyDescent="0.25">
      <c r="A440" s="104">
        <v>45506</v>
      </c>
      <c r="B440" s="11" t="s">
        <v>56</v>
      </c>
      <c r="C440" s="28">
        <v>0.33333333333333331</v>
      </c>
      <c r="D440" s="28">
        <v>0.58333333333333337</v>
      </c>
      <c r="E440" s="30">
        <f t="shared" ref="E440:E501" si="7">MOD((D440-C440),1) *24 - F440</f>
        <v>5.5000000000000018</v>
      </c>
      <c r="F440" s="38">
        <v>0.5</v>
      </c>
      <c r="G440" s="11"/>
    </row>
    <row r="441" spans="1:7" x14ac:dyDescent="0.25">
      <c r="A441" s="104">
        <v>45507</v>
      </c>
      <c r="B441" s="11" t="s">
        <v>49</v>
      </c>
      <c r="C441" s="28">
        <v>0.3125</v>
      </c>
      <c r="D441" s="28">
        <v>0.41666666666666669</v>
      </c>
      <c r="E441" s="30">
        <f t="shared" si="7"/>
        <v>2.5000000000000004</v>
      </c>
      <c r="F441" s="38"/>
      <c r="G441" s="11"/>
    </row>
    <row r="442" spans="1:7" x14ac:dyDescent="0.25">
      <c r="A442" s="104">
        <v>45507</v>
      </c>
      <c r="B442" s="11" t="s">
        <v>56</v>
      </c>
      <c r="C442" s="28">
        <v>0.33333333333333331</v>
      </c>
      <c r="D442" s="28">
        <v>0.54166666666666663</v>
      </c>
      <c r="E442" s="30">
        <f t="shared" si="7"/>
        <v>5</v>
      </c>
      <c r="F442" s="38"/>
      <c r="G442" s="11"/>
    </row>
    <row r="443" spans="1:7" x14ac:dyDescent="0.25">
      <c r="A443" s="104">
        <v>45507</v>
      </c>
      <c r="B443" s="11" t="s">
        <v>46</v>
      </c>
      <c r="C443" s="28">
        <v>0.625</v>
      </c>
      <c r="D443" s="28">
        <v>0.83333333333333337</v>
      </c>
      <c r="E443" s="30">
        <f t="shared" si="7"/>
        <v>5.0000000000000009</v>
      </c>
      <c r="F443" s="38"/>
      <c r="G443" s="11"/>
    </row>
    <row r="444" spans="1:7" x14ac:dyDescent="0.25">
      <c r="A444" s="104">
        <v>45509</v>
      </c>
      <c r="B444" s="11" t="s">
        <v>49</v>
      </c>
      <c r="C444" s="28">
        <v>0.375</v>
      </c>
      <c r="D444" s="28">
        <v>0.625</v>
      </c>
      <c r="E444" s="30">
        <f t="shared" si="7"/>
        <v>5.5</v>
      </c>
      <c r="F444" s="38">
        <v>0.5</v>
      </c>
      <c r="G444" s="11"/>
    </row>
    <row r="445" spans="1:7" x14ac:dyDescent="0.25">
      <c r="A445" s="104">
        <v>45509</v>
      </c>
      <c r="B445" s="11" t="s">
        <v>56</v>
      </c>
      <c r="C445" s="28">
        <v>0.33333333333333331</v>
      </c>
      <c r="D445" s="28">
        <v>0.58333333333333337</v>
      </c>
      <c r="E445" s="30">
        <f t="shared" si="7"/>
        <v>5.5000000000000018</v>
      </c>
      <c r="F445" s="38">
        <v>0.5</v>
      </c>
      <c r="G445" s="11"/>
    </row>
    <row r="446" spans="1:7" x14ac:dyDescent="0.25">
      <c r="A446" s="104">
        <v>45510</v>
      </c>
      <c r="B446" s="11" t="s">
        <v>56</v>
      </c>
      <c r="C446" s="28">
        <v>0.33333333333333331</v>
      </c>
      <c r="D446" s="28">
        <v>0.58333333333333337</v>
      </c>
      <c r="E446" s="30">
        <f t="shared" si="7"/>
        <v>5.5000000000000018</v>
      </c>
      <c r="F446" s="38">
        <v>0.5</v>
      </c>
      <c r="G446" s="11"/>
    </row>
    <row r="447" spans="1:7" x14ac:dyDescent="0.25">
      <c r="A447" s="104">
        <v>45511</v>
      </c>
      <c r="B447" s="11" t="s">
        <v>56</v>
      </c>
      <c r="C447" s="28">
        <v>0.33333333333333331</v>
      </c>
      <c r="D447" s="28">
        <v>0.58333333333333337</v>
      </c>
      <c r="E447" s="30">
        <f t="shared" si="7"/>
        <v>5.5000000000000018</v>
      </c>
      <c r="F447" s="38">
        <v>0.5</v>
      </c>
      <c r="G447" s="11"/>
    </row>
    <row r="448" spans="1:7" x14ac:dyDescent="0.25">
      <c r="A448" s="104">
        <v>45511</v>
      </c>
      <c r="B448" s="11" t="s">
        <v>49</v>
      </c>
      <c r="C448" s="28">
        <v>0.75</v>
      </c>
      <c r="D448" s="28">
        <v>0.91666666666666663</v>
      </c>
      <c r="E448" s="30">
        <f t="shared" si="7"/>
        <v>3.9999999999999991</v>
      </c>
      <c r="F448" s="38"/>
      <c r="G448" s="11"/>
    </row>
    <row r="449" spans="1:7" x14ac:dyDescent="0.25">
      <c r="A449" s="104">
        <v>45511</v>
      </c>
      <c r="B449" s="11" t="s">
        <v>56</v>
      </c>
      <c r="C449" s="28">
        <v>0.66666666666666663</v>
      </c>
      <c r="D449" s="28">
        <v>0.875</v>
      </c>
      <c r="E449" s="30">
        <f t="shared" si="7"/>
        <v>5.0000000000000009</v>
      </c>
      <c r="F449" s="38"/>
      <c r="G449" s="11"/>
    </row>
    <row r="450" spans="1:7" x14ac:dyDescent="0.25">
      <c r="A450" s="104">
        <v>45512</v>
      </c>
      <c r="B450" s="11" t="s">
        <v>56</v>
      </c>
      <c r="C450" s="28">
        <v>0.33333333333333331</v>
      </c>
      <c r="D450" s="28">
        <v>0.58333333333333337</v>
      </c>
      <c r="E450" s="30">
        <f t="shared" si="7"/>
        <v>5.5000000000000018</v>
      </c>
      <c r="F450" s="38">
        <v>0.5</v>
      </c>
      <c r="G450" s="11"/>
    </row>
    <row r="451" spans="1:7" x14ac:dyDescent="0.25">
      <c r="A451" s="104">
        <v>45512</v>
      </c>
      <c r="B451" s="11" t="s">
        <v>53</v>
      </c>
      <c r="C451" s="28">
        <v>0.66666666666666663</v>
      </c>
      <c r="D451" s="28">
        <v>0.91666666666666663</v>
      </c>
      <c r="E451" s="30">
        <f t="shared" si="7"/>
        <v>5.5</v>
      </c>
      <c r="F451" s="38">
        <v>0.5</v>
      </c>
      <c r="G451" s="11"/>
    </row>
    <row r="452" spans="1:7" x14ac:dyDescent="0.25">
      <c r="A452" s="104">
        <v>45513</v>
      </c>
      <c r="B452" s="11" t="s">
        <v>56</v>
      </c>
      <c r="C452" s="28">
        <v>0.375</v>
      </c>
      <c r="D452" s="28">
        <v>0.58333333333333337</v>
      </c>
      <c r="E452" s="30">
        <f t="shared" si="7"/>
        <v>5.0000000000000009</v>
      </c>
      <c r="F452" s="38"/>
      <c r="G452" s="11"/>
    </row>
    <row r="453" spans="1:7" x14ac:dyDescent="0.25">
      <c r="A453" s="104">
        <v>45513</v>
      </c>
      <c r="B453" s="11" t="s">
        <v>53</v>
      </c>
      <c r="C453" s="28">
        <v>0.66666666666666663</v>
      </c>
      <c r="D453" s="28">
        <v>0.95833333333333337</v>
      </c>
      <c r="E453" s="30">
        <f t="shared" si="7"/>
        <v>6.5000000000000018</v>
      </c>
      <c r="F453" s="38">
        <v>0.5</v>
      </c>
      <c r="G453" s="11"/>
    </row>
    <row r="454" spans="1:7" x14ac:dyDescent="0.25">
      <c r="A454" s="104">
        <v>45514</v>
      </c>
      <c r="B454" s="11" t="s">
        <v>56</v>
      </c>
      <c r="C454" s="28">
        <v>0.33333333333333331</v>
      </c>
      <c r="D454" s="28">
        <v>0.54166666666666663</v>
      </c>
      <c r="E454" s="30">
        <f t="shared" si="7"/>
        <v>5</v>
      </c>
      <c r="F454" s="38"/>
      <c r="G454" s="11"/>
    </row>
    <row r="455" spans="1:7" x14ac:dyDescent="0.25">
      <c r="A455" s="104">
        <v>45514</v>
      </c>
      <c r="B455" s="11" t="s">
        <v>58</v>
      </c>
      <c r="C455" s="28">
        <v>0.77083333333333337</v>
      </c>
      <c r="D455" s="28">
        <v>4.1666666666666664E-2</v>
      </c>
      <c r="E455" s="30">
        <f t="shared" si="7"/>
        <v>5.9999999999999982</v>
      </c>
      <c r="F455" s="38">
        <v>0.5</v>
      </c>
      <c r="G455" s="11"/>
    </row>
    <row r="456" spans="1:7" x14ac:dyDescent="0.25">
      <c r="A456" s="104">
        <v>45514</v>
      </c>
      <c r="B456" s="11" t="s">
        <v>49</v>
      </c>
      <c r="C456" s="28">
        <v>0.27083333333333331</v>
      </c>
      <c r="D456" s="28">
        <v>0.52083333333333337</v>
      </c>
      <c r="E456" s="30">
        <f t="shared" si="7"/>
        <v>5.5000000000000018</v>
      </c>
      <c r="F456" s="38">
        <v>0.5</v>
      </c>
      <c r="G456" s="11"/>
    </row>
    <row r="457" spans="1:7" x14ac:dyDescent="0.25">
      <c r="A457" s="104">
        <v>45514</v>
      </c>
      <c r="B457" s="11" t="s">
        <v>46</v>
      </c>
      <c r="C457" s="28">
        <v>0.47916666666666669</v>
      </c>
      <c r="D457" s="28">
        <v>0.77083333333333337</v>
      </c>
      <c r="E457" s="30">
        <f t="shared" si="7"/>
        <v>6.5</v>
      </c>
      <c r="F457" s="38">
        <v>0.5</v>
      </c>
      <c r="G457" s="11"/>
    </row>
    <row r="458" spans="1:7" x14ac:dyDescent="0.25">
      <c r="A458" s="104">
        <v>45514</v>
      </c>
      <c r="B458" s="11" t="s">
        <v>58</v>
      </c>
      <c r="C458" s="28">
        <v>0.54166666666666663</v>
      </c>
      <c r="D458" s="28">
        <v>0.77083333333333337</v>
      </c>
      <c r="E458" s="30">
        <f t="shared" si="7"/>
        <v>5.0000000000000018</v>
      </c>
      <c r="F458" s="38">
        <v>0.5</v>
      </c>
      <c r="G458" s="11"/>
    </row>
    <row r="459" spans="1:7" x14ac:dyDescent="0.25">
      <c r="A459" s="104">
        <v>45516</v>
      </c>
      <c r="B459" s="11" t="s">
        <v>56</v>
      </c>
      <c r="C459" s="28">
        <v>0.33333333333333331</v>
      </c>
      <c r="D459" s="28">
        <v>0.58333333333333337</v>
      </c>
      <c r="E459" s="30">
        <f t="shared" si="7"/>
        <v>5.5000000000000018</v>
      </c>
      <c r="F459" s="38">
        <v>0.5</v>
      </c>
      <c r="G459" s="11"/>
    </row>
    <row r="460" spans="1:7" x14ac:dyDescent="0.25">
      <c r="A460" s="104">
        <v>45517</v>
      </c>
      <c r="B460" s="11" t="s">
        <v>56</v>
      </c>
      <c r="C460" s="28">
        <v>0.33333333333333331</v>
      </c>
      <c r="D460" s="28">
        <v>0.58333333333333337</v>
      </c>
      <c r="E460" s="30">
        <f t="shared" si="7"/>
        <v>5.5000000000000018</v>
      </c>
      <c r="F460" s="38">
        <v>0.5</v>
      </c>
      <c r="G460" s="11"/>
    </row>
    <row r="461" spans="1:7" x14ac:dyDescent="0.25">
      <c r="A461" s="104">
        <v>45518</v>
      </c>
      <c r="B461" s="11" t="s">
        <v>56</v>
      </c>
      <c r="C461" s="28">
        <v>0.33333333333333331</v>
      </c>
      <c r="D461" s="28">
        <v>0.58333333333333337</v>
      </c>
      <c r="E461" s="30">
        <f t="shared" si="7"/>
        <v>5.5000000000000018</v>
      </c>
      <c r="F461" s="38">
        <v>0.5</v>
      </c>
      <c r="G461" s="11"/>
    </row>
    <row r="462" spans="1:7" x14ac:dyDescent="0.25">
      <c r="A462" s="104">
        <v>45518</v>
      </c>
      <c r="B462" s="11" t="s">
        <v>49</v>
      </c>
      <c r="C462" s="28">
        <v>0.66666666666666663</v>
      </c>
      <c r="D462" s="28">
        <v>0.89583333333333337</v>
      </c>
      <c r="E462" s="30">
        <f t="shared" si="7"/>
        <v>5.0000000000000018</v>
      </c>
      <c r="F462" s="38">
        <v>0.5</v>
      </c>
      <c r="G462" s="11"/>
    </row>
    <row r="463" spans="1:7" x14ac:dyDescent="0.25">
      <c r="A463" s="104">
        <v>45519</v>
      </c>
      <c r="B463" s="11" t="s">
        <v>56</v>
      </c>
      <c r="C463" s="28">
        <v>0.77083333333333337</v>
      </c>
      <c r="D463" s="28">
        <v>0.95833333333333337</v>
      </c>
      <c r="E463" s="30">
        <f t="shared" si="7"/>
        <v>4.5</v>
      </c>
      <c r="F463" s="38"/>
      <c r="G463" s="11"/>
    </row>
    <row r="464" spans="1:7" x14ac:dyDescent="0.25">
      <c r="A464" s="104">
        <v>45519</v>
      </c>
      <c r="B464" s="11" t="s">
        <v>56</v>
      </c>
      <c r="C464" s="28">
        <v>0.33333333333333331</v>
      </c>
      <c r="D464" s="28">
        <v>0.58333333333333337</v>
      </c>
      <c r="E464" s="30">
        <f t="shared" si="7"/>
        <v>5.5000000000000018</v>
      </c>
      <c r="F464" s="38">
        <v>0.5</v>
      </c>
      <c r="G464" s="11"/>
    </row>
    <row r="465" spans="1:7" x14ac:dyDescent="0.25">
      <c r="A465" s="104">
        <v>45520</v>
      </c>
      <c r="B465" s="11" t="s">
        <v>53</v>
      </c>
      <c r="C465" s="28">
        <v>0.6875</v>
      </c>
      <c r="D465" s="28">
        <v>0.95833333333333337</v>
      </c>
      <c r="E465" s="30">
        <f t="shared" si="7"/>
        <v>6.0000000000000009</v>
      </c>
      <c r="F465" s="38">
        <v>0.5</v>
      </c>
      <c r="G465" s="11"/>
    </row>
    <row r="466" spans="1:7" x14ac:dyDescent="0.25">
      <c r="A466" s="104">
        <v>45520</v>
      </c>
      <c r="B466" s="11" t="s">
        <v>44</v>
      </c>
      <c r="C466" s="28">
        <v>0.33333333333333331</v>
      </c>
      <c r="D466" s="28">
        <v>0.66666666666666663</v>
      </c>
      <c r="E466" s="30">
        <f t="shared" si="7"/>
        <v>7.5</v>
      </c>
      <c r="F466" s="38">
        <v>0.5</v>
      </c>
      <c r="G466" s="11"/>
    </row>
    <row r="467" spans="1:7" x14ac:dyDescent="0.25">
      <c r="A467" s="104">
        <v>45520</v>
      </c>
      <c r="B467" s="11" t="s">
        <v>56</v>
      </c>
      <c r="C467" s="28">
        <v>0.33333333333333331</v>
      </c>
      <c r="D467" s="28">
        <v>0.58333333333333337</v>
      </c>
      <c r="E467" s="30">
        <f t="shared" si="7"/>
        <v>5.5000000000000018</v>
      </c>
      <c r="F467" s="38">
        <v>0.5</v>
      </c>
      <c r="G467" s="11"/>
    </row>
    <row r="468" spans="1:7" x14ac:dyDescent="0.25">
      <c r="A468" s="104">
        <v>45521</v>
      </c>
      <c r="B468" s="11" t="s">
        <v>48</v>
      </c>
      <c r="C468" s="28">
        <v>0.41666666666666669</v>
      </c>
      <c r="D468" s="28">
        <v>0.70833333333333337</v>
      </c>
      <c r="E468" s="30">
        <f t="shared" si="7"/>
        <v>6.5</v>
      </c>
      <c r="F468" s="38">
        <v>0.5</v>
      </c>
      <c r="G468" s="11"/>
    </row>
    <row r="469" spans="1:7" x14ac:dyDescent="0.25">
      <c r="A469" s="104">
        <v>45521</v>
      </c>
      <c r="B469" s="11" t="s">
        <v>49</v>
      </c>
      <c r="C469" s="28">
        <v>0.27083333333333331</v>
      </c>
      <c r="D469" s="28">
        <v>0.52083333333333337</v>
      </c>
      <c r="E469" s="30">
        <f t="shared" si="7"/>
        <v>5.5000000000000018</v>
      </c>
      <c r="F469" s="38">
        <v>0.5</v>
      </c>
      <c r="G469" s="11"/>
    </row>
    <row r="470" spans="1:7" x14ac:dyDescent="0.25">
      <c r="A470" s="104">
        <v>45521</v>
      </c>
      <c r="B470" s="11" t="s">
        <v>56</v>
      </c>
      <c r="C470" s="28">
        <v>0.33333333333333331</v>
      </c>
      <c r="D470" s="28">
        <v>0.52083333333333337</v>
      </c>
      <c r="E470" s="30">
        <f t="shared" si="7"/>
        <v>4.5000000000000018</v>
      </c>
      <c r="F470" s="38"/>
      <c r="G470" s="11"/>
    </row>
    <row r="471" spans="1:7" x14ac:dyDescent="0.25">
      <c r="A471" s="104">
        <v>45521</v>
      </c>
      <c r="B471" s="11" t="s">
        <v>58</v>
      </c>
      <c r="C471" s="28">
        <v>0.52083333333333337</v>
      </c>
      <c r="D471" s="28">
        <v>0.8125</v>
      </c>
      <c r="E471" s="30">
        <f t="shared" si="7"/>
        <v>6.4999999999999991</v>
      </c>
      <c r="F471" s="38">
        <v>0.5</v>
      </c>
      <c r="G471" s="11"/>
    </row>
    <row r="472" spans="1:7" x14ac:dyDescent="0.25">
      <c r="A472" s="104">
        <v>45521</v>
      </c>
      <c r="B472" s="11" t="s">
        <v>46</v>
      </c>
      <c r="C472" s="28">
        <v>0.5</v>
      </c>
      <c r="D472" s="28">
        <v>0.79166666666666663</v>
      </c>
      <c r="E472" s="30">
        <f t="shared" si="7"/>
        <v>6.4999999999999991</v>
      </c>
      <c r="F472" s="38">
        <v>0.5</v>
      </c>
      <c r="G472" s="11"/>
    </row>
    <row r="473" spans="1:7" x14ac:dyDescent="0.25">
      <c r="A473" s="104">
        <v>45522</v>
      </c>
      <c r="B473" s="11" t="s">
        <v>58</v>
      </c>
      <c r="C473" s="28">
        <v>0.39583333333333331</v>
      </c>
      <c r="D473" s="28">
        <v>0.6875</v>
      </c>
      <c r="E473" s="30">
        <f t="shared" si="7"/>
        <v>6.5</v>
      </c>
      <c r="F473" s="38">
        <v>0.5</v>
      </c>
      <c r="G473" s="11"/>
    </row>
    <row r="474" spans="1:7" x14ac:dyDescent="0.25">
      <c r="A474" s="104">
        <v>45522</v>
      </c>
      <c r="B474" s="11" t="s">
        <v>48</v>
      </c>
      <c r="C474" s="28">
        <v>0.41666666666666669</v>
      </c>
      <c r="D474" s="28">
        <v>0.6875</v>
      </c>
      <c r="E474" s="30">
        <f t="shared" si="7"/>
        <v>6</v>
      </c>
      <c r="F474" s="38">
        <v>0.5</v>
      </c>
      <c r="G474" s="11"/>
    </row>
    <row r="475" spans="1:7" x14ac:dyDescent="0.25">
      <c r="A475" s="104">
        <v>45522</v>
      </c>
      <c r="B475" s="11" t="s">
        <v>53</v>
      </c>
      <c r="C475" s="28">
        <v>0.54166666666666663</v>
      </c>
      <c r="D475" s="28">
        <v>0.79166666666666663</v>
      </c>
      <c r="E475" s="30">
        <f t="shared" si="7"/>
        <v>5.5</v>
      </c>
      <c r="F475" s="38">
        <v>0.5</v>
      </c>
      <c r="G475" s="11"/>
    </row>
    <row r="476" spans="1:7" x14ac:dyDescent="0.25">
      <c r="A476" s="104">
        <v>45522</v>
      </c>
      <c r="B476" s="11" t="s">
        <v>53</v>
      </c>
      <c r="C476" s="28">
        <v>0.33333333333333331</v>
      </c>
      <c r="D476" s="28">
        <v>0.54166666666666663</v>
      </c>
      <c r="E476" s="30">
        <f t="shared" si="7"/>
        <v>5</v>
      </c>
      <c r="F476" s="38"/>
      <c r="G476" s="11"/>
    </row>
    <row r="477" spans="1:7" x14ac:dyDescent="0.25">
      <c r="A477" s="104">
        <v>45523</v>
      </c>
      <c r="B477" s="11" t="s">
        <v>56</v>
      </c>
      <c r="C477" s="28">
        <v>0.33333333333333331</v>
      </c>
      <c r="D477" s="28">
        <v>0.58333333333333337</v>
      </c>
      <c r="E477" s="30">
        <f t="shared" si="7"/>
        <v>5.5000000000000018</v>
      </c>
      <c r="F477" s="38">
        <v>0.5</v>
      </c>
      <c r="G477" s="11"/>
    </row>
    <row r="478" spans="1:7" x14ac:dyDescent="0.25">
      <c r="A478" s="104">
        <v>45524</v>
      </c>
      <c r="B478" s="11" t="s">
        <v>56</v>
      </c>
      <c r="C478" s="28">
        <v>0.33333333333333331</v>
      </c>
      <c r="D478" s="28">
        <v>0.58333333333333337</v>
      </c>
      <c r="E478" s="30">
        <f t="shared" si="7"/>
        <v>5.5000000000000018</v>
      </c>
      <c r="F478" s="38">
        <v>0.5</v>
      </c>
      <c r="G478" s="11"/>
    </row>
    <row r="479" spans="1:7" x14ac:dyDescent="0.25">
      <c r="A479" s="104">
        <v>45524</v>
      </c>
      <c r="B479" s="11" t="s">
        <v>51</v>
      </c>
      <c r="C479" s="28">
        <v>0.58333333333333337</v>
      </c>
      <c r="D479" s="28">
        <v>0.83333333333333337</v>
      </c>
      <c r="E479" s="30">
        <f t="shared" si="7"/>
        <v>5.5</v>
      </c>
      <c r="F479" s="38">
        <v>0.5</v>
      </c>
      <c r="G479" s="11"/>
    </row>
    <row r="480" spans="1:7" x14ac:dyDescent="0.25">
      <c r="A480" s="104">
        <v>45524</v>
      </c>
      <c r="B480" s="11" t="s">
        <v>51</v>
      </c>
      <c r="C480" s="28">
        <v>0.83333333333333337</v>
      </c>
      <c r="D480" s="28">
        <v>0</v>
      </c>
      <c r="E480" s="30">
        <f t="shared" si="7"/>
        <v>3.9999999999999991</v>
      </c>
      <c r="F480" s="38"/>
      <c r="G480" s="11"/>
    </row>
    <row r="481" spans="1:7" x14ac:dyDescent="0.25">
      <c r="A481" s="104">
        <v>45525</v>
      </c>
      <c r="B481" s="11" t="s">
        <v>56</v>
      </c>
      <c r="C481" s="28">
        <v>0.33333333333333331</v>
      </c>
      <c r="D481" s="28">
        <v>0.58333333333333337</v>
      </c>
      <c r="E481" s="30">
        <f t="shared" si="7"/>
        <v>5.5000000000000018</v>
      </c>
      <c r="F481" s="38">
        <v>0.5</v>
      </c>
      <c r="G481" s="11"/>
    </row>
    <row r="482" spans="1:7" x14ac:dyDescent="0.25">
      <c r="A482" s="104">
        <v>45525</v>
      </c>
      <c r="B482" s="11" t="s">
        <v>49</v>
      </c>
      <c r="C482" s="28">
        <v>0.66666666666666663</v>
      </c>
      <c r="D482" s="28">
        <v>0.89583333333333337</v>
      </c>
      <c r="E482" s="30">
        <f t="shared" si="7"/>
        <v>5.0000000000000018</v>
      </c>
      <c r="F482" s="38">
        <v>0.5</v>
      </c>
      <c r="G482" s="11"/>
    </row>
    <row r="483" spans="1:7" x14ac:dyDescent="0.25">
      <c r="A483" s="104">
        <v>45526</v>
      </c>
      <c r="B483" s="11" t="s">
        <v>53</v>
      </c>
      <c r="C483" s="28">
        <v>0.54166666666666663</v>
      </c>
      <c r="D483" s="28">
        <v>0.77083333333333337</v>
      </c>
      <c r="E483" s="30">
        <f t="shared" si="7"/>
        <v>5.0000000000000018</v>
      </c>
      <c r="F483" s="38">
        <v>0.5</v>
      </c>
      <c r="G483" s="11"/>
    </row>
    <row r="484" spans="1:7" x14ac:dyDescent="0.25">
      <c r="A484" s="104">
        <v>45526</v>
      </c>
      <c r="B484" s="11" t="s">
        <v>53</v>
      </c>
      <c r="C484" s="28">
        <v>0.77083333333333337</v>
      </c>
      <c r="D484" s="28">
        <v>0.97916666666666663</v>
      </c>
      <c r="E484" s="30">
        <f t="shared" si="7"/>
        <v>4.9999999999999982</v>
      </c>
      <c r="F484" s="38"/>
      <c r="G484" s="11"/>
    </row>
    <row r="485" spans="1:7" x14ac:dyDescent="0.25">
      <c r="A485" s="104">
        <v>45526</v>
      </c>
      <c r="B485" s="11" t="s">
        <v>56</v>
      </c>
      <c r="C485" s="28">
        <v>0.33333333333333331</v>
      </c>
      <c r="D485" s="28">
        <v>0.58333333333333337</v>
      </c>
      <c r="E485" s="30">
        <f t="shared" si="7"/>
        <v>5.5000000000000018</v>
      </c>
      <c r="F485" s="38">
        <v>0.5</v>
      </c>
      <c r="G485" s="11"/>
    </row>
    <row r="486" spans="1:7" x14ac:dyDescent="0.25">
      <c r="A486" s="104">
        <v>45526</v>
      </c>
      <c r="B486" s="11" t="s">
        <v>56</v>
      </c>
      <c r="C486" s="28">
        <v>0.70833333333333337</v>
      </c>
      <c r="D486" s="28">
        <v>0.95833333333333337</v>
      </c>
      <c r="E486" s="30">
        <f t="shared" si="7"/>
        <v>5.5</v>
      </c>
      <c r="F486" s="38">
        <v>0.5</v>
      </c>
      <c r="G486" s="11"/>
    </row>
    <row r="487" spans="1:7" x14ac:dyDescent="0.25">
      <c r="A487" s="104">
        <v>45527</v>
      </c>
      <c r="B487" s="11" t="s">
        <v>56</v>
      </c>
      <c r="C487" s="28">
        <v>0.33333333333333331</v>
      </c>
      <c r="D487" s="28">
        <v>0.58333333333333337</v>
      </c>
      <c r="E487" s="30">
        <f t="shared" si="7"/>
        <v>5.5000000000000018</v>
      </c>
      <c r="F487" s="38">
        <v>0.5</v>
      </c>
      <c r="G487" s="11"/>
    </row>
    <row r="488" spans="1:7" x14ac:dyDescent="0.25">
      <c r="A488" s="104">
        <v>45528</v>
      </c>
      <c r="B488" s="11" t="s">
        <v>49</v>
      </c>
      <c r="C488" s="28">
        <v>0.27083333333333331</v>
      </c>
      <c r="D488" s="28">
        <v>0.52083333333333337</v>
      </c>
      <c r="E488" s="30">
        <f t="shared" si="7"/>
        <v>5.5000000000000018</v>
      </c>
      <c r="F488" s="38">
        <v>0.5</v>
      </c>
      <c r="G488" s="11"/>
    </row>
    <row r="489" spans="1:7" x14ac:dyDescent="0.25">
      <c r="A489" s="104">
        <v>45528</v>
      </c>
      <c r="B489" s="11" t="s">
        <v>53</v>
      </c>
      <c r="C489" s="28">
        <v>0.5625</v>
      </c>
      <c r="D489" s="28">
        <v>0.8125</v>
      </c>
      <c r="E489" s="30">
        <f t="shared" si="7"/>
        <v>5.5</v>
      </c>
      <c r="F489" s="38">
        <v>0.5</v>
      </c>
      <c r="G489" s="11"/>
    </row>
    <row r="490" spans="1:7" x14ac:dyDescent="0.25">
      <c r="A490" s="104">
        <v>45528</v>
      </c>
      <c r="B490" s="11" t="s">
        <v>56</v>
      </c>
      <c r="C490" s="28">
        <v>0.33333333333333331</v>
      </c>
      <c r="D490" s="28">
        <v>0.625</v>
      </c>
      <c r="E490" s="30">
        <f t="shared" si="7"/>
        <v>6.5</v>
      </c>
      <c r="F490" s="38">
        <v>0.5</v>
      </c>
      <c r="G490" s="11"/>
    </row>
    <row r="491" spans="1:7" x14ac:dyDescent="0.25">
      <c r="A491" s="104">
        <v>45529</v>
      </c>
      <c r="B491" s="11" t="s">
        <v>56</v>
      </c>
      <c r="C491" s="28">
        <v>0.5625</v>
      </c>
      <c r="D491" s="28">
        <v>0.79166666666666663</v>
      </c>
      <c r="E491" s="30">
        <f t="shared" si="7"/>
        <v>4.9999999999999991</v>
      </c>
      <c r="F491" s="38">
        <v>0.5</v>
      </c>
      <c r="G491" s="11"/>
    </row>
    <row r="492" spans="1:7" x14ac:dyDescent="0.25">
      <c r="A492" s="104">
        <v>45529</v>
      </c>
      <c r="B492" s="11" t="s">
        <v>58</v>
      </c>
      <c r="C492" s="28">
        <v>0.33333333333333331</v>
      </c>
      <c r="D492" s="28">
        <v>0.5625</v>
      </c>
      <c r="E492" s="30">
        <f t="shared" si="7"/>
        <v>5</v>
      </c>
      <c r="F492" s="38">
        <v>0.5</v>
      </c>
      <c r="G492" s="11"/>
    </row>
    <row r="493" spans="1:7" x14ac:dyDescent="0.25">
      <c r="A493" s="104">
        <v>45529</v>
      </c>
      <c r="B493" s="11" t="s">
        <v>58</v>
      </c>
      <c r="C493" s="28">
        <v>0.79166666666666663</v>
      </c>
      <c r="D493" s="28">
        <v>0</v>
      </c>
      <c r="E493" s="30">
        <f t="shared" si="7"/>
        <v>5.0000000000000009</v>
      </c>
      <c r="F493" s="38"/>
      <c r="G493" s="11"/>
    </row>
    <row r="494" spans="1:7" x14ac:dyDescent="0.25">
      <c r="A494" s="104">
        <v>45530</v>
      </c>
      <c r="B494" s="11" t="s">
        <v>56</v>
      </c>
      <c r="C494" s="28">
        <v>0.33333333333333331</v>
      </c>
      <c r="D494" s="28">
        <v>0.58333333333333337</v>
      </c>
      <c r="E494" s="30">
        <f t="shared" si="7"/>
        <v>5.5000000000000018</v>
      </c>
      <c r="F494" s="38">
        <v>0.5</v>
      </c>
      <c r="G494" s="11"/>
    </row>
    <row r="495" spans="1:7" x14ac:dyDescent="0.25">
      <c r="A495" s="104">
        <v>45530</v>
      </c>
      <c r="B495" s="11" t="s">
        <v>56</v>
      </c>
      <c r="C495" s="28">
        <v>0.66666666666666663</v>
      </c>
      <c r="D495" s="28">
        <v>0.875</v>
      </c>
      <c r="E495" s="30">
        <f t="shared" si="7"/>
        <v>5.0000000000000009</v>
      </c>
      <c r="F495" s="38"/>
      <c r="G495" s="11"/>
    </row>
    <row r="496" spans="1:7" x14ac:dyDescent="0.25">
      <c r="A496" s="104">
        <v>45531</v>
      </c>
      <c r="B496" s="11" t="s">
        <v>56</v>
      </c>
      <c r="C496" s="28">
        <v>0.33333333333333331</v>
      </c>
      <c r="D496" s="28">
        <v>0.58333333333333337</v>
      </c>
      <c r="E496" s="30">
        <f t="shared" si="7"/>
        <v>5.5000000000000018</v>
      </c>
      <c r="F496" s="38">
        <v>0.5</v>
      </c>
      <c r="G496" s="11"/>
    </row>
    <row r="497" spans="1:7" x14ac:dyDescent="0.25">
      <c r="A497" s="104">
        <v>45532</v>
      </c>
      <c r="B497" s="11" t="s">
        <v>56</v>
      </c>
      <c r="C497" s="28">
        <v>0.33333333333333331</v>
      </c>
      <c r="D497" s="28">
        <v>0.58333333333333337</v>
      </c>
      <c r="E497" s="30">
        <f t="shared" si="7"/>
        <v>5.5000000000000018</v>
      </c>
      <c r="F497" s="38">
        <v>0.5</v>
      </c>
      <c r="G497" s="11"/>
    </row>
    <row r="498" spans="1:7" x14ac:dyDescent="0.25">
      <c r="A498" s="104">
        <v>45532</v>
      </c>
      <c r="B498" s="11" t="s">
        <v>49</v>
      </c>
      <c r="C498" s="28">
        <v>0.66666666666666663</v>
      </c>
      <c r="D498" s="28">
        <v>0.89583333333333337</v>
      </c>
      <c r="E498" s="30">
        <f t="shared" si="7"/>
        <v>5.0000000000000018</v>
      </c>
      <c r="F498" s="38">
        <v>0.5</v>
      </c>
      <c r="G498" s="11"/>
    </row>
    <row r="499" spans="1:7" x14ac:dyDescent="0.25">
      <c r="A499" s="104">
        <v>45533</v>
      </c>
      <c r="B499" s="11" t="s">
        <v>56</v>
      </c>
      <c r="C499" s="28">
        <v>0.33333333333333331</v>
      </c>
      <c r="D499" s="28">
        <v>0.58333333333333337</v>
      </c>
      <c r="E499" s="30">
        <f t="shared" si="7"/>
        <v>5.5000000000000018</v>
      </c>
      <c r="F499" s="38">
        <v>0.5</v>
      </c>
      <c r="G499" s="11"/>
    </row>
    <row r="500" spans="1:7" x14ac:dyDescent="0.25">
      <c r="A500" s="104">
        <v>45533</v>
      </c>
      <c r="B500" s="11" t="s">
        <v>56</v>
      </c>
      <c r="C500" s="28">
        <v>0.77083333333333337</v>
      </c>
      <c r="D500" s="28">
        <v>0.95833333333333337</v>
      </c>
      <c r="E500" s="30">
        <f t="shared" si="7"/>
        <v>4.5</v>
      </c>
      <c r="F500" s="38"/>
      <c r="G500" s="11"/>
    </row>
    <row r="501" spans="1:7" x14ac:dyDescent="0.25">
      <c r="A501" s="104">
        <v>45534</v>
      </c>
      <c r="B501" s="11" t="s">
        <v>56</v>
      </c>
      <c r="C501" s="28">
        <v>0.33333333333333331</v>
      </c>
      <c r="D501" s="28">
        <v>0.58333333333333337</v>
      </c>
      <c r="E501" s="30">
        <f t="shared" si="7"/>
        <v>5.5000000000000018</v>
      </c>
      <c r="F501" s="38">
        <v>0.5</v>
      </c>
      <c r="G501" s="11"/>
    </row>
    <row r="502" spans="1:7" x14ac:dyDescent="0.25">
      <c r="A502" s="104">
        <v>45535</v>
      </c>
      <c r="B502" s="11" t="s">
        <v>56</v>
      </c>
      <c r="C502" s="28">
        <v>0.33333333333333331</v>
      </c>
      <c r="D502" s="28">
        <v>0.54166666666666663</v>
      </c>
      <c r="E502" s="30">
        <f t="shared" ref="E502:E563" si="8">MOD((D502-C502),1) *24 - F502</f>
        <v>5</v>
      </c>
      <c r="F502" s="38"/>
      <c r="G502" s="11"/>
    </row>
    <row r="503" spans="1:7" x14ac:dyDescent="0.25">
      <c r="A503" s="104">
        <v>45535</v>
      </c>
      <c r="B503" s="11" t="s">
        <v>53</v>
      </c>
      <c r="C503" s="28">
        <v>0.58333333333333337</v>
      </c>
      <c r="D503" s="28">
        <v>0.8125</v>
      </c>
      <c r="E503" s="30">
        <f t="shared" si="8"/>
        <v>4.9999999999999991</v>
      </c>
      <c r="F503" s="38">
        <v>0.5</v>
      </c>
      <c r="G503" s="11"/>
    </row>
    <row r="504" spans="1:7" x14ac:dyDescent="0.25">
      <c r="A504" s="104">
        <v>45535</v>
      </c>
      <c r="B504" s="11" t="s">
        <v>58</v>
      </c>
      <c r="C504" s="28">
        <v>0.83333333333333337</v>
      </c>
      <c r="D504" s="28">
        <v>4.1666666666666664E-2</v>
      </c>
      <c r="E504" s="30">
        <f t="shared" si="8"/>
        <v>4.9999999999999982</v>
      </c>
      <c r="F504" s="38"/>
      <c r="G504" s="11"/>
    </row>
    <row r="505" spans="1:7" x14ac:dyDescent="0.25">
      <c r="A505" s="104">
        <v>45535</v>
      </c>
      <c r="B505" s="11" t="s">
        <v>58</v>
      </c>
      <c r="C505" s="28">
        <v>0.58333333333333337</v>
      </c>
      <c r="D505" s="28">
        <v>0.83333333333333337</v>
      </c>
      <c r="E505" s="30">
        <f t="shared" si="8"/>
        <v>5.5</v>
      </c>
      <c r="F505" s="38">
        <v>0.5</v>
      </c>
      <c r="G505" s="11"/>
    </row>
    <row r="506" spans="1:7" x14ac:dyDescent="0.25">
      <c r="A506" s="104">
        <v>45535</v>
      </c>
      <c r="B506" s="11" t="s">
        <v>49</v>
      </c>
      <c r="C506" s="28">
        <v>0.33333333333333331</v>
      </c>
      <c r="D506" s="28">
        <v>0.52083333333333337</v>
      </c>
      <c r="E506" s="30">
        <f t="shared" si="8"/>
        <v>4.5000000000000018</v>
      </c>
      <c r="F506" s="38"/>
      <c r="G506" s="11"/>
    </row>
    <row r="507" spans="1:7" x14ac:dyDescent="0.25">
      <c r="A507" s="108">
        <v>45535</v>
      </c>
      <c r="B507" s="16" t="s">
        <v>53</v>
      </c>
      <c r="C507" s="159">
        <v>0.8125</v>
      </c>
      <c r="D507" s="159">
        <v>0</v>
      </c>
      <c r="E507" s="30">
        <f t="shared" si="8"/>
        <v>4.5</v>
      </c>
      <c r="F507" s="39"/>
      <c r="G507" s="11"/>
    </row>
    <row r="508" spans="1:7" x14ac:dyDescent="0.25">
      <c r="A508" s="104">
        <v>45538</v>
      </c>
      <c r="B508" s="11" t="s">
        <v>56</v>
      </c>
      <c r="C508" s="28">
        <v>0.33333333333333331</v>
      </c>
      <c r="D508" s="28">
        <v>0.58333333333333337</v>
      </c>
      <c r="E508" s="30">
        <f t="shared" si="8"/>
        <v>5.5000000000000018</v>
      </c>
      <c r="F508" s="38">
        <v>0.5</v>
      </c>
      <c r="G508" s="11"/>
    </row>
    <row r="509" spans="1:7" x14ac:dyDescent="0.25">
      <c r="A509" s="104">
        <v>45538</v>
      </c>
      <c r="B509" s="11" t="s">
        <v>49</v>
      </c>
      <c r="C509" s="28">
        <v>0.6875</v>
      </c>
      <c r="D509" s="28">
        <v>0.89583333333333337</v>
      </c>
      <c r="E509" s="30">
        <f t="shared" si="8"/>
        <v>4.5000000000000009</v>
      </c>
      <c r="F509" s="38">
        <v>0.5</v>
      </c>
      <c r="G509" s="11"/>
    </row>
    <row r="510" spans="1:7" x14ac:dyDescent="0.25">
      <c r="A510" s="104">
        <v>45539</v>
      </c>
      <c r="B510" s="11" t="s">
        <v>56</v>
      </c>
      <c r="C510" s="28">
        <v>0.33333333333333331</v>
      </c>
      <c r="D510" s="28">
        <v>0.58333333333333337</v>
      </c>
      <c r="E510" s="30">
        <f t="shared" si="8"/>
        <v>5.5000000000000018</v>
      </c>
      <c r="F510" s="38">
        <v>0.5</v>
      </c>
      <c r="G510" s="11"/>
    </row>
    <row r="511" spans="1:7" x14ac:dyDescent="0.25">
      <c r="A511" s="104">
        <v>45539</v>
      </c>
      <c r="B511" s="11" t="s">
        <v>56</v>
      </c>
      <c r="C511" s="28">
        <v>0.66666666666666663</v>
      </c>
      <c r="D511" s="28">
        <v>0.89583333333333337</v>
      </c>
      <c r="E511" s="30">
        <f t="shared" si="8"/>
        <v>5.5000000000000018</v>
      </c>
      <c r="F511" s="38"/>
      <c r="G511" s="11"/>
    </row>
    <row r="512" spans="1:7" x14ac:dyDescent="0.25">
      <c r="A512" s="104">
        <v>45540</v>
      </c>
      <c r="B512" s="11" t="s">
        <v>56</v>
      </c>
      <c r="C512" s="28">
        <v>0.75</v>
      </c>
      <c r="D512" s="28">
        <v>0.95833333333333337</v>
      </c>
      <c r="E512" s="30">
        <f t="shared" si="8"/>
        <v>5.0000000000000009</v>
      </c>
      <c r="F512" s="38"/>
      <c r="G512" s="11"/>
    </row>
    <row r="513" spans="1:7" x14ac:dyDescent="0.25">
      <c r="A513" s="104">
        <v>45540</v>
      </c>
      <c r="B513" s="11" t="s">
        <v>56</v>
      </c>
      <c r="C513" s="28">
        <v>0.33333333333333331</v>
      </c>
      <c r="D513" s="28">
        <v>0.58333333333333337</v>
      </c>
      <c r="E513" s="30">
        <f t="shared" si="8"/>
        <v>5.5000000000000018</v>
      </c>
      <c r="F513" s="38">
        <v>0.5</v>
      </c>
      <c r="G513" s="11"/>
    </row>
    <row r="514" spans="1:7" x14ac:dyDescent="0.25">
      <c r="A514" s="104">
        <v>45541</v>
      </c>
      <c r="B514" s="11" t="s">
        <v>56</v>
      </c>
      <c r="C514" s="28">
        <v>0.33333333333333331</v>
      </c>
      <c r="D514" s="28">
        <v>0.58333333333333337</v>
      </c>
      <c r="E514" s="30">
        <f t="shared" si="8"/>
        <v>5.5000000000000018</v>
      </c>
      <c r="F514" s="38">
        <v>0.5</v>
      </c>
      <c r="G514" s="11"/>
    </row>
    <row r="515" spans="1:7" x14ac:dyDescent="0.25">
      <c r="A515" s="104">
        <v>45542</v>
      </c>
      <c r="B515" s="11" t="s">
        <v>56</v>
      </c>
      <c r="C515" s="28">
        <v>0.27083333333333331</v>
      </c>
      <c r="D515" s="28">
        <v>0.41666666666666669</v>
      </c>
      <c r="E515" s="30">
        <f t="shared" si="8"/>
        <v>3.5000000000000009</v>
      </c>
      <c r="F515" s="38"/>
      <c r="G515" s="11"/>
    </row>
    <row r="516" spans="1:7" x14ac:dyDescent="0.25">
      <c r="A516" s="104">
        <v>45542</v>
      </c>
      <c r="B516" s="11" t="s">
        <v>56</v>
      </c>
      <c r="C516" s="28">
        <v>0.33333333333333331</v>
      </c>
      <c r="D516" s="28">
        <v>0.54166666666666663</v>
      </c>
      <c r="E516" s="30">
        <f t="shared" si="8"/>
        <v>5</v>
      </c>
      <c r="F516" s="38"/>
      <c r="G516" s="11"/>
    </row>
    <row r="517" spans="1:7" x14ac:dyDescent="0.25">
      <c r="A517" s="104">
        <v>45542</v>
      </c>
      <c r="B517" s="11" t="s">
        <v>49</v>
      </c>
      <c r="C517" s="28">
        <v>0.33333333333333331</v>
      </c>
      <c r="D517" s="28">
        <v>0.52083333333333337</v>
      </c>
      <c r="E517" s="30">
        <f t="shared" si="8"/>
        <v>4.5000000000000018</v>
      </c>
      <c r="F517" s="38"/>
      <c r="G517" s="11"/>
    </row>
    <row r="518" spans="1:7" x14ac:dyDescent="0.25">
      <c r="A518" s="104">
        <v>45542</v>
      </c>
      <c r="B518" s="11" t="s">
        <v>58</v>
      </c>
      <c r="C518" s="28">
        <v>0.54166666666666663</v>
      </c>
      <c r="D518" s="28">
        <v>0.875</v>
      </c>
      <c r="E518" s="30">
        <f t="shared" si="8"/>
        <v>7.5</v>
      </c>
      <c r="F518" s="38">
        <v>0.5</v>
      </c>
      <c r="G518" s="11"/>
    </row>
    <row r="519" spans="1:7" x14ac:dyDescent="0.25">
      <c r="A519" s="104">
        <v>45542</v>
      </c>
      <c r="B519" s="11" t="s">
        <v>53</v>
      </c>
      <c r="C519" s="28">
        <v>0.47916666666666669</v>
      </c>
      <c r="D519" s="28">
        <v>0.75</v>
      </c>
      <c r="E519" s="30">
        <f t="shared" si="8"/>
        <v>6</v>
      </c>
      <c r="F519" s="38">
        <v>0.5</v>
      </c>
      <c r="G519" s="11"/>
    </row>
    <row r="520" spans="1:7" x14ac:dyDescent="0.25">
      <c r="A520" s="104">
        <v>45542</v>
      </c>
      <c r="B520" s="11" t="s">
        <v>46</v>
      </c>
      <c r="C520" s="28">
        <v>0.5</v>
      </c>
      <c r="D520" s="28">
        <v>0.79166666666666663</v>
      </c>
      <c r="E520" s="30">
        <f t="shared" si="8"/>
        <v>6.4999999999999991</v>
      </c>
      <c r="F520" s="38">
        <v>0.5</v>
      </c>
      <c r="G520" s="11"/>
    </row>
    <row r="521" spans="1:7" x14ac:dyDescent="0.25">
      <c r="A521" s="104">
        <v>45542</v>
      </c>
      <c r="B521" s="11" t="s">
        <v>53</v>
      </c>
      <c r="C521" s="28">
        <v>0.75</v>
      </c>
      <c r="D521" s="28">
        <v>2.0833333333333332E-2</v>
      </c>
      <c r="E521" s="30">
        <f t="shared" si="8"/>
        <v>6.0000000000000009</v>
      </c>
      <c r="F521" s="38">
        <v>0.5</v>
      </c>
      <c r="G521" s="11"/>
    </row>
    <row r="522" spans="1:7" x14ac:dyDescent="0.25">
      <c r="A522" s="104">
        <v>45543</v>
      </c>
      <c r="B522" s="11" t="s">
        <v>46</v>
      </c>
      <c r="C522" s="28">
        <v>0.58333333333333337</v>
      </c>
      <c r="D522" s="28">
        <v>0.91666666666666663</v>
      </c>
      <c r="E522" s="30">
        <f t="shared" si="8"/>
        <v>7.4999999999999982</v>
      </c>
      <c r="F522" s="38">
        <v>0.5</v>
      </c>
      <c r="G522" s="11"/>
    </row>
    <row r="523" spans="1:7" x14ac:dyDescent="0.25">
      <c r="A523" s="104">
        <v>45544</v>
      </c>
      <c r="B523" s="11" t="s">
        <v>56</v>
      </c>
      <c r="C523" s="28">
        <v>0.33333333333333331</v>
      </c>
      <c r="D523" s="28">
        <v>0.58333333333333337</v>
      </c>
      <c r="E523" s="30">
        <f t="shared" si="8"/>
        <v>5.5000000000000018</v>
      </c>
      <c r="F523" s="38">
        <v>0.5</v>
      </c>
      <c r="G523" s="11"/>
    </row>
    <row r="524" spans="1:7" x14ac:dyDescent="0.25">
      <c r="A524" s="104">
        <v>45545</v>
      </c>
      <c r="B524" s="11" t="s">
        <v>53</v>
      </c>
      <c r="C524" s="28">
        <v>0.66666666666666663</v>
      </c>
      <c r="D524" s="28">
        <v>0.875</v>
      </c>
      <c r="E524" s="30">
        <f t="shared" si="8"/>
        <v>5.0000000000000009</v>
      </c>
      <c r="F524" s="38"/>
      <c r="G524" s="11"/>
    </row>
    <row r="525" spans="1:7" x14ac:dyDescent="0.25">
      <c r="A525" s="104">
        <v>45545</v>
      </c>
      <c r="B525" s="11" t="s">
        <v>56</v>
      </c>
      <c r="C525" s="28">
        <v>0.33333333333333331</v>
      </c>
      <c r="D525" s="28">
        <v>0.58333333333333337</v>
      </c>
      <c r="E525" s="30">
        <f t="shared" si="8"/>
        <v>5.5000000000000018</v>
      </c>
      <c r="F525" s="38">
        <v>0.5</v>
      </c>
      <c r="G525" s="11"/>
    </row>
    <row r="526" spans="1:7" x14ac:dyDescent="0.25">
      <c r="A526" s="104">
        <v>45546</v>
      </c>
      <c r="B526" s="11" t="s">
        <v>56</v>
      </c>
      <c r="C526" s="28">
        <v>0.33333333333333331</v>
      </c>
      <c r="D526" s="28">
        <v>0.58333333333333337</v>
      </c>
      <c r="E526" s="30">
        <f t="shared" si="8"/>
        <v>5.5000000000000018</v>
      </c>
      <c r="F526" s="38">
        <v>0.5</v>
      </c>
      <c r="G526" s="11"/>
    </row>
    <row r="527" spans="1:7" x14ac:dyDescent="0.25">
      <c r="A527" s="104">
        <v>45547</v>
      </c>
      <c r="B527" s="11" t="s">
        <v>56</v>
      </c>
      <c r="C527" s="28">
        <v>0.33333333333333331</v>
      </c>
      <c r="D527" s="28">
        <v>0.58333333333333337</v>
      </c>
      <c r="E527" s="30">
        <f t="shared" si="8"/>
        <v>5.5000000000000018</v>
      </c>
      <c r="F527" s="38">
        <v>0.5</v>
      </c>
      <c r="G527" s="11"/>
    </row>
    <row r="528" spans="1:7" x14ac:dyDescent="0.25">
      <c r="A528" s="104">
        <v>45547</v>
      </c>
      <c r="B528" s="11" t="s">
        <v>56</v>
      </c>
      <c r="C528" s="28">
        <v>0.77083333333333337</v>
      </c>
      <c r="D528" s="28">
        <v>0.95833333333333337</v>
      </c>
      <c r="E528" s="30">
        <f t="shared" si="8"/>
        <v>4.5</v>
      </c>
      <c r="F528" s="38"/>
      <c r="G528" s="11"/>
    </row>
    <row r="529" spans="1:7" x14ac:dyDescent="0.25">
      <c r="A529" s="104">
        <v>45548</v>
      </c>
      <c r="B529" s="11" t="s">
        <v>45</v>
      </c>
      <c r="C529" s="28">
        <v>0.33333333333333331</v>
      </c>
      <c r="D529" s="28">
        <v>0.66666666666666663</v>
      </c>
      <c r="E529" s="30">
        <f t="shared" si="8"/>
        <v>7.5</v>
      </c>
      <c r="F529" s="38">
        <v>0.5</v>
      </c>
      <c r="G529" s="11"/>
    </row>
    <row r="530" spans="1:7" x14ac:dyDescent="0.25">
      <c r="A530" s="104">
        <v>45548</v>
      </c>
      <c r="B530" s="11" t="s">
        <v>53</v>
      </c>
      <c r="C530" s="28">
        <v>0.625</v>
      </c>
      <c r="D530" s="28">
        <v>0.83333333333333337</v>
      </c>
      <c r="E530" s="30">
        <f t="shared" si="8"/>
        <v>5.0000000000000009</v>
      </c>
      <c r="F530" s="38"/>
      <c r="G530" s="11"/>
    </row>
    <row r="531" spans="1:7" x14ac:dyDescent="0.25">
      <c r="A531" s="104">
        <v>45548</v>
      </c>
      <c r="B531" s="11" t="s">
        <v>56</v>
      </c>
      <c r="C531" s="28">
        <v>0.33333333333333331</v>
      </c>
      <c r="D531" s="28">
        <v>0.58333333333333337</v>
      </c>
      <c r="E531" s="30">
        <f t="shared" si="8"/>
        <v>5.5000000000000018</v>
      </c>
      <c r="F531" s="38">
        <v>0.5</v>
      </c>
      <c r="G531" s="11"/>
    </row>
    <row r="532" spans="1:7" x14ac:dyDescent="0.25">
      <c r="A532" s="104">
        <v>45549</v>
      </c>
      <c r="B532" s="11" t="s">
        <v>49</v>
      </c>
      <c r="C532" s="28">
        <v>0.33333333333333331</v>
      </c>
      <c r="D532" s="28">
        <v>0.52083333333333337</v>
      </c>
      <c r="E532" s="30">
        <f t="shared" si="8"/>
        <v>4.5000000000000018</v>
      </c>
      <c r="F532" s="38"/>
      <c r="G532" s="11"/>
    </row>
    <row r="533" spans="1:7" x14ac:dyDescent="0.25">
      <c r="A533" s="104">
        <v>45549</v>
      </c>
      <c r="B533" s="11" t="s">
        <v>53</v>
      </c>
      <c r="C533" s="28">
        <v>0.66666666666666663</v>
      </c>
      <c r="D533" s="28">
        <v>0.83333333333333337</v>
      </c>
      <c r="E533" s="30">
        <f t="shared" si="8"/>
        <v>4.0000000000000018</v>
      </c>
      <c r="F533" s="38"/>
      <c r="G533" s="11"/>
    </row>
    <row r="534" spans="1:7" x14ac:dyDescent="0.25">
      <c r="A534" s="104">
        <v>45549</v>
      </c>
      <c r="B534" s="11" t="s">
        <v>58</v>
      </c>
      <c r="C534" s="28">
        <v>0.70833333333333337</v>
      </c>
      <c r="D534" s="28">
        <v>0.95833333333333337</v>
      </c>
      <c r="E534" s="30">
        <f t="shared" si="8"/>
        <v>5.5</v>
      </c>
      <c r="F534" s="38">
        <v>0.5</v>
      </c>
      <c r="G534" s="11"/>
    </row>
    <row r="535" spans="1:7" x14ac:dyDescent="0.25">
      <c r="A535" s="104">
        <v>45549</v>
      </c>
      <c r="B535" s="11" t="s">
        <v>53</v>
      </c>
      <c r="C535" s="28">
        <v>0.83333333333333337</v>
      </c>
      <c r="D535" s="28">
        <v>4.1666666666666664E-2</v>
      </c>
      <c r="E535" s="30">
        <f t="shared" si="8"/>
        <v>4.9999999999999982</v>
      </c>
      <c r="F535" s="38"/>
      <c r="G535" s="11"/>
    </row>
    <row r="536" spans="1:7" x14ac:dyDescent="0.25">
      <c r="A536" s="104">
        <v>45549</v>
      </c>
      <c r="B536" s="11" t="s">
        <v>58</v>
      </c>
      <c r="C536" s="28">
        <v>0.45833333333333331</v>
      </c>
      <c r="D536" s="28">
        <v>0.70833333333333337</v>
      </c>
      <c r="E536" s="30">
        <f t="shared" si="8"/>
        <v>5.5000000000000018</v>
      </c>
      <c r="F536" s="38">
        <v>0.5</v>
      </c>
      <c r="G536" s="11"/>
    </row>
    <row r="537" spans="1:7" x14ac:dyDescent="0.25">
      <c r="A537" s="104">
        <v>45549</v>
      </c>
      <c r="B537" s="11" t="s">
        <v>58</v>
      </c>
      <c r="C537" s="28">
        <v>0.27083333333333331</v>
      </c>
      <c r="D537" s="28">
        <v>0.41666666666666669</v>
      </c>
      <c r="E537" s="30">
        <f t="shared" si="8"/>
        <v>3.5000000000000009</v>
      </c>
      <c r="F537" s="38"/>
      <c r="G537" s="11"/>
    </row>
    <row r="538" spans="1:7" x14ac:dyDescent="0.25">
      <c r="A538" s="104">
        <v>45549</v>
      </c>
      <c r="B538" s="11" t="s">
        <v>56</v>
      </c>
      <c r="C538" s="28">
        <v>0.33333333333333331</v>
      </c>
      <c r="D538" s="28">
        <v>0.54166666666666663</v>
      </c>
      <c r="E538" s="30">
        <f t="shared" si="8"/>
        <v>5</v>
      </c>
      <c r="F538" s="38"/>
      <c r="G538" s="11"/>
    </row>
    <row r="539" spans="1:7" x14ac:dyDescent="0.25">
      <c r="A539" s="104">
        <v>45550</v>
      </c>
      <c r="B539" s="11" t="s">
        <v>46</v>
      </c>
      <c r="C539" s="28">
        <v>0.375</v>
      </c>
      <c r="D539" s="28">
        <v>0.70833333333333337</v>
      </c>
      <c r="E539" s="30">
        <f t="shared" si="8"/>
        <v>7.5</v>
      </c>
      <c r="F539" s="38">
        <v>0.5</v>
      </c>
      <c r="G539" s="11"/>
    </row>
    <row r="540" spans="1:7" x14ac:dyDescent="0.25">
      <c r="A540" s="104">
        <v>45550</v>
      </c>
      <c r="B540" s="11" t="s">
        <v>58</v>
      </c>
      <c r="C540" s="28">
        <v>0.45833333333333331</v>
      </c>
      <c r="D540" s="28">
        <v>0.70833333333333337</v>
      </c>
      <c r="E540" s="30">
        <f t="shared" si="8"/>
        <v>5.5000000000000018</v>
      </c>
      <c r="F540" s="38">
        <v>0.5</v>
      </c>
      <c r="G540" s="11"/>
    </row>
    <row r="541" spans="1:7" x14ac:dyDescent="0.25">
      <c r="A541" s="104">
        <v>45551</v>
      </c>
      <c r="B541" s="11" t="s">
        <v>56</v>
      </c>
      <c r="C541" s="28">
        <v>0.33333333333333331</v>
      </c>
      <c r="D541" s="28">
        <v>0.58333333333333337</v>
      </c>
      <c r="E541" s="30">
        <f t="shared" si="8"/>
        <v>5.5000000000000018</v>
      </c>
      <c r="F541" s="38">
        <v>0.5</v>
      </c>
      <c r="G541" s="11"/>
    </row>
    <row r="542" spans="1:7" x14ac:dyDescent="0.25">
      <c r="A542" s="104">
        <v>45552</v>
      </c>
      <c r="B542" s="11" t="s">
        <v>56</v>
      </c>
      <c r="C542" s="28">
        <v>0.33333333333333331</v>
      </c>
      <c r="D542" s="28">
        <v>0.58333333333333337</v>
      </c>
      <c r="E542" s="30">
        <f t="shared" si="8"/>
        <v>5.5000000000000018</v>
      </c>
      <c r="F542" s="38">
        <v>0.5</v>
      </c>
      <c r="G542" s="11"/>
    </row>
    <row r="543" spans="1:7" x14ac:dyDescent="0.25">
      <c r="A543" s="104">
        <v>45553</v>
      </c>
      <c r="B543" s="11" t="s">
        <v>49</v>
      </c>
      <c r="C543" s="28">
        <v>0.6875</v>
      </c>
      <c r="D543" s="28">
        <v>0.89583333333333337</v>
      </c>
      <c r="E543" s="30">
        <f t="shared" si="8"/>
        <v>5.0000000000000009</v>
      </c>
      <c r="F543" s="38"/>
      <c r="G543" s="11"/>
    </row>
    <row r="544" spans="1:7" x14ac:dyDescent="0.25">
      <c r="A544" s="104">
        <v>45553</v>
      </c>
      <c r="B544" s="11" t="s">
        <v>56</v>
      </c>
      <c r="C544" s="28">
        <v>0.33333333333333331</v>
      </c>
      <c r="D544" s="28">
        <v>0.58333333333333337</v>
      </c>
      <c r="E544" s="30">
        <f t="shared" si="8"/>
        <v>5.5000000000000018</v>
      </c>
      <c r="F544" s="38">
        <v>0.5</v>
      </c>
      <c r="G544" s="11"/>
    </row>
    <row r="545" spans="1:7" x14ac:dyDescent="0.25">
      <c r="A545" s="104">
        <v>45553</v>
      </c>
      <c r="B545" s="11" t="s">
        <v>56</v>
      </c>
      <c r="C545" s="28">
        <v>0.70833333333333337</v>
      </c>
      <c r="D545" s="28">
        <v>0.875</v>
      </c>
      <c r="E545" s="30">
        <f t="shared" si="8"/>
        <v>3.9999999999999991</v>
      </c>
      <c r="F545" s="38"/>
      <c r="G545" s="11"/>
    </row>
    <row r="546" spans="1:7" x14ac:dyDescent="0.25">
      <c r="A546" s="104">
        <v>45554</v>
      </c>
      <c r="B546" s="11" t="s">
        <v>56</v>
      </c>
      <c r="C546" s="28">
        <v>0.33333333333333331</v>
      </c>
      <c r="D546" s="28">
        <v>0.58333333333333337</v>
      </c>
      <c r="E546" s="30">
        <f t="shared" si="8"/>
        <v>5.5000000000000018</v>
      </c>
      <c r="F546" s="38">
        <v>0.5</v>
      </c>
      <c r="G546" s="11"/>
    </row>
    <row r="547" spans="1:7" x14ac:dyDescent="0.25">
      <c r="A547" s="104">
        <v>45554</v>
      </c>
      <c r="B547" s="11" t="s">
        <v>56</v>
      </c>
      <c r="C547" s="28">
        <v>0.77083333333333337</v>
      </c>
      <c r="D547" s="28">
        <v>0.95833333333333337</v>
      </c>
      <c r="E547" s="30">
        <f t="shared" si="8"/>
        <v>4.5</v>
      </c>
      <c r="F547" s="38"/>
      <c r="G547" s="11"/>
    </row>
    <row r="548" spans="1:7" x14ac:dyDescent="0.25">
      <c r="A548" s="104">
        <v>45555</v>
      </c>
      <c r="B548" s="11" t="s">
        <v>56</v>
      </c>
      <c r="C548" s="28">
        <v>0.33333333333333331</v>
      </c>
      <c r="D548" s="28">
        <v>0.58333333333333337</v>
      </c>
      <c r="E548" s="30">
        <f t="shared" si="8"/>
        <v>5.5000000000000018</v>
      </c>
      <c r="F548" s="38">
        <v>0.5</v>
      </c>
      <c r="G548" s="11"/>
    </row>
    <row r="549" spans="1:7" x14ac:dyDescent="0.25">
      <c r="A549" s="104">
        <v>45556</v>
      </c>
      <c r="B549" s="11" t="s">
        <v>58</v>
      </c>
      <c r="C549" s="28">
        <v>0.27083333333333331</v>
      </c>
      <c r="D549" s="28">
        <v>0.41666666666666669</v>
      </c>
      <c r="E549" s="30">
        <f t="shared" si="8"/>
        <v>3.5000000000000009</v>
      </c>
      <c r="F549" s="38"/>
      <c r="G549" s="11"/>
    </row>
    <row r="550" spans="1:7" x14ac:dyDescent="0.25">
      <c r="A550" s="104">
        <v>45556</v>
      </c>
      <c r="B550" s="11" t="s">
        <v>56</v>
      </c>
      <c r="C550" s="28">
        <v>0.33333333333333331</v>
      </c>
      <c r="D550" s="28">
        <v>0.64583333333333337</v>
      </c>
      <c r="E550" s="30">
        <f t="shared" si="8"/>
        <v>7.0000000000000018</v>
      </c>
      <c r="F550" s="38">
        <v>0.5</v>
      </c>
      <c r="G550" s="11"/>
    </row>
    <row r="551" spans="1:7" x14ac:dyDescent="0.25">
      <c r="A551" s="104">
        <v>45556</v>
      </c>
      <c r="B551" s="11" t="s">
        <v>58</v>
      </c>
      <c r="C551" s="28">
        <v>0.625</v>
      </c>
      <c r="D551" s="28">
        <v>4.1666666666666664E-2</v>
      </c>
      <c r="E551" s="30">
        <f t="shared" si="8"/>
        <v>9</v>
      </c>
      <c r="F551" s="38">
        <v>1</v>
      </c>
      <c r="G551" s="11"/>
    </row>
    <row r="552" spans="1:7" x14ac:dyDescent="0.25">
      <c r="A552" s="104">
        <v>45556</v>
      </c>
      <c r="B552" s="11" t="s">
        <v>53</v>
      </c>
      <c r="C552" s="28">
        <v>0.54166666666666663</v>
      </c>
      <c r="D552" s="28">
        <v>0.79166666666666663</v>
      </c>
      <c r="E552" s="30">
        <f t="shared" si="8"/>
        <v>5.5</v>
      </c>
      <c r="F552" s="38">
        <v>0.5</v>
      </c>
      <c r="G552" s="11"/>
    </row>
    <row r="553" spans="1:7" x14ac:dyDescent="0.25">
      <c r="A553" s="104">
        <v>45556</v>
      </c>
      <c r="B553" s="11" t="s">
        <v>46</v>
      </c>
      <c r="C553" s="28">
        <v>0.72916666666666663</v>
      </c>
      <c r="D553" s="28">
        <v>0.91666666666666663</v>
      </c>
      <c r="E553" s="30">
        <f t="shared" si="8"/>
        <v>4.5</v>
      </c>
      <c r="F553" s="38"/>
      <c r="G553" s="11"/>
    </row>
    <row r="554" spans="1:7" x14ac:dyDescent="0.25">
      <c r="A554" s="104">
        <v>45556</v>
      </c>
      <c r="B554" s="11" t="s">
        <v>47</v>
      </c>
      <c r="C554" s="28">
        <v>0.33333333333333331</v>
      </c>
      <c r="D554" s="28">
        <v>0.47916666666666669</v>
      </c>
      <c r="E554" s="30">
        <f t="shared" si="8"/>
        <v>3.5000000000000009</v>
      </c>
      <c r="F554" s="38"/>
      <c r="G554" s="11"/>
    </row>
    <row r="555" spans="1:7" x14ac:dyDescent="0.25">
      <c r="A555" s="104">
        <v>45556</v>
      </c>
      <c r="B555" s="11" t="s">
        <v>49</v>
      </c>
      <c r="C555" s="28">
        <v>0.33333333333333331</v>
      </c>
      <c r="D555" s="28">
        <v>0.54166666666666663</v>
      </c>
      <c r="E555" s="30">
        <f t="shared" si="8"/>
        <v>5</v>
      </c>
      <c r="F555" s="38"/>
      <c r="G555" s="11"/>
    </row>
    <row r="556" spans="1:7" x14ac:dyDescent="0.25">
      <c r="A556" s="104">
        <v>45556</v>
      </c>
      <c r="B556" s="11" t="s">
        <v>46</v>
      </c>
      <c r="C556" s="28">
        <v>0.5</v>
      </c>
      <c r="D556" s="28">
        <v>0.70833333333333337</v>
      </c>
      <c r="E556" s="30">
        <f t="shared" si="8"/>
        <v>4.5000000000000009</v>
      </c>
      <c r="F556" s="38">
        <v>0.5</v>
      </c>
      <c r="G556" s="11"/>
    </row>
    <row r="557" spans="1:7" x14ac:dyDescent="0.25">
      <c r="A557" s="104">
        <v>45556</v>
      </c>
      <c r="B557" s="11" t="s">
        <v>48</v>
      </c>
      <c r="C557" s="28">
        <v>0.47916666666666669</v>
      </c>
      <c r="D557" s="28">
        <v>0.625</v>
      </c>
      <c r="E557" s="30">
        <f t="shared" si="8"/>
        <v>3.4999999999999996</v>
      </c>
      <c r="F557" s="38"/>
      <c r="G557" s="11"/>
    </row>
    <row r="558" spans="1:7" x14ac:dyDescent="0.25">
      <c r="A558" s="104">
        <v>45557</v>
      </c>
      <c r="B558" s="11" t="s">
        <v>46</v>
      </c>
      <c r="C558" s="28">
        <v>0.54166666666666663</v>
      </c>
      <c r="D558" s="28">
        <v>0.75</v>
      </c>
      <c r="E558" s="30">
        <f t="shared" si="8"/>
        <v>5.0000000000000009</v>
      </c>
      <c r="F558" s="38"/>
      <c r="G558" s="11"/>
    </row>
    <row r="559" spans="1:7" x14ac:dyDescent="0.25">
      <c r="A559" s="104">
        <v>45557</v>
      </c>
      <c r="B559" s="11" t="s">
        <v>49</v>
      </c>
      <c r="C559" s="28">
        <v>0.5625</v>
      </c>
      <c r="D559" s="28">
        <v>0.72916666666666663</v>
      </c>
      <c r="E559" s="30">
        <f t="shared" si="8"/>
        <v>3.9999999999999991</v>
      </c>
      <c r="F559" s="38"/>
      <c r="G559" s="11"/>
    </row>
    <row r="560" spans="1:7" x14ac:dyDescent="0.25">
      <c r="A560" s="104">
        <v>45558</v>
      </c>
      <c r="B560" s="11" t="s">
        <v>56</v>
      </c>
      <c r="C560" s="28">
        <v>0.33333333333333331</v>
      </c>
      <c r="D560" s="28">
        <v>0.58333333333333337</v>
      </c>
      <c r="E560" s="30">
        <f t="shared" si="8"/>
        <v>5.5000000000000018</v>
      </c>
      <c r="F560" s="38">
        <v>0.5</v>
      </c>
      <c r="G560" s="11"/>
    </row>
    <row r="561" spans="1:7" x14ac:dyDescent="0.25">
      <c r="A561" s="104">
        <v>45559</v>
      </c>
      <c r="B561" s="11" t="s">
        <v>56</v>
      </c>
      <c r="C561" s="28">
        <v>0.33333333333333331</v>
      </c>
      <c r="D561" s="28">
        <v>0.58333333333333337</v>
      </c>
      <c r="E561" s="30">
        <f t="shared" si="8"/>
        <v>5.5000000000000018</v>
      </c>
      <c r="F561" s="38">
        <v>0.5</v>
      </c>
      <c r="G561" s="11"/>
    </row>
    <row r="562" spans="1:7" x14ac:dyDescent="0.25">
      <c r="A562" s="104">
        <v>45560</v>
      </c>
      <c r="B562" s="11" t="s">
        <v>49</v>
      </c>
      <c r="C562" s="28">
        <v>0.70833333333333337</v>
      </c>
      <c r="D562" s="28">
        <v>0.89583333333333337</v>
      </c>
      <c r="E562" s="30">
        <f t="shared" si="8"/>
        <v>4.5</v>
      </c>
      <c r="F562" s="38"/>
      <c r="G562" s="11"/>
    </row>
    <row r="563" spans="1:7" x14ac:dyDescent="0.25">
      <c r="A563" s="104">
        <v>45560</v>
      </c>
      <c r="B563" s="11" t="s">
        <v>56</v>
      </c>
      <c r="C563" s="28">
        <v>0.33333333333333331</v>
      </c>
      <c r="D563" s="28">
        <v>0.58333333333333337</v>
      </c>
      <c r="E563" s="30">
        <f t="shared" si="8"/>
        <v>5.5000000000000018</v>
      </c>
      <c r="F563" s="38">
        <v>0.5</v>
      </c>
      <c r="G563" s="11"/>
    </row>
    <row r="564" spans="1:7" x14ac:dyDescent="0.25">
      <c r="A564" s="104">
        <v>45561</v>
      </c>
      <c r="B564" s="11" t="s">
        <v>56</v>
      </c>
      <c r="C564" s="28">
        <v>0.72916666666666663</v>
      </c>
      <c r="D564" s="28">
        <v>0.95833333333333337</v>
      </c>
      <c r="E564" s="30">
        <f t="shared" ref="E564:E627" si="9">MOD((D564-C564),1) *24 - F564</f>
        <v>5.0000000000000018</v>
      </c>
      <c r="F564" s="38">
        <v>0.5</v>
      </c>
      <c r="G564" s="11"/>
    </row>
    <row r="565" spans="1:7" x14ac:dyDescent="0.25">
      <c r="A565" s="104">
        <v>45561</v>
      </c>
      <c r="B565" s="11" t="s">
        <v>56</v>
      </c>
      <c r="C565" s="28">
        <v>0.33333333333333331</v>
      </c>
      <c r="D565" s="28">
        <v>0.58333333333333337</v>
      </c>
      <c r="E565" s="30">
        <f t="shared" si="9"/>
        <v>5.5000000000000018</v>
      </c>
      <c r="F565" s="38">
        <v>0.5</v>
      </c>
      <c r="G565" s="11"/>
    </row>
    <row r="566" spans="1:7" x14ac:dyDescent="0.25">
      <c r="A566" s="104">
        <v>45562</v>
      </c>
      <c r="B566" s="11" t="s">
        <v>56</v>
      </c>
      <c r="C566" s="28">
        <v>0.33333333333333331</v>
      </c>
      <c r="D566" s="28">
        <v>0.58333333333333337</v>
      </c>
      <c r="E566" s="30">
        <f t="shared" si="9"/>
        <v>5.5000000000000018</v>
      </c>
      <c r="F566" s="38">
        <v>0.5</v>
      </c>
      <c r="G566" s="11"/>
    </row>
    <row r="567" spans="1:7" x14ac:dyDescent="0.25">
      <c r="A567" s="104">
        <v>45562</v>
      </c>
      <c r="B567" s="11" t="s">
        <v>56</v>
      </c>
      <c r="C567" s="28">
        <v>0.625</v>
      </c>
      <c r="D567" s="28">
        <v>0.83333333333333337</v>
      </c>
      <c r="E567" s="30">
        <f t="shared" si="9"/>
        <v>5.0000000000000009</v>
      </c>
      <c r="F567" s="38"/>
      <c r="G567" s="11"/>
    </row>
    <row r="568" spans="1:7" x14ac:dyDescent="0.25">
      <c r="A568" s="104">
        <v>45563</v>
      </c>
      <c r="B568" s="11" t="s">
        <v>56</v>
      </c>
      <c r="C568" s="28">
        <v>0.33333333333333331</v>
      </c>
      <c r="D568" s="28">
        <v>0.54166666666666663</v>
      </c>
      <c r="E568" s="30">
        <f t="shared" si="9"/>
        <v>5</v>
      </c>
      <c r="F568" s="38"/>
      <c r="G568" s="11"/>
    </row>
    <row r="569" spans="1:7" x14ac:dyDescent="0.25">
      <c r="A569" s="104">
        <v>45563</v>
      </c>
      <c r="B569" s="11" t="s">
        <v>53</v>
      </c>
      <c r="C569" s="28">
        <v>0.70833333333333337</v>
      </c>
      <c r="D569" s="28">
        <v>0.91666666666666663</v>
      </c>
      <c r="E569" s="30">
        <f t="shared" si="9"/>
        <v>4.9999999999999982</v>
      </c>
      <c r="F569" s="38"/>
      <c r="G569" s="11"/>
    </row>
    <row r="570" spans="1:7" x14ac:dyDescent="0.25">
      <c r="A570" s="104">
        <v>45563</v>
      </c>
      <c r="B570" s="11" t="s">
        <v>58</v>
      </c>
      <c r="C570" s="28">
        <v>0.54166666666666663</v>
      </c>
      <c r="D570" s="28">
        <v>0.875</v>
      </c>
      <c r="E570" s="30">
        <f t="shared" si="9"/>
        <v>7.5</v>
      </c>
      <c r="F570" s="38">
        <v>0.5</v>
      </c>
      <c r="G570" s="11"/>
    </row>
    <row r="571" spans="1:7" x14ac:dyDescent="0.25">
      <c r="A571" s="104">
        <v>45563</v>
      </c>
      <c r="B571" s="11" t="s">
        <v>53</v>
      </c>
      <c r="C571" s="28">
        <v>0.5</v>
      </c>
      <c r="D571" s="28">
        <v>0.70833333333333337</v>
      </c>
      <c r="E571" s="30">
        <f t="shared" si="9"/>
        <v>5.0000000000000009</v>
      </c>
      <c r="F571" s="38"/>
      <c r="G571" s="11"/>
    </row>
    <row r="572" spans="1:7" x14ac:dyDescent="0.25">
      <c r="A572" s="104">
        <v>45563</v>
      </c>
      <c r="B572" s="11" t="s">
        <v>53</v>
      </c>
      <c r="C572" s="28">
        <v>0.27083333333333331</v>
      </c>
      <c r="D572" s="28">
        <v>0.5</v>
      </c>
      <c r="E572" s="30">
        <f t="shared" si="9"/>
        <v>5</v>
      </c>
      <c r="F572" s="38">
        <v>0.5</v>
      </c>
      <c r="G572" s="11"/>
    </row>
    <row r="573" spans="1:7" x14ac:dyDescent="0.25">
      <c r="A573" s="104">
        <v>45563</v>
      </c>
      <c r="B573" s="11" t="s">
        <v>58</v>
      </c>
      <c r="C573" s="28">
        <v>0.27083333333333331</v>
      </c>
      <c r="D573" s="28">
        <v>0.41666666666666669</v>
      </c>
      <c r="E573" s="30">
        <f t="shared" si="9"/>
        <v>3.5000000000000009</v>
      </c>
      <c r="F573" s="38"/>
      <c r="G573" s="11"/>
    </row>
    <row r="574" spans="1:7" x14ac:dyDescent="0.25">
      <c r="A574" s="104">
        <v>45564</v>
      </c>
      <c r="B574" s="11" t="s">
        <v>49</v>
      </c>
      <c r="C574" s="28">
        <v>0.54166666666666663</v>
      </c>
      <c r="D574" s="28">
        <v>0.77083333333333337</v>
      </c>
      <c r="E574" s="30">
        <f t="shared" si="9"/>
        <v>5.0000000000000018</v>
      </c>
      <c r="F574" s="38">
        <v>0.5</v>
      </c>
      <c r="G574" s="11"/>
    </row>
    <row r="575" spans="1:7" x14ac:dyDescent="0.25">
      <c r="A575" s="104">
        <v>45564</v>
      </c>
      <c r="B575" s="11" t="s">
        <v>53</v>
      </c>
      <c r="C575" s="28">
        <v>0.77083333333333337</v>
      </c>
      <c r="D575" s="28">
        <v>4.1666666666666664E-2</v>
      </c>
      <c r="E575" s="30">
        <f t="shared" si="9"/>
        <v>5.9999999999999982</v>
      </c>
      <c r="F575" s="38">
        <v>0.5</v>
      </c>
      <c r="G575" s="11"/>
    </row>
    <row r="576" spans="1:7" x14ac:dyDescent="0.25">
      <c r="A576" s="104">
        <v>45564</v>
      </c>
      <c r="B576" s="11" t="s">
        <v>46</v>
      </c>
      <c r="C576" s="28">
        <v>0.625</v>
      </c>
      <c r="D576" s="28">
        <v>0.875</v>
      </c>
      <c r="E576" s="30">
        <f t="shared" si="9"/>
        <v>5.5</v>
      </c>
      <c r="F576" s="38">
        <v>0.5</v>
      </c>
      <c r="G576" s="11"/>
    </row>
    <row r="577" spans="1:7" x14ac:dyDescent="0.25">
      <c r="A577" s="104">
        <v>45564</v>
      </c>
      <c r="B577" s="11" t="s">
        <v>58</v>
      </c>
      <c r="C577" s="28">
        <v>0.33333333333333331</v>
      </c>
      <c r="D577" s="28">
        <v>0.70833333333333337</v>
      </c>
      <c r="E577" s="30">
        <f t="shared" si="9"/>
        <v>8.0000000000000018</v>
      </c>
      <c r="F577" s="38">
        <v>1</v>
      </c>
      <c r="G577" s="11"/>
    </row>
    <row r="578" spans="1:7" x14ac:dyDescent="0.25">
      <c r="A578" s="104">
        <v>45565</v>
      </c>
      <c r="B578" s="11" t="s">
        <v>56</v>
      </c>
      <c r="C578" s="28">
        <v>0.33333333333333331</v>
      </c>
      <c r="D578" s="28">
        <v>0.58333333333333337</v>
      </c>
      <c r="E578" s="30">
        <f t="shared" si="9"/>
        <v>5.5000000000000018</v>
      </c>
      <c r="F578" s="38">
        <v>0.5</v>
      </c>
      <c r="G578" s="11"/>
    </row>
    <row r="579" spans="1:7" x14ac:dyDescent="0.25">
      <c r="A579" s="104">
        <v>45566</v>
      </c>
      <c r="B579" s="11" t="s">
        <v>56</v>
      </c>
      <c r="C579" s="28">
        <v>0.33333333333333331</v>
      </c>
      <c r="D579" s="28">
        <v>0.58333333333333337</v>
      </c>
      <c r="E579" s="30">
        <f t="shared" si="9"/>
        <v>5.5000000000000018</v>
      </c>
      <c r="F579" s="38">
        <v>0.5</v>
      </c>
      <c r="G579" s="12">
        <f>SUM(E:E)</f>
        <v>5521</v>
      </c>
    </row>
    <row r="580" spans="1:7" x14ac:dyDescent="0.25">
      <c r="A580" s="104">
        <v>45567</v>
      </c>
      <c r="B580" s="11" t="s">
        <v>56</v>
      </c>
      <c r="C580" s="28">
        <v>0.3125</v>
      </c>
      <c r="D580" s="28">
        <v>0.58333333333333337</v>
      </c>
      <c r="E580" s="30">
        <f t="shared" si="9"/>
        <v>6.0000000000000009</v>
      </c>
      <c r="F580" s="38">
        <v>0.5</v>
      </c>
      <c r="G580" s="11"/>
    </row>
    <row r="581" spans="1:7" x14ac:dyDescent="0.25">
      <c r="A581" s="104">
        <v>45567</v>
      </c>
      <c r="B581" s="11" t="s">
        <v>49</v>
      </c>
      <c r="C581" s="28">
        <v>0.70833333333333337</v>
      </c>
      <c r="D581" s="28">
        <v>0.875</v>
      </c>
      <c r="E581" s="30">
        <f t="shared" si="9"/>
        <v>3.9999999999999991</v>
      </c>
      <c r="F581" s="38"/>
      <c r="G581" s="11"/>
    </row>
    <row r="582" spans="1:7" x14ac:dyDescent="0.25">
      <c r="A582" s="104">
        <v>45567</v>
      </c>
      <c r="B582" s="11" t="s">
        <v>56</v>
      </c>
      <c r="C582" s="28">
        <v>0.66666666666666663</v>
      </c>
      <c r="D582" s="28">
        <v>0.875</v>
      </c>
      <c r="E582" s="30">
        <f t="shared" si="9"/>
        <v>5.0000000000000009</v>
      </c>
      <c r="F582" s="38"/>
      <c r="G582" s="11"/>
    </row>
    <row r="583" spans="1:7" x14ac:dyDescent="0.25">
      <c r="A583" s="104">
        <v>45568</v>
      </c>
      <c r="B583" s="11" t="s">
        <v>56</v>
      </c>
      <c r="C583" s="28">
        <v>0.33333333333333331</v>
      </c>
      <c r="D583" s="28">
        <v>0.58333333333333337</v>
      </c>
      <c r="E583" s="30">
        <f t="shared" si="9"/>
        <v>5.5000000000000018</v>
      </c>
      <c r="F583" s="38">
        <v>0.5</v>
      </c>
      <c r="G583" s="11"/>
    </row>
    <row r="584" spans="1:7" x14ac:dyDescent="0.25">
      <c r="A584" s="104">
        <v>45568</v>
      </c>
      <c r="B584" s="11" t="s">
        <v>56</v>
      </c>
      <c r="C584" s="28">
        <v>0.6875</v>
      </c>
      <c r="D584" s="28">
        <v>0.95833333333333337</v>
      </c>
      <c r="E584" s="30">
        <f t="shared" si="9"/>
        <v>6.0000000000000009</v>
      </c>
      <c r="F584" s="38">
        <v>0.5</v>
      </c>
      <c r="G584" s="11"/>
    </row>
    <row r="585" spans="1:7" x14ac:dyDescent="0.25">
      <c r="A585" s="104">
        <v>45569</v>
      </c>
      <c r="B585" s="11" t="s">
        <v>56</v>
      </c>
      <c r="C585" s="28">
        <v>0.625</v>
      </c>
      <c r="D585" s="28">
        <v>0.79166666666666663</v>
      </c>
      <c r="E585" s="30">
        <f t="shared" si="9"/>
        <v>3.9999999999999991</v>
      </c>
      <c r="F585" s="38"/>
      <c r="G585" s="11"/>
    </row>
    <row r="586" spans="1:7" x14ac:dyDescent="0.25">
      <c r="A586" s="104">
        <v>45569</v>
      </c>
      <c r="B586" s="11" t="s">
        <v>56</v>
      </c>
      <c r="C586" s="28">
        <v>0.33333333333333331</v>
      </c>
      <c r="D586" s="28">
        <v>0.58333333333333337</v>
      </c>
      <c r="E586" s="30">
        <f t="shared" si="9"/>
        <v>5.5000000000000018</v>
      </c>
      <c r="F586" s="38">
        <v>0.5</v>
      </c>
      <c r="G586" s="11"/>
    </row>
    <row r="587" spans="1:7" x14ac:dyDescent="0.25">
      <c r="A587" s="104">
        <v>45570</v>
      </c>
      <c r="B587" s="11" t="s">
        <v>58</v>
      </c>
      <c r="C587" s="28">
        <v>0.72916666666666663</v>
      </c>
      <c r="D587" s="28">
        <v>0.91666666666666663</v>
      </c>
      <c r="E587" s="30">
        <f t="shared" si="9"/>
        <v>4.5</v>
      </c>
      <c r="F587" s="38"/>
      <c r="G587" s="11"/>
    </row>
    <row r="588" spans="1:7" x14ac:dyDescent="0.25">
      <c r="A588" s="104">
        <v>45570</v>
      </c>
      <c r="B588" s="11" t="s">
        <v>53</v>
      </c>
      <c r="C588" s="28">
        <v>0.625</v>
      </c>
      <c r="D588" s="28">
        <v>0.875</v>
      </c>
      <c r="E588" s="30">
        <f t="shared" si="9"/>
        <v>5.5</v>
      </c>
      <c r="F588" s="38">
        <v>0.5</v>
      </c>
      <c r="G588" s="11"/>
    </row>
    <row r="589" spans="1:7" x14ac:dyDescent="0.25">
      <c r="A589" s="104">
        <v>45570</v>
      </c>
      <c r="B589" s="11" t="s">
        <v>56</v>
      </c>
      <c r="C589" s="28">
        <v>0.33333333333333331</v>
      </c>
      <c r="D589" s="28">
        <v>0.54166666666666663</v>
      </c>
      <c r="E589" s="30">
        <f t="shared" si="9"/>
        <v>5</v>
      </c>
      <c r="F589" s="38"/>
      <c r="G589" s="11"/>
    </row>
    <row r="590" spans="1:7" x14ac:dyDescent="0.25">
      <c r="A590" s="104">
        <v>45570</v>
      </c>
      <c r="B590" s="11" t="s">
        <v>58</v>
      </c>
      <c r="C590" s="28">
        <v>0.27083333333333331</v>
      </c>
      <c r="D590" s="28">
        <v>0.41666666666666669</v>
      </c>
      <c r="E590" s="30">
        <f t="shared" si="9"/>
        <v>3.5000000000000009</v>
      </c>
      <c r="F590" s="38"/>
      <c r="G590" s="11"/>
    </row>
    <row r="591" spans="1:7" x14ac:dyDescent="0.25">
      <c r="A591" s="104">
        <v>45570</v>
      </c>
      <c r="B591" s="11" t="s">
        <v>49</v>
      </c>
      <c r="C591" s="28">
        <v>0.375</v>
      </c>
      <c r="D591" s="28">
        <v>0.5</v>
      </c>
      <c r="E591" s="30">
        <f t="shared" si="9"/>
        <v>3</v>
      </c>
      <c r="F591" s="38"/>
      <c r="G591" s="11"/>
    </row>
    <row r="592" spans="1:7" x14ac:dyDescent="0.25">
      <c r="A592" s="104">
        <v>45570</v>
      </c>
      <c r="B592" s="11" t="s">
        <v>48</v>
      </c>
      <c r="C592" s="28">
        <v>0.33333333333333331</v>
      </c>
      <c r="D592" s="28">
        <v>0.5625</v>
      </c>
      <c r="E592" s="30">
        <f t="shared" si="9"/>
        <v>5</v>
      </c>
      <c r="F592" s="38">
        <v>0.5</v>
      </c>
      <c r="G592" s="11"/>
    </row>
    <row r="593" spans="1:7" x14ac:dyDescent="0.25">
      <c r="A593" s="104">
        <v>45570</v>
      </c>
      <c r="B593" s="11" t="s">
        <v>48</v>
      </c>
      <c r="C593" s="28">
        <v>0.5625</v>
      </c>
      <c r="D593" s="28">
        <v>0.72916666666666663</v>
      </c>
      <c r="E593" s="30">
        <f t="shared" si="9"/>
        <v>3.9999999999999991</v>
      </c>
      <c r="F593" s="38"/>
      <c r="G593" s="11"/>
    </row>
    <row r="594" spans="1:7" x14ac:dyDescent="0.25">
      <c r="A594" s="104">
        <v>45570</v>
      </c>
      <c r="B594" s="11" t="s">
        <v>58</v>
      </c>
      <c r="C594" s="28">
        <v>0.54166666666666663</v>
      </c>
      <c r="D594" s="28">
        <v>0.72916666666666663</v>
      </c>
      <c r="E594" s="30">
        <f t="shared" si="9"/>
        <v>4.5</v>
      </c>
      <c r="F594" s="38"/>
      <c r="G594" s="11"/>
    </row>
    <row r="595" spans="1:7" x14ac:dyDescent="0.25">
      <c r="A595" s="104">
        <v>45571</v>
      </c>
      <c r="B595" s="11" t="s">
        <v>58</v>
      </c>
      <c r="C595" s="28">
        <v>0.45833333333333331</v>
      </c>
      <c r="D595" s="28">
        <v>0.75</v>
      </c>
      <c r="E595" s="30">
        <f t="shared" si="9"/>
        <v>6.5</v>
      </c>
      <c r="F595" s="38">
        <v>0.5</v>
      </c>
      <c r="G595" s="11"/>
    </row>
    <row r="596" spans="1:7" x14ac:dyDescent="0.25">
      <c r="A596" s="104">
        <v>45571</v>
      </c>
      <c r="B596" s="11" t="s">
        <v>58</v>
      </c>
      <c r="C596" s="28">
        <v>0.75</v>
      </c>
      <c r="D596" s="28">
        <v>4.1666666666666664E-2</v>
      </c>
      <c r="E596" s="30">
        <f t="shared" si="9"/>
        <v>6.4999999999999991</v>
      </c>
      <c r="F596" s="38">
        <v>0.5</v>
      </c>
      <c r="G596" s="11"/>
    </row>
    <row r="597" spans="1:7" x14ac:dyDescent="0.25">
      <c r="A597" s="104">
        <v>45571</v>
      </c>
      <c r="B597" s="11" t="s">
        <v>49</v>
      </c>
      <c r="C597" s="28">
        <v>0.5</v>
      </c>
      <c r="D597" s="28">
        <v>0.83333333333333337</v>
      </c>
      <c r="E597" s="30">
        <f t="shared" si="9"/>
        <v>7.5</v>
      </c>
      <c r="F597" s="38">
        <v>0.5</v>
      </c>
      <c r="G597" s="11"/>
    </row>
    <row r="598" spans="1:7" x14ac:dyDescent="0.25">
      <c r="A598" s="104">
        <v>45572</v>
      </c>
      <c r="B598" s="11" t="s">
        <v>56</v>
      </c>
      <c r="C598" s="28">
        <v>0.33333333333333331</v>
      </c>
      <c r="D598" s="28">
        <v>0.58333333333333337</v>
      </c>
      <c r="E598" s="30">
        <f t="shared" si="9"/>
        <v>5.5000000000000018</v>
      </c>
      <c r="F598" s="38">
        <v>0.5</v>
      </c>
      <c r="G598" s="11"/>
    </row>
    <row r="599" spans="1:7" x14ac:dyDescent="0.25">
      <c r="A599" s="104">
        <v>45572</v>
      </c>
      <c r="B599" s="11" t="s">
        <v>49</v>
      </c>
      <c r="C599" s="28">
        <v>0.70833333333333337</v>
      </c>
      <c r="D599" s="28">
        <v>0.91666666666666663</v>
      </c>
      <c r="E599" s="30">
        <f t="shared" si="9"/>
        <v>4.9999999999999982</v>
      </c>
      <c r="F599" s="38"/>
      <c r="G599" s="11"/>
    </row>
    <row r="600" spans="1:7" x14ac:dyDescent="0.25">
      <c r="A600" s="104">
        <v>45573</v>
      </c>
      <c r="B600" s="11" t="s">
        <v>56</v>
      </c>
      <c r="C600" s="28">
        <v>0.33333333333333331</v>
      </c>
      <c r="D600" s="28">
        <v>0.58333333333333337</v>
      </c>
      <c r="E600" s="30">
        <f t="shared" si="9"/>
        <v>5.5000000000000018</v>
      </c>
      <c r="F600" s="38">
        <v>0.5</v>
      </c>
      <c r="G600" s="11"/>
    </row>
    <row r="601" spans="1:7" x14ac:dyDescent="0.25">
      <c r="A601" s="104">
        <v>45573</v>
      </c>
      <c r="B601" s="11" t="s">
        <v>56</v>
      </c>
      <c r="C601" s="28">
        <v>0.625</v>
      </c>
      <c r="D601" s="28">
        <v>0.75</v>
      </c>
      <c r="E601" s="30">
        <f t="shared" si="9"/>
        <v>3</v>
      </c>
      <c r="F601" s="38"/>
      <c r="G601" s="11"/>
    </row>
    <row r="602" spans="1:7" x14ac:dyDescent="0.25">
      <c r="A602" s="104">
        <v>45574</v>
      </c>
      <c r="B602" s="11" t="s">
        <v>56</v>
      </c>
      <c r="C602" s="28">
        <v>0.33333333333333331</v>
      </c>
      <c r="D602" s="28">
        <v>0.58333333333333337</v>
      </c>
      <c r="E602" s="30">
        <f t="shared" si="9"/>
        <v>5.5000000000000018</v>
      </c>
      <c r="F602" s="38">
        <v>0.5</v>
      </c>
      <c r="G602" s="11"/>
    </row>
    <row r="603" spans="1:7" x14ac:dyDescent="0.25">
      <c r="A603" s="104">
        <v>45574</v>
      </c>
      <c r="B603" s="11" t="s">
        <v>49</v>
      </c>
      <c r="C603" s="28">
        <v>0.72916666666666663</v>
      </c>
      <c r="D603" s="28">
        <v>0.89583333333333337</v>
      </c>
      <c r="E603" s="30">
        <f t="shared" si="9"/>
        <v>4.0000000000000018</v>
      </c>
      <c r="F603" s="38"/>
      <c r="G603" s="11"/>
    </row>
    <row r="604" spans="1:7" x14ac:dyDescent="0.25">
      <c r="A604" s="104">
        <v>45575</v>
      </c>
      <c r="B604" s="11" t="s">
        <v>56</v>
      </c>
      <c r="C604" s="28">
        <v>0.70833333333333337</v>
      </c>
      <c r="D604" s="28">
        <v>0.95833333333333337</v>
      </c>
      <c r="E604" s="30">
        <f t="shared" si="9"/>
        <v>5.5</v>
      </c>
      <c r="F604" s="38">
        <v>0.5</v>
      </c>
      <c r="G604" s="11"/>
    </row>
    <row r="605" spans="1:7" x14ac:dyDescent="0.25">
      <c r="A605" s="104">
        <v>45575</v>
      </c>
      <c r="B605" s="11" t="s">
        <v>49</v>
      </c>
      <c r="C605" s="28">
        <v>0.70833333333333337</v>
      </c>
      <c r="D605" s="28">
        <v>0.85416666666666663</v>
      </c>
      <c r="E605" s="30">
        <f t="shared" si="9"/>
        <v>3.4999999999999982</v>
      </c>
      <c r="F605" s="38"/>
      <c r="G605" s="11"/>
    </row>
    <row r="606" spans="1:7" x14ac:dyDescent="0.25">
      <c r="A606" s="104">
        <v>45575</v>
      </c>
      <c r="B606" s="11" t="s">
        <v>56</v>
      </c>
      <c r="C606" s="28">
        <v>0.33333333333333331</v>
      </c>
      <c r="D606" s="28">
        <v>0.58333333333333337</v>
      </c>
      <c r="E606" s="30">
        <f t="shared" si="9"/>
        <v>5.5000000000000018</v>
      </c>
      <c r="F606" s="38">
        <v>0.5</v>
      </c>
      <c r="G606" s="11"/>
    </row>
    <row r="607" spans="1:7" x14ac:dyDescent="0.25">
      <c r="A607" s="104">
        <v>45576</v>
      </c>
      <c r="B607" s="11" t="s">
        <v>56</v>
      </c>
      <c r="C607" s="28">
        <v>0.33333333333333331</v>
      </c>
      <c r="D607" s="28">
        <v>0.58333333333333337</v>
      </c>
      <c r="E607" s="30">
        <f t="shared" si="9"/>
        <v>5.5000000000000018</v>
      </c>
      <c r="F607" s="38">
        <v>0.5</v>
      </c>
      <c r="G607" s="11"/>
    </row>
    <row r="608" spans="1:7" x14ac:dyDescent="0.25">
      <c r="A608" s="104">
        <v>45576</v>
      </c>
      <c r="B608" s="11" t="s">
        <v>46</v>
      </c>
      <c r="C608" s="28">
        <v>0.45833333333333331</v>
      </c>
      <c r="D608" s="28">
        <v>0.79166666666666663</v>
      </c>
      <c r="E608" s="30">
        <f t="shared" si="9"/>
        <v>7.5</v>
      </c>
      <c r="F608" s="38">
        <v>0.5</v>
      </c>
      <c r="G608" s="11"/>
    </row>
    <row r="609" spans="1:7" x14ac:dyDescent="0.25">
      <c r="A609" s="104">
        <v>45577</v>
      </c>
      <c r="B609" s="11" t="s">
        <v>53</v>
      </c>
      <c r="C609" s="28">
        <v>0.625</v>
      </c>
      <c r="D609" s="28">
        <v>4.1666666666666664E-2</v>
      </c>
      <c r="E609" s="30">
        <f>MOD((D609-C609),1) *24 - F609</f>
        <v>9</v>
      </c>
      <c r="F609" s="38">
        <v>1</v>
      </c>
      <c r="G609" s="11"/>
    </row>
    <row r="610" spans="1:7" x14ac:dyDescent="0.25">
      <c r="A610" s="104">
        <v>45577</v>
      </c>
      <c r="B610" s="11" t="s">
        <v>49</v>
      </c>
      <c r="C610" s="28">
        <v>0.375</v>
      </c>
      <c r="D610" s="28">
        <v>0.5</v>
      </c>
      <c r="E610" s="30">
        <f t="shared" si="9"/>
        <v>3</v>
      </c>
      <c r="F610" s="38"/>
      <c r="G610" s="11"/>
    </row>
    <row r="611" spans="1:7" x14ac:dyDescent="0.25">
      <c r="A611" s="104">
        <v>45577</v>
      </c>
      <c r="B611" s="11" t="s">
        <v>56</v>
      </c>
      <c r="C611" s="28">
        <v>0.27083333333333331</v>
      </c>
      <c r="D611" s="28">
        <v>0.54166666666666663</v>
      </c>
      <c r="E611" s="30">
        <f t="shared" si="9"/>
        <v>6</v>
      </c>
      <c r="F611" s="38">
        <v>0.5</v>
      </c>
      <c r="G611" s="11"/>
    </row>
    <row r="612" spans="1:7" x14ac:dyDescent="0.25">
      <c r="A612" s="104">
        <v>45578</v>
      </c>
      <c r="B612" s="11" t="s">
        <v>49</v>
      </c>
      <c r="C612" s="28">
        <v>0.60416666666666663</v>
      </c>
      <c r="D612" s="28">
        <v>0.72916666666666663</v>
      </c>
      <c r="E612" s="30">
        <f t="shared" si="9"/>
        <v>3</v>
      </c>
      <c r="F612" s="38"/>
      <c r="G612" s="11"/>
    </row>
    <row r="613" spans="1:7" x14ac:dyDescent="0.25">
      <c r="A613" s="104">
        <v>45579</v>
      </c>
      <c r="B613" s="11" t="s">
        <v>56</v>
      </c>
      <c r="C613" s="28">
        <v>0.33333333333333331</v>
      </c>
      <c r="D613" s="28">
        <v>0.58333333333333337</v>
      </c>
      <c r="E613" s="30">
        <f t="shared" si="9"/>
        <v>5.5000000000000018</v>
      </c>
      <c r="F613" s="38">
        <v>0.5</v>
      </c>
      <c r="G613" s="11"/>
    </row>
    <row r="614" spans="1:7" x14ac:dyDescent="0.25">
      <c r="A614" s="104">
        <v>45580</v>
      </c>
      <c r="B614" s="11" t="s">
        <v>56</v>
      </c>
      <c r="C614" s="28">
        <v>0.33333333333333331</v>
      </c>
      <c r="D614" s="28">
        <v>0.58333333333333337</v>
      </c>
      <c r="E614" s="30">
        <f t="shared" si="9"/>
        <v>5.5000000000000018</v>
      </c>
      <c r="F614" s="38">
        <v>0.5</v>
      </c>
      <c r="G614" s="11"/>
    </row>
    <row r="615" spans="1:7" x14ac:dyDescent="0.25">
      <c r="A615" s="104">
        <v>45581</v>
      </c>
      <c r="B615" s="11" t="s">
        <v>56</v>
      </c>
      <c r="C615" s="28">
        <v>0.33333333333333331</v>
      </c>
      <c r="D615" s="28">
        <v>0.45833333333333331</v>
      </c>
      <c r="E615" s="30">
        <f t="shared" si="9"/>
        <v>3</v>
      </c>
      <c r="F615" s="38"/>
      <c r="G615" s="11"/>
    </row>
    <row r="616" spans="1:7" x14ac:dyDescent="0.25">
      <c r="A616" s="104">
        <v>45581</v>
      </c>
      <c r="B616" s="11" t="s">
        <v>56</v>
      </c>
      <c r="C616" s="28">
        <v>0.45833333333333331</v>
      </c>
      <c r="D616" s="28">
        <v>0.58333333333333337</v>
      </c>
      <c r="E616" s="30">
        <f t="shared" si="9"/>
        <v>3.0000000000000013</v>
      </c>
      <c r="F616" s="38"/>
      <c r="G616" s="11"/>
    </row>
    <row r="617" spans="1:7" x14ac:dyDescent="0.25">
      <c r="A617" s="104">
        <v>45581</v>
      </c>
      <c r="B617" s="11" t="s">
        <v>56</v>
      </c>
      <c r="C617" s="28">
        <v>0.6875</v>
      </c>
      <c r="D617" s="28">
        <v>0.89583333333333337</v>
      </c>
      <c r="E617" s="30">
        <f t="shared" si="9"/>
        <v>5.0000000000000009</v>
      </c>
      <c r="F617" s="38"/>
      <c r="G617" s="11"/>
    </row>
    <row r="618" spans="1:7" x14ac:dyDescent="0.25">
      <c r="A618" s="104">
        <v>45582</v>
      </c>
      <c r="B618" s="11" t="s">
        <v>56</v>
      </c>
      <c r="C618" s="28">
        <v>0.33333333333333331</v>
      </c>
      <c r="D618" s="28">
        <v>0.58333333333333337</v>
      </c>
      <c r="E618" s="30">
        <f t="shared" si="9"/>
        <v>5.5000000000000018</v>
      </c>
      <c r="F618" s="38">
        <v>0.5</v>
      </c>
      <c r="G618" s="11"/>
    </row>
    <row r="619" spans="1:7" x14ac:dyDescent="0.25">
      <c r="A619" s="104">
        <v>45582</v>
      </c>
      <c r="B619" s="11" t="s">
        <v>56</v>
      </c>
      <c r="C619" s="28">
        <v>0.70833333333333337</v>
      </c>
      <c r="D619" s="28">
        <v>0.95833333333333337</v>
      </c>
      <c r="E619" s="30">
        <f t="shared" si="9"/>
        <v>5.5</v>
      </c>
      <c r="F619" s="38">
        <v>0.5</v>
      </c>
      <c r="G619" s="11"/>
    </row>
    <row r="620" spans="1:7" x14ac:dyDescent="0.25">
      <c r="A620" s="104">
        <v>45583</v>
      </c>
      <c r="B620" s="11" t="s">
        <v>56</v>
      </c>
      <c r="C620" s="28">
        <v>0.33333333333333331</v>
      </c>
      <c r="D620" s="28">
        <v>0.58333333333333337</v>
      </c>
      <c r="E620" s="30">
        <f t="shared" si="9"/>
        <v>5.5000000000000018</v>
      </c>
      <c r="F620" s="38">
        <v>0.5</v>
      </c>
      <c r="G620" s="11"/>
    </row>
    <row r="621" spans="1:7" x14ac:dyDescent="0.25">
      <c r="A621" s="104">
        <v>45583</v>
      </c>
      <c r="B621" s="11" t="s">
        <v>56</v>
      </c>
      <c r="C621" s="28">
        <v>0.625</v>
      </c>
      <c r="D621" s="28">
        <v>0.83333333333333337</v>
      </c>
      <c r="E621" s="30">
        <f t="shared" si="9"/>
        <v>5.0000000000000009</v>
      </c>
      <c r="F621" s="38"/>
      <c r="G621" s="11"/>
    </row>
    <row r="622" spans="1:7" x14ac:dyDescent="0.25">
      <c r="A622" s="104">
        <v>45584</v>
      </c>
      <c r="B622" s="11" t="s">
        <v>48</v>
      </c>
      <c r="C622" s="28">
        <v>0.5</v>
      </c>
      <c r="D622" s="28">
        <v>0.75</v>
      </c>
      <c r="E622" s="30">
        <f t="shared" si="9"/>
        <v>5.5</v>
      </c>
      <c r="F622" s="38">
        <v>0.5</v>
      </c>
      <c r="G622" s="11"/>
    </row>
    <row r="623" spans="1:7" x14ac:dyDescent="0.25">
      <c r="A623" s="104">
        <v>45584</v>
      </c>
      <c r="B623" s="11" t="s">
        <v>49</v>
      </c>
      <c r="C623" s="28">
        <v>0.375</v>
      </c>
      <c r="D623" s="28">
        <v>0.5</v>
      </c>
      <c r="E623" s="30">
        <f t="shared" si="9"/>
        <v>3</v>
      </c>
      <c r="F623" s="38"/>
      <c r="G623" s="11"/>
    </row>
    <row r="624" spans="1:7" x14ac:dyDescent="0.25">
      <c r="A624" s="104">
        <v>45584</v>
      </c>
      <c r="B624" s="11" t="s">
        <v>58</v>
      </c>
      <c r="C624" s="28">
        <v>0.54166666666666663</v>
      </c>
      <c r="D624" s="28">
        <v>0.77083333333333337</v>
      </c>
      <c r="E624" s="30">
        <f t="shared" si="9"/>
        <v>5.0000000000000018</v>
      </c>
      <c r="F624" s="38">
        <v>0.5</v>
      </c>
      <c r="G624" s="11"/>
    </row>
    <row r="625" spans="1:7" x14ac:dyDescent="0.25">
      <c r="A625" s="104">
        <v>45584</v>
      </c>
      <c r="B625" s="11" t="s">
        <v>58</v>
      </c>
      <c r="C625" s="28">
        <v>0.77083333333333337</v>
      </c>
      <c r="D625" s="28">
        <v>0</v>
      </c>
      <c r="E625" s="30">
        <f t="shared" si="9"/>
        <v>4.9999999999999991</v>
      </c>
      <c r="F625" s="38">
        <v>0.5</v>
      </c>
      <c r="G625" s="11"/>
    </row>
    <row r="626" spans="1:7" x14ac:dyDescent="0.25">
      <c r="A626" s="104">
        <v>45584</v>
      </c>
      <c r="B626" s="11" t="s">
        <v>56</v>
      </c>
      <c r="C626" s="28">
        <v>0.27083333333333331</v>
      </c>
      <c r="D626" s="28">
        <v>0.41666666666666669</v>
      </c>
      <c r="E626" s="30">
        <f t="shared" si="9"/>
        <v>3.5000000000000009</v>
      </c>
      <c r="F626" s="38"/>
      <c r="G626" s="11"/>
    </row>
    <row r="627" spans="1:7" x14ac:dyDescent="0.25">
      <c r="A627" s="104">
        <v>45584</v>
      </c>
      <c r="B627" s="11" t="s">
        <v>56</v>
      </c>
      <c r="C627" s="28">
        <v>0.33333333333333331</v>
      </c>
      <c r="D627" s="28">
        <v>0.54166666666666663</v>
      </c>
      <c r="E627" s="30">
        <f t="shared" si="9"/>
        <v>5</v>
      </c>
      <c r="F627" s="38"/>
      <c r="G627" s="11"/>
    </row>
    <row r="628" spans="1:7" x14ac:dyDescent="0.25">
      <c r="A628" s="104">
        <v>45585</v>
      </c>
      <c r="B628" s="11" t="s">
        <v>58</v>
      </c>
      <c r="C628" s="28">
        <v>0.41666666666666669</v>
      </c>
      <c r="D628" s="28">
        <v>0.79166666666666663</v>
      </c>
      <c r="E628" s="30">
        <f t="shared" ref="E628:E690" si="10">MOD((D628-C628),1) *24 - F628</f>
        <v>7.9999999999999982</v>
      </c>
      <c r="F628" s="38">
        <v>1</v>
      </c>
      <c r="G628" s="11"/>
    </row>
    <row r="629" spans="1:7" x14ac:dyDescent="0.25">
      <c r="A629" s="104">
        <v>45585</v>
      </c>
      <c r="B629" s="11" t="s">
        <v>49</v>
      </c>
      <c r="C629" s="28">
        <v>0.60416666666666663</v>
      </c>
      <c r="D629" s="28">
        <v>0.72916666666666663</v>
      </c>
      <c r="E629" s="30">
        <f t="shared" si="10"/>
        <v>3</v>
      </c>
      <c r="F629" s="38"/>
      <c r="G629" s="11"/>
    </row>
    <row r="630" spans="1:7" x14ac:dyDescent="0.25">
      <c r="A630" s="104">
        <v>45586</v>
      </c>
      <c r="B630" s="11" t="s">
        <v>56</v>
      </c>
      <c r="C630" s="28">
        <v>0.33333333333333331</v>
      </c>
      <c r="D630" s="28">
        <v>0.58333333333333337</v>
      </c>
      <c r="E630" s="30">
        <f t="shared" si="10"/>
        <v>5.5000000000000018</v>
      </c>
      <c r="F630" s="38">
        <v>0.5</v>
      </c>
      <c r="G630" s="11"/>
    </row>
    <row r="631" spans="1:7" x14ac:dyDescent="0.25">
      <c r="A631" s="104">
        <v>45587</v>
      </c>
      <c r="B631" s="11" t="s">
        <v>56</v>
      </c>
      <c r="C631" s="28">
        <v>0.33333333333333331</v>
      </c>
      <c r="D631" s="28">
        <v>0.58333333333333337</v>
      </c>
      <c r="E631" s="30">
        <f t="shared" si="10"/>
        <v>5.5000000000000018</v>
      </c>
      <c r="F631" s="38">
        <v>0.5</v>
      </c>
      <c r="G631" s="11"/>
    </row>
    <row r="632" spans="1:7" x14ac:dyDescent="0.25">
      <c r="A632" s="104">
        <v>45588</v>
      </c>
      <c r="B632" s="11" t="s">
        <v>49</v>
      </c>
      <c r="C632" s="28">
        <v>0.70833333333333337</v>
      </c>
      <c r="D632" s="28">
        <v>0.89583333333333337</v>
      </c>
      <c r="E632" s="30">
        <f t="shared" si="10"/>
        <v>4.5</v>
      </c>
      <c r="F632" s="38"/>
      <c r="G632" s="11"/>
    </row>
    <row r="633" spans="1:7" x14ac:dyDescent="0.25">
      <c r="A633" s="104">
        <v>45588</v>
      </c>
      <c r="B633" s="11" t="s">
        <v>56</v>
      </c>
      <c r="C633" s="28">
        <v>0.33333333333333331</v>
      </c>
      <c r="D633" s="28">
        <v>0.58333333333333337</v>
      </c>
      <c r="E633" s="30">
        <f t="shared" si="10"/>
        <v>5.5000000000000018</v>
      </c>
      <c r="F633" s="38">
        <v>0.5</v>
      </c>
      <c r="G633" s="11"/>
    </row>
    <row r="634" spans="1:7" x14ac:dyDescent="0.25">
      <c r="A634" s="104">
        <v>45589</v>
      </c>
      <c r="B634" s="11" t="s">
        <v>49</v>
      </c>
      <c r="C634" s="28">
        <v>0.75</v>
      </c>
      <c r="D634" s="28">
        <v>0.97916666666666663</v>
      </c>
      <c r="E634" s="30">
        <f t="shared" si="10"/>
        <v>4.9999999999999991</v>
      </c>
      <c r="F634" s="38">
        <v>0.5</v>
      </c>
      <c r="G634" s="11"/>
    </row>
    <row r="635" spans="1:7" x14ac:dyDescent="0.25">
      <c r="A635" s="104">
        <v>45589</v>
      </c>
      <c r="B635" s="11" t="s">
        <v>56</v>
      </c>
      <c r="C635" s="28">
        <v>0.33333333333333331</v>
      </c>
      <c r="D635" s="28">
        <v>0.58333333333333337</v>
      </c>
      <c r="E635" s="30">
        <f t="shared" si="10"/>
        <v>5.5000000000000018</v>
      </c>
      <c r="F635" s="38">
        <v>0.5</v>
      </c>
      <c r="G635" s="11"/>
    </row>
    <row r="636" spans="1:7" x14ac:dyDescent="0.25">
      <c r="A636" s="104">
        <v>45589</v>
      </c>
      <c r="B636" s="11" t="s">
        <v>56</v>
      </c>
      <c r="C636" s="28">
        <v>0.70833333333333337</v>
      </c>
      <c r="D636" s="28">
        <v>0.95833333333333337</v>
      </c>
      <c r="E636" s="30">
        <f t="shared" si="10"/>
        <v>5.5</v>
      </c>
      <c r="F636" s="38">
        <v>0.5</v>
      </c>
      <c r="G636" s="11"/>
    </row>
    <row r="637" spans="1:7" x14ac:dyDescent="0.25">
      <c r="A637" s="104">
        <v>45589</v>
      </c>
      <c r="B637" s="11" t="s">
        <v>53</v>
      </c>
      <c r="C637" s="28">
        <v>0.47916666666666669</v>
      </c>
      <c r="D637" s="28">
        <v>0.72916666666666663</v>
      </c>
      <c r="E637" s="30">
        <f t="shared" si="10"/>
        <v>5.4999999999999982</v>
      </c>
      <c r="F637" s="38">
        <v>0.5</v>
      </c>
      <c r="G637" s="11"/>
    </row>
    <row r="638" spans="1:7" x14ac:dyDescent="0.25">
      <c r="A638" s="104">
        <v>45590</v>
      </c>
      <c r="B638" s="11" t="s">
        <v>49</v>
      </c>
      <c r="C638" s="28">
        <v>0.47916666666666669</v>
      </c>
      <c r="D638" s="28">
        <v>0.72916666666666663</v>
      </c>
      <c r="E638" s="30">
        <f t="shared" si="10"/>
        <v>5.4999999999999982</v>
      </c>
      <c r="F638" s="38">
        <v>0.5</v>
      </c>
      <c r="G638" s="11"/>
    </row>
    <row r="639" spans="1:7" x14ac:dyDescent="0.25">
      <c r="A639" s="104">
        <v>45590</v>
      </c>
      <c r="B639" s="11" t="s">
        <v>56</v>
      </c>
      <c r="C639" s="28">
        <v>0.33333333333333331</v>
      </c>
      <c r="D639" s="28">
        <v>0.58333333333333337</v>
      </c>
      <c r="E639" s="30">
        <f t="shared" si="10"/>
        <v>5.5000000000000018</v>
      </c>
      <c r="F639" s="38">
        <v>0.5</v>
      </c>
      <c r="G639" s="11"/>
    </row>
    <row r="640" spans="1:7" x14ac:dyDescent="0.25">
      <c r="A640" s="104">
        <v>45591</v>
      </c>
      <c r="B640" s="11" t="s">
        <v>58</v>
      </c>
      <c r="C640" s="28">
        <v>0.27083333333333331</v>
      </c>
      <c r="D640" s="28">
        <v>0.60416666666666663</v>
      </c>
      <c r="E640" s="30">
        <f t="shared" si="10"/>
        <v>7.5</v>
      </c>
      <c r="F640" s="38">
        <v>0.5</v>
      </c>
      <c r="G640" s="11"/>
    </row>
    <row r="641" spans="1:7" x14ac:dyDescent="0.25">
      <c r="A641" s="104">
        <v>45591</v>
      </c>
      <c r="B641" s="11" t="s">
        <v>53</v>
      </c>
      <c r="C641" s="28">
        <v>0.33333333333333331</v>
      </c>
      <c r="D641" s="28">
        <v>0.58333333333333337</v>
      </c>
      <c r="E641" s="30">
        <f t="shared" si="10"/>
        <v>5.5000000000000018</v>
      </c>
      <c r="F641" s="38">
        <v>0.5</v>
      </c>
      <c r="G641" s="11"/>
    </row>
    <row r="642" spans="1:7" x14ac:dyDescent="0.25">
      <c r="A642" s="104">
        <v>45591</v>
      </c>
      <c r="B642" s="11" t="s">
        <v>53</v>
      </c>
      <c r="C642" s="28">
        <v>0.58333333333333337</v>
      </c>
      <c r="D642" s="28">
        <v>0.77083333333333337</v>
      </c>
      <c r="E642" s="30">
        <f t="shared" si="10"/>
        <v>4.5</v>
      </c>
      <c r="F642" s="38"/>
      <c r="G642" s="11"/>
    </row>
    <row r="643" spans="1:7" x14ac:dyDescent="0.25">
      <c r="A643" s="104">
        <v>45591</v>
      </c>
      <c r="B643" s="11" t="s">
        <v>58</v>
      </c>
      <c r="C643" s="28">
        <v>0.58333333333333337</v>
      </c>
      <c r="D643" s="28">
        <v>4.1666666666666664E-2</v>
      </c>
      <c r="E643" s="30">
        <f t="shared" si="10"/>
        <v>9.9999999999999982</v>
      </c>
      <c r="F643" s="38">
        <v>1</v>
      </c>
      <c r="G643" s="11"/>
    </row>
    <row r="644" spans="1:7" x14ac:dyDescent="0.25">
      <c r="A644" s="104">
        <v>45591</v>
      </c>
      <c r="B644" s="11" t="s">
        <v>46</v>
      </c>
      <c r="C644" s="28">
        <v>0.60416666666666663</v>
      </c>
      <c r="D644" s="28">
        <v>0.85416666666666663</v>
      </c>
      <c r="E644" s="30">
        <f t="shared" si="10"/>
        <v>5.5</v>
      </c>
      <c r="F644" s="38">
        <v>0.5</v>
      </c>
      <c r="G644" s="11"/>
    </row>
    <row r="645" spans="1:7" x14ac:dyDescent="0.25">
      <c r="A645" s="104">
        <v>45591</v>
      </c>
      <c r="B645" s="11" t="s">
        <v>55</v>
      </c>
      <c r="C645" s="28">
        <v>0.72916666666666663</v>
      </c>
      <c r="D645" s="28">
        <v>0.89583333333333337</v>
      </c>
      <c r="E645" s="30">
        <f t="shared" si="10"/>
        <v>4.0000000000000018</v>
      </c>
      <c r="F645" s="38"/>
      <c r="G645" s="11"/>
    </row>
    <row r="646" spans="1:7" x14ac:dyDescent="0.25">
      <c r="A646" s="104">
        <v>45592</v>
      </c>
      <c r="B646" s="11" t="s">
        <v>53</v>
      </c>
      <c r="C646" s="28">
        <v>0.5</v>
      </c>
      <c r="D646" s="28">
        <v>0.75</v>
      </c>
      <c r="E646" s="30">
        <f t="shared" si="10"/>
        <v>5.5</v>
      </c>
      <c r="F646" s="38">
        <v>0.5</v>
      </c>
      <c r="G646" s="11"/>
    </row>
    <row r="647" spans="1:7" x14ac:dyDescent="0.25">
      <c r="A647" s="104">
        <v>45592</v>
      </c>
      <c r="B647" s="11" t="s">
        <v>58</v>
      </c>
      <c r="C647" s="28">
        <v>0.5625</v>
      </c>
      <c r="D647" s="28">
        <v>0.77083333333333337</v>
      </c>
      <c r="E647" s="30">
        <f t="shared" si="10"/>
        <v>5.0000000000000009</v>
      </c>
      <c r="F647" s="38"/>
      <c r="G647" s="11"/>
    </row>
    <row r="648" spans="1:7" x14ac:dyDescent="0.25">
      <c r="A648" s="104">
        <v>45593</v>
      </c>
      <c r="B648" s="11" t="s">
        <v>56</v>
      </c>
      <c r="C648" s="28">
        <v>0.33333333333333331</v>
      </c>
      <c r="D648" s="28">
        <v>0.58333333333333337</v>
      </c>
      <c r="E648" s="30">
        <f t="shared" si="10"/>
        <v>5.5000000000000018</v>
      </c>
      <c r="F648" s="38">
        <v>0.5</v>
      </c>
      <c r="G648" s="11"/>
    </row>
    <row r="649" spans="1:7" x14ac:dyDescent="0.25">
      <c r="A649" s="104">
        <v>45594</v>
      </c>
      <c r="B649" s="11" t="s">
        <v>56</v>
      </c>
      <c r="C649" s="28">
        <v>0.33333333333333331</v>
      </c>
      <c r="D649" s="28">
        <v>0.58333333333333337</v>
      </c>
      <c r="E649" s="30">
        <f t="shared" si="10"/>
        <v>5.5000000000000018</v>
      </c>
      <c r="F649" s="38">
        <v>0.5</v>
      </c>
      <c r="G649" s="11"/>
    </row>
    <row r="650" spans="1:7" x14ac:dyDescent="0.25">
      <c r="A650" s="104">
        <v>45595</v>
      </c>
      <c r="B650" s="11" t="s">
        <v>49</v>
      </c>
      <c r="C650" s="28">
        <v>0.70833333333333337</v>
      </c>
      <c r="D650" s="28">
        <v>0.89583333333333337</v>
      </c>
      <c r="E650" s="30">
        <f t="shared" si="10"/>
        <v>4.5</v>
      </c>
      <c r="F650" s="38"/>
      <c r="G650" s="11"/>
    </row>
    <row r="651" spans="1:7" x14ac:dyDescent="0.25">
      <c r="A651" s="104">
        <v>45595</v>
      </c>
      <c r="B651" s="11" t="s">
        <v>56</v>
      </c>
      <c r="C651" s="28">
        <v>0.33333333333333331</v>
      </c>
      <c r="D651" s="28">
        <v>0.58333333333333337</v>
      </c>
      <c r="E651" s="30">
        <f t="shared" si="10"/>
        <v>5.5000000000000018</v>
      </c>
      <c r="F651" s="38">
        <v>0.5</v>
      </c>
      <c r="G651" s="11"/>
    </row>
    <row r="652" spans="1:7" x14ac:dyDescent="0.25">
      <c r="A652" s="104">
        <v>45596</v>
      </c>
      <c r="B652" s="11" t="s">
        <v>56</v>
      </c>
      <c r="C652" s="28">
        <v>0.77083333333333337</v>
      </c>
      <c r="D652" s="28">
        <v>0.91666666666666663</v>
      </c>
      <c r="E652" s="30">
        <f t="shared" si="10"/>
        <v>3.4999999999999982</v>
      </c>
      <c r="F652" s="38"/>
      <c r="G652" s="11"/>
    </row>
    <row r="653" spans="1:7" x14ac:dyDescent="0.25">
      <c r="A653" s="104">
        <v>45596</v>
      </c>
      <c r="B653" s="11" t="s">
        <v>56</v>
      </c>
      <c r="C653" s="28">
        <v>0.33333333333333331</v>
      </c>
      <c r="D653" s="28">
        <v>0.58333333333333337</v>
      </c>
      <c r="E653" s="30">
        <f t="shared" si="10"/>
        <v>5.5000000000000018</v>
      </c>
      <c r="F653" s="38">
        <v>0.5</v>
      </c>
      <c r="G653" s="11"/>
    </row>
    <row r="654" spans="1:7" x14ac:dyDescent="0.25">
      <c r="A654" s="104">
        <v>45597</v>
      </c>
      <c r="B654" s="11" t="s">
        <v>56</v>
      </c>
      <c r="C654" s="28">
        <v>0.33333333333333331</v>
      </c>
      <c r="D654" s="28">
        <v>0.58333333333333337</v>
      </c>
      <c r="E654" s="30">
        <f t="shared" si="10"/>
        <v>5.5000000000000018</v>
      </c>
      <c r="F654" s="38">
        <v>0.5</v>
      </c>
      <c r="G654" s="12">
        <f>SUM(E:E)</f>
        <v>5521</v>
      </c>
    </row>
    <row r="655" spans="1:7" x14ac:dyDescent="0.25">
      <c r="A655" s="104">
        <v>45597</v>
      </c>
      <c r="B655" s="11" t="s">
        <v>53</v>
      </c>
      <c r="C655" s="28">
        <v>0.75</v>
      </c>
      <c r="D655" s="28">
        <v>0.95833333333333337</v>
      </c>
      <c r="E655" s="30">
        <f t="shared" si="10"/>
        <v>5.0000000000000009</v>
      </c>
      <c r="F655" s="38"/>
      <c r="G655" s="11"/>
    </row>
    <row r="656" spans="1:7" x14ac:dyDescent="0.25">
      <c r="A656" s="104">
        <v>45597</v>
      </c>
      <c r="B656" s="11" t="s">
        <v>53</v>
      </c>
      <c r="C656" s="28">
        <v>0.45833333333333331</v>
      </c>
      <c r="D656" s="28">
        <v>0.66666666666666663</v>
      </c>
      <c r="E656" s="30">
        <f t="shared" si="10"/>
        <v>5</v>
      </c>
      <c r="F656" s="38"/>
      <c r="G656" s="11"/>
    </row>
    <row r="657" spans="1:7" x14ac:dyDescent="0.25">
      <c r="A657" s="104">
        <v>45598</v>
      </c>
      <c r="B657" s="11" t="s">
        <v>48</v>
      </c>
      <c r="C657" s="28">
        <v>0.41666666666666669</v>
      </c>
      <c r="D657" s="28">
        <v>0.54166666666666663</v>
      </c>
      <c r="E657" s="30">
        <f t="shared" si="10"/>
        <v>2.9999999999999987</v>
      </c>
      <c r="F657" s="38"/>
      <c r="G657" s="11"/>
    </row>
    <row r="658" spans="1:7" x14ac:dyDescent="0.25">
      <c r="A658" s="104">
        <v>45598</v>
      </c>
      <c r="B658" s="11" t="s">
        <v>49</v>
      </c>
      <c r="C658" s="28">
        <v>0.375</v>
      </c>
      <c r="D658" s="28">
        <v>0.45833333333333331</v>
      </c>
      <c r="E658" s="30">
        <f t="shared" si="10"/>
        <v>1.9999999999999996</v>
      </c>
      <c r="F658" s="38"/>
      <c r="G658" s="11"/>
    </row>
    <row r="659" spans="1:7" x14ac:dyDescent="0.25">
      <c r="A659" s="104">
        <v>45598</v>
      </c>
      <c r="B659" s="11" t="s">
        <v>58</v>
      </c>
      <c r="C659" s="28">
        <v>0.27083333333333331</v>
      </c>
      <c r="D659" s="28">
        <v>0.54166666666666663</v>
      </c>
      <c r="E659" s="30">
        <f t="shared" si="10"/>
        <v>6</v>
      </c>
      <c r="F659" s="38">
        <v>0.5</v>
      </c>
      <c r="G659" s="11"/>
    </row>
    <row r="660" spans="1:7" x14ac:dyDescent="0.25">
      <c r="A660" s="104">
        <v>45598</v>
      </c>
      <c r="B660" s="11" t="s">
        <v>53</v>
      </c>
      <c r="C660" s="28">
        <v>0.54166666666666663</v>
      </c>
      <c r="D660" s="28">
        <v>6.25E-2</v>
      </c>
      <c r="E660" s="30">
        <f t="shared" si="10"/>
        <v>11.5</v>
      </c>
      <c r="F660" s="38">
        <v>1</v>
      </c>
      <c r="G660" s="11"/>
    </row>
    <row r="661" spans="1:7" x14ac:dyDescent="0.25">
      <c r="A661" s="104">
        <v>45598</v>
      </c>
      <c r="B661" s="11" t="s">
        <v>58</v>
      </c>
      <c r="C661" s="28">
        <v>0.54166666666666663</v>
      </c>
      <c r="D661" s="28">
        <v>0.91666666666666663</v>
      </c>
      <c r="E661" s="30">
        <f t="shared" si="10"/>
        <v>8</v>
      </c>
      <c r="F661" s="38">
        <v>1</v>
      </c>
      <c r="G661" s="11"/>
    </row>
    <row r="662" spans="1:7" x14ac:dyDescent="0.25">
      <c r="A662" s="104">
        <v>45598</v>
      </c>
      <c r="B662" s="11" t="s">
        <v>48</v>
      </c>
      <c r="C662" s="28">
        <v>0.54166666666666663</v>
      </c>
      <c r="D662" s="28">
        <v>0.70833333333333337</v>
      </c>
      <c r="E662" s="30">
        <f t="shared" si="10"/>
        <v>4.0000000000000018</v>
      </c>
      <c r="F662" s="38"/>
      <c r="G662" s="11"/>
    </row>
    <row r="663" spans="1:7" x14ac:dyDescent="0.25">
      <c r="A663" s="104">
        <v>45598</v>
      </c>
      <c r="B663" s="11" t="s">
        <v>46</v>
      </c>
      <c r="C663" s="28">
        <v>0.45833333333333331</v>
      </c>
      <c r="D663" s="28">
        <v>0.79166666666666663</v>
      </c>
      <c r="E663" s="30">
        <f t="shared" si="10"/>
        <v>7.5</v>
      </c>
      <c r="F663" s="38">
        <v>0.5</v>
      </c>
      <c r="G663" s="11"/>
    </row>
    <row r="664" spans="1:7" x14ac:dyDescent="0.25">
      <c r="A664" s="104">
        <v>45599</v>
      </c>
      <c r="B664" s="11" t="s">
        <v>49</v>
      </c>
      <c r="C664" s="28">
        <v>0.625</v>
      </c>
      <c r="D664" s="28">
        <v>0.70833333333333337</v>
      </c>
      <c r="E664" s="30">
        <f t="shared" si="10"/>
        <v>2.0000000000000009</v>
      </c>
      <c r="F664" s="38"/>
      <c r="G664" s="11"/>
    </row>
    <row r="665" spans="1:7" x14ac:dyDescent="0.25">
      <c r="A665" s="104">
        <v>45600</v>
      </c>
      <c r="B665" s="11" t="s">
        <v>56</v>
      </c>
      <c r="C665" s="28">
        <v>0.75</v>
      </c>
      <c r="D665" s="28">
        <v>0.95833333333333337</v>
      </c>
      <c r="E665" s="30">
        <f t="shared" si="10"/>
        <v>5.0000000000000009</v>
      </c>
      <c r="F665" s="38"/>
      <c r="G665" s="11"/>
    </row>
    <row r="666" spans="1:7" x14ac:dyDescent="0.25">
      <c r="A666" s="104">
        <v>45600</v>
      </c>
      <c r="B666" s="11" t="s">
        <v>56</v>
      </c>
      <c r="C666" s="28">
        <v>0.33333333333333331</v>
      </c>
      <c r="D666" s="28">
        <v>0.58333333333333337</v>
      </c>
      <c r="E666" s="30">
        <f t="shared" si="10"/>
        <v>5.5000000000000018</v>
      </c>
      <c r="F666" s="38">
        <v>0.5</v>
      </c>
      <c r="G666" s="11"/>
    </row>
    <row r="667" spans="1:7" x14ac:dyDescent="0.25">
      <c r="A667" s="104">
        <v>45601</v>
      </c>
      <c r="B667" s="11" t="s">
        <v>56</v>
      </c>
      <c r="C667" s="28">
        <v>0.33333333333333331</v>
      </c>
      <c r="D667" s="28">
        <v>0.58333333333333337</v>
      </c>
      <c r="E667" s="30">
        <f t="shared" si="10"/>
        <v>5.5000000000000018</v>
      </c>
      <c r="F667" s="38">
        <v>0.5</v>
      </c>
      <c r="G667" s="11"/>
    </row>
    <row r="668" spans="1:7" x14ac:dyDescent="0.25">
      <c r="A668" s="104">
        <v>45601</v>
      </c>
      <c r="B668" s="11" t="s">
        <v>53</v>
      </c>
      <c r="C668" s="28">
        <v>0.70833333333333337</v>
      </c>
      <c r="D668" s="28">
        <v>0.9375</v>
      </c>
      <c r="E668" s="30">
        <f t="shared" si="10"/>
        <v>4.9999999999999991</v>
      </c>
      <c r="F668" s="38">
        <v>0.5</v>
      </c>
      <c r="G668" s="11"/>
    </row>
    <row r="669" spans="1:7" x14ac:dyDescent="0.25">
      <c r="A669" s="104">
        <v>45602</v>
      </c>
      <c r="B669" s="11" t="s">
        <v>49</v>
      </c>
      <c r="C669" s="28">
        <v>0.625</v>
      </c>
      <c r="D669" s="28">
        <v>0.89583333333333337</v>
      </c>
      <c r="E669" s="30">
        <f t="shared" si="10"/>
        <v>6.0000000000000009</v>
      </c>
      <c r="F669" s="38">
        <v>0.5</v>
      </c>
      <c r="G669" s="11"/>
    </row>
    <row r="670" spans="1:7" x14ac:dyDescent="0.25">
      <c r="A670" s="104">
        <v>45602</v>
      </c>
      <c r="B670" s="11" t="s">
        <v>56</v>
      </c>
      <c r="C670" s="28">
        <v>0.33333333333333331</v>
      </c>
      <c r="D670" s="28">
        <v>0.58333333333333337</v>
      </c>
      <c r="E670" s="30">
        <f t="shared" si="10"/>
        <v>5.5000000000000018</v>
      </c>
      <c r="F670" s="38">
        <v>0.5</v>
      </c>
      <c r="G670" s="11"/>
    </row>
    <row r="671" spans="1:7" x14ac:dyDescent="0.25">
      <c r="A671" s="104">
        <v>45603</v>
      </c>
      <c r="B671" s="11" t="s">
        <v>56</v>
      </c>
      <c r="C671" s="28">
        <v>0.77083333333333337</v>
      </c>
      <c r="D671" s="28">
        <v>0.9375</v>
      </c>
      <c r="E671" s="30">
        <f t="shared" si="10"/>
        <v>3.9999999999999991</v>
      </c>
      <c r="F671" s="38"/>
      <c r="G671" s="11"/>
    </row>
    <row r="672" spans="1:7" x14ac:dyDescent="0.25">
      <c r="A672" s="104">
        <v>45603</v>
      </c>
      <c r="B672" s="11" t="s">
        <v>53</v>
      </c>
      <c r="C672" s="28">
        <v>0.33333333333333331</v>
      </c>
      <c r="D672" s="28">
        <v>0.70833333333333337</v>
      </c>
      <c r="E672" s="30">
        <f t="shared" si="10"/>
        <v>8.0000000000000018</v>
      </c>
      <c r="F672" s="38">
        <v>1</v>
      </c>
      <c r="G672" s="11"/>
    </row>
    <row r="673" spans="1:7" x14ac:dyDescent="0.25">
      <c r="A673" s="104">
        <v>45603</v>
      </c>
      <c r="B673" s="11" t="s">
        <v>56</v>
      </c>
      <c r="C673" s="28">
        <v>0.33333333333333331</v>
      </c>
      <c r="D673" s="28">
        <v>0.58333333333333337</v>
      </c>
      <c r="E673" s="30">
        <f t="shared" si="10"/>
        <v>5.5000000000000018</v>
      </c>
      <c r="F673" s="38">
        <v>0.5</v>
      </c>
      <c r="G673" s="11"/>
    </row>
    <row r="674" spans="1:7" x14ac:dyDescent="0.25">
      <c r="A674" s="104">
        <v>45604</v>
      </c>
      <c r="B674" s="11" t="s">
        <v>56</v>
      </c>
      <c r="C674" s="28">
        <v>0.33333333333333331</v>
      </c>
      <c r="D674" s="28">
        <v>0.58333333333333337</v>
      </c>
      <c r="E674" s="30">
        <f t="shared" si="10"/>
        <v>5.5000000000000018</v>
      </c>
      <c r="F674" s="38">
        <v>0.5</v>
      </c>
      <c r="G674" s="11"/>
    </row>
    <row r="675" spans="1:7" x14ac:dyDescent="0.25">
      <c r="A675" s="104">
        <v>45604</v>
      </c>
      <c r="B675" s="11" t="s">
        <v>56</v>
      </c>
      <c r="C675" s="28">
        <v>0.6875</v>
      </c>
      <c r="D675" s="28">
        <v>0.89583333333333337</v>
      </c>
      <c r="E675" s="30">
        <f t="shared" si="10"/>
        <v>5.0000000000000009</v>
      </c>
      <c r="F675" s="38"/>
      <c r="G675" s="11"/>
    </row>
    <row r="676" spans="1:7" x14ac:dyDescent="0.25">
      <c r="A676" s="104">
        <v>45605</v>
      </c>
      <c r="B676" s="11" t="s">
        <v>56</v>
      </c>
      <c r="C676" s="28">
        <v>0.33333333333333331</v>
      </c>
      <c r="D676" s="28">
        <v>0.54166666666666663</v>
      </c>
      <c r="E676" s="30">
        <f t="shared" si="10"/>
        <v>5</v>
      </c>
      <c r="F676" s="38"/>
      <c r="G676" s="11"/>
    </row>
    <row r="677" spans="1:7" x14ac:dyDescent="0.25">
      <c r="A677" s="104">
        <v>45605</v>
      </c>
      <c r="B677" s="11" t="s">
        <v>58</v>
      </c>
      <c r="C677" s="28">
        <v>0.27083333333333331</v>
      </c>
      <c r="D677" s="28">
        <v>0.41666666666666669</v>
      </c>
      <c r="E677" s="30">
        <f t="shared" si="10"/>
        <v>3.5000000000000009</v>
      </c>
      <c r="F677" s="38"/>
      <c r="G677" s="11"/>
    </row>
    <row r="678" spans="1:7" x14ac:dyDescent="0.25">
      <c r="A678" s="104">
        <v>45605</v>
      </c>
      <c r="B678" s="11" t="s">
        <v>53</v>
      </c>
      <c r="C678" s="28">
        <v>0.29166666666666669</v>
      </c>
      <c r="D678" s="28">
        <v>0.5625</v>
      </c>
      <c r="E678" s="30">
        <f t="shared" si="10"/>
        <v>6</v>
      </c>
      <c r="F678" s="38">
        <v>0.5</v>
      </c>
      <c r="G678" s="11"/>
    </row>
    <row r="679" spans="1:7" x14ac:dyDescent="0.25">
      <c r="A679" s="104">
        <v>45605</v>
      </c>
      <c r="B679" s="11" t="s">
        <v>48</v>
      </c>
      <c r="C679" s="28">
        <v>0.70833333333333337</v>
      </c>
      <c r="D679" s="28">
        <v>6.25E-2</v>
      </c>
      <c r="E679" s="30">
        <f t="shared" si="10"/>
        <v>7.5</v>
      </c>
      <c r="F679" s="38">
        <v>1</v>
      </c>
      <c r="G679" s="11"/>
    </row>
    <row r="680" spans="1:7" x14ac:dyDescent="0.25">
      <c r="A680" s="104">
        <v>45605</v>
      </c>
      <c r="B680" s="11" t="s">
        <v>58</v>
      </c>
      <c r="C680" s="28">
        <v>0.58333333333333337</v>
      </c>
      <c r="D680" s="28">
        <v>0.75</v>
      </c>
      <c r="E680" s="30">
        <f t="shared" si="10"/>
        <v>3.9999999999999991</v>
      </c>
      <c r="F680" s="38"/>
      <c r="G680" s="11"/>
    </row>
    <row r="681" spans="1:7" x14ac:dyDescent="0.25">
      <c r="A681" s="104">
        <v>45605</v>
      </c>
      <c r="B681" s="11" t="s">
        <v>53</v>
      </c>
      <c r="C681" s="28">
        <v>0.54166666666666663</v>
      </c>
      <c r="D681" s="28">
        <v>0.79166666666666663</v>
      </c>
      <c r="E681" s="30">
        <f t="shared" si="10"/>
        <v>5.5</v>
      </c>
      <c r="F681" s="38">
        <v>0.5</v>
      </c>
      <c r="G681" s="11"/>
    </row>
    <row r="682" spans="1:7" x14ac:dyDescent="0.25">
      <c r="A682" s="104">
        <v>45605</v>
      </c>
      <c r="B682" s="11" t="s">
        <v>49</v>
      </c>
      <c r="C682" s="28">
        <v>0.375</v>
      </c>
      <c r="D682" s="28">
        <v>0.5</v>
      </c>
      <c r="E682" s="30">
        <f t="shared" si="10"/>
        <v>3</v>
      </c>
      <c r="F682" s="38"/>
      <c r="G682" s="11"/>
    </row>
    <row r="683" spans="1:7" x14ac:dyDescent="0.25">
      <c r="A683" s="104">
        <v>45605</v>
      </c>
      <c r="B683" s="11" t="s">
        <v>46</v>
      </c>
      <c r="C683" s="28">
        <v>0.375</v>
      </c>
      <c r="D683" s="28">
        <v>0.64583333333333337</v>
      </c>
      <c r="E683" s="30">
        <f t="shared" si="10"/>
        <v>6.0000000000000009</v>
      </c>
      <c r="F683" s="38">
        <v>0.5</v>
      </c>
      <c r="G683" s="11"/>
    </row>
    <row r="684" spans="1:7" x14ac:dyDescent="0.25">
      <c r="A684" s="104">
        <v>45605</v>
      </c>
      <c r="B684" s="11" t="s">
        <v>58</v>
      </c>
      <c r="C684" s="28">
        <v>0.77083333333333337</v>
      </c>
      <c r="D684" s="28">
        <v>0.95833333333333337</v>
      </c>
      <c r="E684" s="30">
        <f t="shared" si="10"/>
        <v>4.5</v>
      </c>
      <c r="F684" s="38"/>
      <c r="G684" s="11"/>
    </row>
    <row r="685" spans="1:7" x14ac:dyDescent="0.25">
      <c r="A685" s="104">
        <v>45606</v>
      </c>
      <c r="B685" s="11" t="s">
        <v>53</v>
      </c>
      <c r="C685" s="28">
        <v>0.41666666666666669</v>
      </c>
      <c r="D685" s="28">
        <v>0.75</v>
      </c>
      <c r="E685" s="30">
        <f t="shared" si="10"/>
        <v>7</v>
      </c>
      <c r="F685" s="38">
        <v>1</v>
      </c>
      <c r="G685" s="11"/>
    </row>
    <row r="686" spans="1:7" x14ac:dyDescent="0.25">
      <c r="A686" s="104">
        <v>45606</v>
      </c>
      <c r="B686" s="11" t="s">
        <v>48</v>
      </c>
      <c r="C686" s="28">
        <v>0.5625</v>
      </c>
      <c r="D686" s="28">
        <v>0.77083333333333337</v>
      </c>
      <c r="E686" s="30">
        <f t="shared" si="10"/>
        <v>5.0000000000000009</v>
      </c>
      <c r="F686" s="38"/>
      <c r="G686" s="11"/>
    </row>
    <row r="687" spans="1:7" x14ac:dyDescent="0.25">
      <c r="A687" s="104">
        <v>45606</v>
      </c>
      <c r="B687" s="11" t="s">
        <v>58</v>
      </c>
      <c r="C687" s="28">
        <v>0.5</v>
      </c>
      <c r="D687" s="28">
        <v>0.75</v>
      </c>
      <c r="E687" s="30">
        <f t="shared" si="10"/>
        <v>5.5</v>
      </c>
      <c r="F687" s="38">
        <v>0.5</v>
      </c>
      <c r="G687" s="11"/>
    </row>
    <row r="688" spans="1:7" x14ac:dyDescent="0.25">
      <c r="A688" s="104">
        <v>45608</v>
      </c>
      <c r="B688" s="11" t="s">
        <v>56</v>
      </c>
      <c r="C688" s="28">
        <v>0.33333333333333331</v>
      </c>
      <c r="D688" s="28">
        <v>0.58333333333333337</v>
      </c>
      <c r="E688" s="30">
        <f t="shared" si="10"/>
        <v>5.5000000000000018</v>
      </c>
      <c r="F688" s="38">
        <v>0.5</v>
      </c>
      <c r="G688" s="11"/>
    </row>
    <row r="689" spans="1:7" x14ac:dyDescent="0.25">
      <c r="A689" s="104">
        <v>45608</v>
      </c>
      <c r="B689" s="11" t="s">
        <v>53</v>
      </c>
      <c r="C689" s="28">
        <v>0.72916666666666663</v>
      </c>
      <c r="D689" s="28">
        <v>0.85416666666666663</v>
      </c>
      <c r="E689" s="30">
        <f t="shared" si="10"/>
        <v>3</v>
      </c>
      <c r="F689" s="38"/>
      <c r="G689" s="11"/>
    </row>
    <row r="690" spans="1:7" x14ac:dyDescent="0.25">
      <c r="A690" s="104">
        <v>45609</v>
      </c>
      <c r="B690" s="11" t="s">
        <v>49</v>
      </c>
      <c r="C690" s="28">
        <v>0.625</v>
      </c>
      <c r="D690" s="28">
        <v>0.89583333333333337</v>
      </c>
      <c r="E690" s="30">
        <f t="shared" si="10"/>
        <v>6.0000000000000009</v>
      </c>
      <c r="F690" s="38">
        <v>0.5</v>
      </c>
      <c r="G690" s="11"/>
    </row>
    <row r="691" spans="1:7" x14ac:dyDescent="0.25">
      <c r="A691" s="104">
        <v>45609</v>
      </c>
      <c r="B691" s="11" t="s">
        <v>56</v>
      </c>
      <c r="C691" s="28">
        <v>0.33333333333333331</v>
      </c>
      <c r="D691" s="28">
        <v>0.58333333333333337</v>
      </c>
      <c r="E691" s="30">
        <f t="shared" ref="E691:E751" si="11">MOD((D691-C691),1) *24 - F691</f>
        <v>5.5000000000000018</v>
      </c>
      <c r="F691" s="38">
        <v>0.5</v>
      </c>
      <c r="G691" s="11"/>
    </row>
    <row r="692" spans="1:7" x14ac:dyDescent="0.25">
      <c r="A692" s="104">
        <v>45610</v>
      </c>
      <c r="B692" s="11" t="s">
        <v>51</v>
      </c>
      <c r="C692" s="28">
        <v>0.6875</v>
      </c>
      <c r="D692" s="28">
        <v>0.91666666666666663</v>
      </c>
      <c r="E692" s="30">
        <f t="shared" si="11"/>
        <v>4.9999999999999991</v>
      </c>
      <c r="F692" s="38">
        <v>0.5</v>
      </c>
      <c r="G692" s="11"/>
    </row>
    <row r="693" spans="1:7" x14ac:dyDescent="0.25">
      <c r="A693" s="104">
        <v>45610</v>
      </c>
      <c r="B693" s="11" t="s">
        <v>56</v>
      </c>
      <c r="C693" s="28">
        <v>0.70833333333333337</v>
      </c>
      <c r="D693" s="28">
        <v>0.9375</v>
      </c>
      <c r="E693" s="30">
        <f t="shared" si="11"/>
        <v>4.9999999999999991</v>
      </c>
      <c r="F693" s="38">
        <v>0.5</v>
      </c>
      <c r="G693" s="11"/>
    </row>
    <row r="694" spans="1:7" x14ac:dyDescent="0.25">
      <c r="A694" s="104">
        <v>45611</v>
      </c>
      <c r="B694" s="11" t="s">
        <v>53</v>
      </c>
      <c r="C694" s="28">
        <v>0.72916666666666663</v>
      </c>
      <c r="D694" s="28">
        <v>0.89583333333333337</v>
      </c>
      <c r="E694" s="30">
        <f t="shared" si="11"/>
        <v>4.0000000000000018</v>
      </c>
      <c r="F694" s="38"/>
      <c r="G694" s="11"/>
    </row>
    <row r="695" spans="1:7" x14ac:dyDescent="0.25">
      <c r="A695" s="104">
        <v>45611</v>
      </c>
      <c r="B695" s="11" t="s">
        <v>56</v>
      </c>
      <c r="C695" s="28">
        <v>0.33333333333333331</v>
      </c>
      <c r="D695" s="28">
        <v>0.58333333333333337</v>
      </c>
      <c r="E695" s="30">
        <f t="shared" si="11"/>
        <v>5.5000000000000018</v>
      </c>
      <c r="F695" s="38">
        <v>0.5</v>
      </c>
      <c r="G695" s="11"/>
    </row>
    <row r="696" spans="1:7" x14ac:dyDescent="0.25">
      <c r="A696" s="104">
        <v>45612</v>
      </c>
      <c r="B696" s="11" t="s">
        <v>56</v>
      </c>
      <c r="C696" s="28">
        <v>0.33333333333333331</v>
      </c>
      <c r="D696" s="28">
        <v>0.54166666666666663</v>
      </c>
      <c r="E696" s="30">
        <f t="shared" si="11"/>
        <v>5</v>
      </c>
      <c r="F696" s="38"/>
      <c r="G696" s="11"/>
    </row>
    <row r="697" spans="1:7" x14ac:dyDescent="0.25">
      <c r="A697" s="104">
        <v>45612</v>
      </c>
      <c r="B697" s="11" t="s">
        <v>58</v>
      </c>
      <c r="C697" s="28">
        <v>0.27083333333333331</v>
      </c>
      <c r="D697" s="28">
        <v>0.41666666666666669</v>
      </c>
      <c r="E697" s="30">
        <f t="shared" si="11"/>
        <v>3.5000000000000009</v>
      </c>
      <c r="F697" s="38"/>
      <c r="G697" s="11"/>
    </row>
    <row r="698" spans="1:7" x14ac:dyDescent="0.25">
      <c r="A698" s="104">
        <v>45612</v>
      </c>
      <c r="B698" s="11" t="s">
        <v>47</v>
      </c>
      <c r="C698" s="28">
        <v>0.54166666666666663</v>
      </c>
      <c r="D698" s="28">
        <v>0.77083333333333337</v>
      </c>
      <c r="E698" s="30">
        <f t="shared" si="11"/>
        <v>5.0000000000000018</v>
      </c>
      <c r="F698" s="38">
        <v>0.5</v>
      </c>
      <c r="G698" s="11"/>
    </row>
    <row r="699" spans="1:7" x14ac:dyDescent="0.25">
      <c r="A699" s="104">
        <v>45612</v>
      </c>
      <c r="B699" s="11" t="s">
        <v>49</v>
      </c>
      <c r="C699" s="28">
        <v>0.375</v>
      </c>
      <c r="D699" s="28">
        <v>0.64583333333333337</v>
      </c>
      <c r="E699" s="30">
        <f t="shared" si="11"/>
        <v>6.0000000000000009</v>
      </c>
      <c r="F699" s="38">
        <v>0.5</v>
      </c>
      <c r="G699" s="11"/>
    </row>
    <row r="700" spans="1:7" x14ac:dyDescent="0.25">
      <c r="A700" s="104">
        <v>45612</v>
      </c>
      <c r="B700" s="11" t="s">
        <v>58</v>
      </c>
      <c r="C700" s="28">
        <v>0.54166666666666663</v>
      </c>
      <c r="D700" s="28">
        <v>0.83333333333333337</v>
      </c>
      <c r="E700" s="30">
        <f t="shared" si="11"/>
        <v>6.5000000000000018</v>
      </c>
      <c r="F700" s="38">
        <v>0.5</v>
      </c>
      <c r="G700" s="11"/>
    </row>
    <row r="701" spans="1:7" x14ac:dyDescent="0.25">
      <c r="A701" s="104">
        <v>45613</v>
      </c>
      <c r="B701" s="11" t="s">
        <v>46</v>
      </c>
      <c r="C701" s="28">
        <v>0.41666666666666669</v>
      </c>
      <c r="D701" s="28">
        <v>0.6875</v>
      </c>
      <c r="E701" s="30">
        <f t="shared" si="11"/>
        <v>6</v>
      </c>
      <c r="F701" s="38">
        <v>0.5</v>
      </c>
      <c r="G701" s="11"/>
    </row>
    <row r="702" spans="1:7" x14ac:dyDescent="0.25">
      <c r="A702" s="104">
        <v>45613</v>
      </c>
      <c r="B702" s="11" t="s">
        <v>58</v>
      </c>
      <c r="C702" s="28">
        <v>0.625</v>
      </c>
      <c r="D702" s="28">
        <v>0.97916666666666663</v>
      </c>
      <c r="E702" s="30">
        <f t="shared" si="11"/>
        <v>7.5</v>
      </c>
      <c r="F702" s="38">
        <v>1</v>
      </c>
      <c r="G702" s="11"/>
    </row>
    <row r="703" spans="1:7" x14ac:dyDescent="0.25">
      <c r="A703" s="104">
        <v>45613</v>
      </c>
      <c r="B703" s="11" t="s">
        <v>53</v>
      </c>
      <c r="C703" s="28">
        <v>0.70833333333333337</v>
      </c>
      <c r="D703" s="28">
        <v>0.95833333333333337</v>
      </c>
      <c r="E703" s="30">
        <f t="shared" si="11"/>
        <v>5.5</v>
      </c>
      <c r="F703" s="38">
        <v>0.5</v>
      </c>
      <c r="G703" s="11"/>
    </row>
    <row r="704" spans="1:7" x14ac:dyDescent="0.25">
      <c r="A704" s="104">
        <v>45613</v>
      </c>
      <c r="B704" s="11" t="s">
        <v>53</v>
      </c>
      <c r="C704" s="28">
        <v>0.54166666666666663</v>
      </c>
      <c r="D704" s="28">
        <v>0.70833333333333337</v>
      </c>
      <c r="E704" s="30">
        <f t="shared" si="11"/>
        <v>4.0000000000000018</v>
      </c>
      <c r="F704" s="38"/>
      <c r="G704" s="11"/>
    </row>
    <row r="705" spans="1:7" x14ac:dyDescent="0.25">
      <c r="A705" s="104">
        <v>45614</v>
      </c>
      <c r="B705" s="11" t="s">
        <v>56</v>
      </c>
      <c r="C705" s="28">
        <v>0.33333333333333331</v>
      </c>
      <c r="D705" s="28">
        <v>0.58333333333333337</v>
      </c>
      <c r="E705" s="30">
        <f t="shared" si="11"/>
        <v>5.5000000000000018</v>
      </c>
      <c r="F705" s="38">
        <v>0.5</v>
      </c>
      <c r="G705" s="11"/>
    </row>
    <row r="706" spans="1:7" x14ac:dyDescent="0.25">
      <c r="A706" s="104">
        <v>45614</v>
      </c>
      <c r="B706" s="11" t="s">
        <v>49</v>
      </c>
      <c r="C706" s="28">
        <v>0.70833333333333337</v>
      </c>
      <c r="D706" s="28">
        <v>0.91666666666666663</v>
      </c>
      <c r="E706" s="30">
        <f t="shared" si="11"/>
        <v>4.9999999999999982</v>
      </c>
      <c r="F706" s="38"/>
      <c r="G706" s="11"/>
    </row>
    <row r="707" spans="1:7" x14ac:dyDescent="0.25">
      <c r="A707" s="104">
        <v>45615</v>
      </c>
      <c r="B707" s="11" t="s">
        <v>53</v>
      </c>
      <c r="C707" s="28">
        <v>0.72916666666666663</v>
      </c>
      <c r="D707" s="28">
        <v>0.85416666666666663</v>
      </c>
      <c r="E707" s="30">
        <f t="shared" si="11"/>
        <v>3</v>
      </c>
      <c r="F707" s="38"/>
      <c r="G707" s="11"/>
    </row>
    <row r="708" spans="1:7" x14ac:dyDescent="0.25">
      <c r="A708" s="104">
        <v>45615</v>
      </c>
      <c r="B708" s="11" t="s">
        <v>56</v>
      </c>
      <c r="C708" s="28">
        <v>0.33333333333333331</v>
      </c>
      <c r="D708" s="28">
        <v>0.58333333333333337</v>
      </c>
      <c r="E708" s="30">
        <f t="shared" si="11"/>
        <v>5.5000000000000018</v>
      </c>
      <c r="F708" s="38">
        <v>0.5</v>
      </c>
      <c r="G708" s="11"/>
    </row>
    <row r="709" spans="1:7" x14ac:dyDescent="0.25">
      <c r="A709" s="104">
        <v>45616</v>
      </c>
      <c r="B709" s="11" t="s">
        <v>56</v>
      </c>
      <c r="C709" s="28">
        <v>0.33333333333333331</v>
      </c>
      <c r="D709" s="28">
        <v>0.58333333333333337</v>
      </c>
      <c r="E709" s="30">
        <f t="shared" si="11"/>
        <v>5.5000000000000018</v>
      </c>
      <c r="F709" s="38">
        <v>0.5</v>
      </c>
      <c r="G709" s="11"/>
    </row>
    <row r="710" spans="1:7" x14ac:dyDescent="0.25">
      <c r="A710" s="104">
        <v>45616</v>
      </c>
      <c r="B710" s="11" t="s">
        <v>49</v>
      </c>
      <c r="C710" s="28">
        <v>0.625</v>
      </c>
      <c r="D710" s="28">
        <v>0.89583333333333337</v>
      </c>
      <c r="E710" s="30">
        <f t="shared" si="11"/>
        <v>6.0000000000000009</v>
      </c>
      <c r="F710" s="38">
        <v>0.5</v>
      </c>
      <c r="G710" s="11"/>
    </row>
    <row r="711" spans="1:7" x14ac:dyDescent="0.25">
      <c r="A711" s="104">
        <v>45617</v>
      </c>
      <c r="B711" s="11" t="s">
        <v>56</v>
      </c>
      <c r="C711" s="28">
        <v>0.33333333333333331</v>
      </c>
      <c r="D711" s="28">
        <v>0.58333333333333337</v>
      </c>
      <c r="E711" s="30">
        <f t="shared" si="11"/>
        <v>5.5000000000000018</v>
      </c>
      <c r="F711" s="38">
        <v>0.5</v>
      </c>
      <c r="G711" s="11"/>
    </row>
    <row r="712" spans="1:7" x14ac:dyDescent="0.25">
      <c r="A712" s="104">
        <v>45617</v>
      </c>
      <c r="B712" s="11" t="s">
        <v>56</v>
      </c>
      <c r="C712" s="28">
        <v>0.77083333333333337</v>
      </c>
      <c r="D712" s="28">
        <v>0.91666666666666663</v>
      </c>
      <c r="E712" s="30">
        <f t="shared" si="11"/>
        <v>3.4999999999999982</v>
      </c>
      <c r="F712" s="38"/>
      <c r="G712" s="11"/>
    </row>
    <row r="713" spans="1:7" x14ac:dyDescent="0.25">
      <c r="A713" s="104">
        <v>45618</v>
      </c>
      <c r="B713" s="11" t="s">
        <v>56</v>
      </c>
      <c r="C713" s="28">
        <v>0.33333333333333331</v>
      </c>
      <c r="D713" s="28">
        <v>0.58333333333333337</v>
      </c>
      <c r="E713" s="30">
        <f t="shared" si="11"/>
        <v>5.5000000000000018</v>
      </c>
      <c r="F713" s="38">
        <v>0.5</v>
      </c>
      <c r="G713" s="11"/>
    </row>
    <row r="714" spans="1:7" x14ac:dyDescent="0.25">
      <c r="A714" s="104">
        <v>45618</v>
      </c>
      <c r="B714" s="11" t="s">
        <v>56</v>
      </c>
      <c r="C714" s="28">
        <v>0.6875</v>
      </c>
      <c r="D714" s="28">
        <v>0.77083333333333337</v>
      </c>
      <c r="E714" s="30">
        <f t="shared" si="11"/>
        <v>2.0000000000000009</v>
      </c>
      <c r="F714" s="38"/>
      <c r="G714" s="11"/>
    </row>
    <row r="715" spans="1:7" x14ac:dyDescent="0.25">
      <c r="A715" s="104">
        <v>45619</v>
      </c>
      <c r="B715" s="11" t="s">
        <v>56</v>
      </c>
      <c r="C715" s="28">
        <v>0.33333333333333331</v>
      </c>
      <c r="D715" s="28">
        <v>0.54166666666666663</v>
      </c>
      <c r="E715" s="30">
        <f t="shared" si="11"/>
        <v>5</v>
      </c>
      <c r="F715" s="38"/>
      <c r="G715" s="11"/>
    </row>
    <row r="716" spans="1:7" x14ac:dyDescent="0.25">
      <c r="A716" s="104">
        <v>45619</v>
      </c>
      <c r="B716" s="11" t="s">
        <v>58</v>
      </c>
      <c r="C716" s="28">
        <v>0.27083333333333331</v>
      </c>
      <c r="D716" s="28">
        <v>0.41666666666666669</v>
      </c>
      <c r="E716" s="30">
        <f t="shared" si="11"/>
        <v>3.5000000000000009</v>
      </c>
      <c r="F716" s="38"/>
      <c r="G716" s="11"/>
    </row>
    <row r="717" spans="1:7" x14ac:dyDescent="0.25">
      <c r="A717" s="104">
        <v>45619</v>
      </c>
      <c r="B717" s="11" t="s">
        <v>53</v>
      </c>
      <c r="C717" s="28">
        <v>0.79166666666666663</v>
      </c>
      <c r="D717" s="28">
        <v>4.1666666666666664E-2</v>
      </c>
      <c r="E717" s="30">
        <f t="shared" si="11"/>
        <v>5.5</v>
      </c>
      <c r="F717" s="38">
        <v>0.5</v>
      </c>
      <c r="G717" s="11"/>
    </row>
    <row r="718" spans="1:7" x14ac:dyDescent="0.25">
      <c r="A718" s="104">
        <v>45619</v>
      </c>
      <c r="B718" s="11" t="s">
        <v>48</v>
      </c>
      <c r="C718" s="28">
        <v>0.72916666666666663</v>
      </c>
      <c r="D718" s="28">
        <v>0.91666666666666663</v>
      </c>
      <c r="E718" s="30">
        <f t="shared" si="11"/>
        <v>4.5</v>
      </c>
      <c r="F718" s="38"/>
      <c r="G718" s="11"/>
    </row>
    <row r="719" spans="1:7" x14ac:dyDescent="0.25">
      <c r="A719" s="104">
        <v>45619</v>
      </c>
      <c r="B719" s="11" t="s">
        <v>49</v>
      </c>
      <c r="C719" s="28">
        <v>0.33333333333333331</v>
      </c>
      <c r="D719" s="28">
        <v>0.5</v>
      </c>
      <c r="E719" s="30">
        <f t="shared" si="11"/>
        <v>4</v>
      </c>
      <c r="F719" s="38"/>
      <c r="G719" s="11"/>
    </row>
    <row r="720" spans="1:7" x14ac:dyDescent="0.25">
      <c r="A720" s="104">
        <v>45619</v>
      </c>
      <c r="B720" s="11" t="s">
        <v>47</v>
      </c>
      <c r="C720" s="28">
        <v>0.33333333333333331</v>
      </c>
      <c r="D720" s="28">
        <v>0.54166666666666663</v>
      </c>
      <c r="E720" s="30">
        <f t="shared" si="11"/>
        <v>5</v>
      </c>
      <c r="F720" s="38"/>
      <c r="G720" s="11"/>
    </row>
    <row r="721" spans="1:7" x14ac:dyDescent="0.25">
      <c r="A721" s="104">
        <v>45619</v>
      </c>
      <c r="B721" s="11" t="s">
        <v>53</v>
      </c>
      <c r="C721" s="28">
        <v>0.5625</v>
      </c>
      <c r="D721" s="28">
        <v>0.79166666666666663</v>
      </c>
      <c r="E721" s="30">
        <f t="shared" si="11"/>
        <v>4.9999999999999991</v>
      </c>
      <c r="F721" s="38">
        <v>0.5</v>
      </c>
      <c r="G721" s="11"/>
    </row>
    <row r="722" spans="1:7" x14ac:dyDescent="0.25">
      <c r="A722" s="104">
        <v>45619</v>
      </c>
      <c r="B722" s="11" t="s">
        <v>47</v>
      </c>
      <c r="C722" s="28">
        <v>0.54166666666666663</v>
      </c>
      <c r="D722" s="28">
        <v>0.72916666666666663</v>
      </c>
      <c r="E722" s="30">
        <f t="shared" si="11"/>
        <v>4.5</v>
      </c>
      <c r="F722" s="38"/>
      <c r="G722" s="11"/>
    </row>
    <row r="723" spans="1:7" x14ac:dyDescent="0.25">
      <c r="A723" s="104">
        <v>45620</v>
      </c>
      <c r="B723" s="11" t="s">
        <v>46</v>
      </c>
      <c r="C723" s="28">
        <v>0.41666666666666669</v>
      </c>
      <c r="D723" s="28">
        <v>0.70833333333333337</v>
      </c>
      <c r="E723" s="30">
        <f t="shared" si="11"/>
        <v>6.5</v>
      </c>
      <c r="F723" s="38">
        <v>0.5</v>
      </c>
      <c r="G723" s="11"/>
    </row>
    <row r="724" spans="1:7" x14ac:dyDescent="0.25">
      <c r="A724" s="104">
        <v>45620</v>
      </c>
      <c r="B724" s="11" t="s">
        <v>53</v>
      </c>
      <c r="C724" s="28">
        <v>0.6875</v>
      </c>
      <c r="D724" s="28">
        <v>0.97916666666666663</v>
      </c>
      <c r="E724" s="30">
        <f t="shared" si="11"/>
        <v>6.4999999999999991</v>
      </c>
      <c r="F724" s="38">
        <v>0.5</v>
      </c>
      <c r="G724" s="11"/>
    </row>
    <row r="725" spans="1:7" x14ac:dyDescent="0.25">
      <c r="A725" s="104">
        <v>45620</v>
      </c>
      <c r="B725" s="11" t="s">
        <v>58</v>
      </c>
      <c r="C725" s="28">
        <v>0.41666666666666669</v>
      </c>
      <c r="D725" s="28">
        <v>0.72916666666666663</v>
      </c>
      <c r="E725" s="30">
        <f t="shared" si="11"/>
        <v>7.4999999999999982</v>
      </c>
      <c r="F725" s="38"/>
      <c r="G725" s="11"/>
    </row>
    <row r="726" spans="1:7" x14ac:dyDescent="0.25">
      <c r="A726" s="104">
        <v>45621</v>
      </c>
      <c r="B726" s="11" t="s">
        <v>56</v>
      </c>
      <c r="C726" s="28">
        <v>0.33333333333333331</v>
      </c>
      <c r="D726" s="28">
        <v>0.58333333333333337</v>
      </c>
      <c r="E726" s="30">
        <f t="shared" si="11"/>
        <v>6.0000000000000018</v>
      </c>
      <c r="F726" s="38"/>
      <c r="G726" s="11"/>
    </row>
    <row r="727" spans="1:7" x14ac:dyDescent="0.25">
      <c r="A727" s="104">
        <v>45622</v>
      </c>
      <c r="B727" s="11" t="s">
        <v>56</v>
      </c>
      <c r="C727" s="28">
        <v>0.33333333333333331</v>
      </c>
      <c r="D727" s="28">
        <v>0.58333333333333337</v>
      </c>
      <c r="E727" s="30">
        <f t="shared" si="11"/>
        <v>6.0000000000000018</v>
      </c>
      <c r="F727" s="38"/>
      <c r="G727" s="11"/>
    </row>
    <row r="728" spans="1:7" x14ac:dyDescent="0.25">
      <c r="A728" s="104">
        <v>45623</v>
      </c>
      <c r="B728" s="11" t="s">
        <v>56</v>
      </c>
      <c r="C728" s="28">
        <v>0.33333333333333331</v>
      </c>
      <c r="D728" s="28">
        <v>0.58333333333333337</v>
      </c>
      <c r="E728" s="30">
        <f t="shared" si="11"/>
        <v>6.0000000000000018</v>
      </c>
      <c r="F728" s="38"/>
      <c r="G728" s="11"/>
    </row>
    <row r="729" spans="1:7" x14ac:dyDescent="0.25">
      <c r="A729" s="104">
        <v>45623</v>
      </c>
      <c r="B729" s="11" t="s">
        <v>49</v>
      </c>
      <c r="C729" s="28">
        <v>0.60416666666666663</v>
      </c>
      <c r="D729" s="28">
        <v>0.89583333333333337</v>
      </c>
      <c r="E729" s="30">
        <f t="shared" si="11"/>
        <v>7.0000000000000018</v>
      </c>
      <c r="F729" s="38"/>
      <c r="G729" s="11"/>
    </row>
    <row r="730" spans="1:7" x14ac:dyDescent="0.25">
      <c r="A730" s="104">
        <v>45626</v>
      </c>
      <c r="B730" s="11" t="s">
        <v>56</v>
      </c>
      <c r="C730" s="28">
        <v>0.33333333333333331</v>
      </c>
      <c r="D730" s="28">
        <v>0.54166666666666663</v>
      </c>
      <c r="E730" s="30">
        <f t="shared" si="11"/>
        <v>5</v>
      </c>
      <c r="F730" s="38"/>
      <c r="G730" s="11"/>
    </row>
    <row r="731" spans="1:7" x14ac:dyDescent="0.25">
      <c r="A731" s="104">
        <v>45626</v>
      </c>
      <c r="B731" s="11" t="s">
        <v>58</v>
      </c>
      <c r="C731" s="28">
        <v>0.58333333333333337</v>
      </c>
      <c r="D731" s="28">
        <v>0.91666666666666663</v>
      </c>
      <c r="E731" s="30">
        <f t="shared" si="11"/>
        <v>7.9999999999999982</v>
      </c>
      <c r="F731" s="38"/>
      <c r="G731" s="11"/>
    </row>
    <row r="732" spans="1:7" x14ac:dyDescent="0.25">
      <c r="A732" s="104">
        <v>45626</v>
      </c>
      <c r="B732" s="11" t="s">
        <v>53</v>
      </c>
      <c r="C732" s="28">
        <v>0.54166666666666663</v>
      </c>
      <c r="D732" s="28">
        <v>0.875</v>
      </c>
      <c r="E732" s="30">
        <f t="shared" si="11"/>
        <v>8</v>
      </c>
      <c r="F732" s="38"/>
      <c r="G732" s="11"/>
    </row>
    <row r="733" spans="1:7" x14ac:dyDescent="0.25">
      <c r="A733" s="104">
        <v>45628</v>
      </c>
      <c r="B733" s="11" t="s">
        <v>56</v>
      </c>
      <c r="C733" s="28">
        <v>0.33333333333333331</v>
      </c>
      <c r="D733" s="28">
        <v>0.58333333333333337</v>
      </c>
      <c r="E733" s="30">
        <f t="shared" si="11"/>
        <v>5.5000000000000018</v>
      </c>
      <c r="F733" s="38">
        <v>0.5</v>
      </c>
      <c r="G733" s="11"/>
    </row>
    <row r="734" spans="1:7" x14ac:dyDescent="0.25">
      <c r="A734" s="104">
        <v>45628</v>
      </c>
      <c r="B734" s="11" t="s">
        <v>49</v>
      </c>
      <c r="C734" s="28">
        <v>0.70833333333333337</v>
      </c>
      <c r="D734" s="28">
        <v>0.79166666666666663</v>
      </c>
      <c r="E734" s="30">
        <f t="shared" si="11"/>
        <v>1.9999999999999982</v>
      </c>
      <c r="F734" s="38"/>
      <c r="G734" s="11"/>
    </row>
    <row r="735" spans="1:7" x14ac:dyDescent="0.25">
      <c r="A735" s="104">
        <v>45629</v>
      </c>
      <c r="B735" s="11" t="s">
        <v>53</v>
      </c>
      <c r="C735" s="28">
        <v>0.72916666666666663</v>
      </c>
      <c r="D735" s="28">
        <v>0.85416666666666663</v>
      </c>
      <c r="E735" s="30">
        <f t="shared" si="11"/>
        <v>3</v>
      </c>
      <c r="F735" s="38"/>
      <c r="G735" s="11"/>
    </row>
    <row r="736" spans="1:7" x14ac:dyDescent="0.25">
      <c r="A736" s="104">
        <v>45629</v>
      </c>
      <c r="B736" s="11" t="s">
        <v>56</v>
      </c>
      <c r="C736" s="28">
        <v>0.33333333333333331</v>
      </c>
      <c r="D736" s="28">
        <v>0.58333333333333337</v>
      </c>
      <c r="E736" s="30">
        <f t="shared" si="11"/>
        <v>5.5000000000000018</v>
      </c>
      <c r="F736" s="38">
        <v>0.5</v>
      </c>
      <c r="G736" s="11"/>
    </row>
    <row r="737" spans="1:7" x14ac:dyDescent="0.25">
      <c r="A737" s="104">
        <v>45630</v>
      </c>
      <c r="B737" s="11" t="s">
        <v>56</v>
      </c>
      <c r="C737" s="28">
        <v>0.70833333333333337</v>
      </c>
      <c r="D737" s="28">
        <v>0.91666666666666663</v>
      </c>
      <c r="E737" s="30">
        <f t="shared" si="11"/>
        <v>4.9999999999999982</v>
      </c>
      <c r="F737" s="38"/>
      <c r="G737" s="11"/>
    </row>
    <row r="738" spans="1:7" x14ac:dyDescent="0.25">
      <c r="A738" s="104">
        <v>45630</v>
      </c>
      <c r="B738" s="11" t="s">
        <v>56</v>
      </c>
      <c r="C738" s="28">
        <v>0.33333333333333331</v>
      </c>
      <c r="D738" s="28">
        <v>0.58333333333333337</v>
      </c>
      <c r="E738" s="30">
        <f t="shared" si="11"/>
        <v>5.5000000000000018</v>
      </c>
      <c r="F738" s="38">
        <v>0.5</v>
      </c>
      <c r="G738" s="11"/>
    </row>
    <row r="739" spans="1:7" x14ac:dyDescent="0.25">
      <c r="A739" s="104">
        <v>45631</v>
      </c>
      <c r="B739" s="11" t="s">
        <v>56</v>
      </c>
      <c r="C739" s="28">
        <v>0.33333333333333331</v>
      </c>
      <c r="D739" s="28">
        <v>0.58333333333333337</v>
      </c>
      <c r="E739" s="30">
        <f t="shared" si="11"/>
        <v>5.5000000000000018</v>
      </c>
      <c r="F739" s="38">
        <v>0.5</v>
      </c>
      <c r="G739" s="11"/>
    </row>
    <row r="740" spans="1:7" x14ac:dyDescent="0.25">
      <c r="A740" s="104">
        <v>45631</v>
      </c>
      <c r="B740" s="11" t="s">
        <v>47</v>
      </c>
      <c r="C740" s="28">
        <v>0.77083333333333337</v>
      </c>
      <c r="D740" s="28">
        <v>0.9375</v>
      </c>
      <c r="E740" s="30">
        <f t="shared" si="11"/>
        <v>3.9999999999999991</v>
      </c>
      <c r="F740" s="38"/>
      <c r="G740" s="11"/>
    </row>
    <row r="741" spans="1:7" x14ac:dyDescent="0.25">
      <c r="A741" s="104">
        <v>45632</v>
      </c>
      <c r="B741" s="11" t="s">
        <v>53</v>
      </c>
      <c r="C741" s="28">
        <v>0.5</v>
      </c>
      <c r="D741" s="28">
        <v>0.66666666666666663</v>
      </c>
      <c r="E741" s="30">
        <f t="shared" si="11"/>
        <v>3.9999999999999991</v>
      </c>
      <c r="F741" s="38"/>
      <c r="G741" s="11"/>
    </row>
    <row r="742" spans="1:7" x14ac:dyDescent="0.25">
      <c r="A742" s="104">
        <v>45632</v>
      </c>
      <c r="B742" s="11" t="s">
        <v>56</v>
      </c>
      <c r="C742" s="28">
        <v>0.33333333333333331</v>
      </c>
      <c r="D742" s="28">
        <v>0.58333333333333337</v>
      </c>
      <c r="E742" s="30">
        <f t="shared" si="11"/>
        <v>5.5000000000000018</v>
      </c>
      <c r="F742" s="38">
        <v>0.5</v>
      </c>
      <c r="G742" s="11"/>
    </row>
    <row r="743" spans="1:7" x14ac:dyDescent="0.25">
      <c r="A743" s="104">
        <v>45632</v>
      </c>
      <c r="B743" s="11" t="s">
        <v>53</v>
      </c>
      <c r="C743" s="28">
        <v>0.70833333333333337</v>
      </c>
      <c r="D743" s="28">
        <v>0.9375</v>
      </c>
      <c r="E743" s="30">
        <f t="shared" si="11"/>
        <v>5.4999999999999991</v>
      </c>
      <c r="F743" s="38"/>
      <c r="G743" s="11"/>
    </row>
    <row r="744" spans="1:7" x14ac:dyDescent="0.25">
      <c r="A744" s="104">
        <v>45633</v>
      </c>
      <c r="B744" s="11" t="s">
        <v>56</v>
      </c>
      <c r="C744" s="28">
        <v>0.33333333333333331</v>
      </c>
      <c r="D744" s="28">
        <v>0.54166666666666663</v>
      </c>
      <c r="E744" s="30">
        <f t="shared" si="11"/>
        <v>5</v>
      </c>
      <c r="F744" s="38"/>
      <c r="G744" s="11"/>
    </row>
    <row r="745" spans="1:7" x14ac:dyDescent="0.25">
      <c r="A745" s="104">
        <v>45633</v>
      </c>
      <c r="B745" s="11" t="s">
        <v>48</v>
      </c>
      <c r="C745" s="28">
        <v>0.77083333333333337</v>
      </c>
      <c r="D745" s="28">
        <v>0.95833333333333337</v>
      </c>
      <c r="E745" s="30">
        <f t="shared" si="11"/>
        <v>4.5</v>
      </c>
      <c r="F745" s="38"/>
      <c r="G745" s="11"/>
    </row>
    <row r="746" spans="1:7" x14ac:dyDescent="0.25">
      <c r="A746" s="104">
        <v>45633</v>
      </c>
      <c r="B746" s="11" t="s">
        <v>48</v>
      </c>
      <c r="C746" s="28">
        <v>0.625</v>
      </c>
      <c r="D746" s="28">
        <v>0.77083333333333337</v>
      </c>
      <c r="E746" s="30">
        <f t="shared" si="11"/>
        <v>3.5000000000000009</v>
      </c>
      <c r="F746" s="38"/>
      <c r="G746" s="11"/>
    </row>
    <row r="747" spans="1:7" x14ac:dyDescent="0.25">
      <c r="A747" s="104">
        <v>45633</v>
      </c>
      <c r="B747" s="11" t="s">
        <v>56</v>
      </c>
      <c r="C747" s="28">
        <v>0.54166666666666663</v>
      </c>
      <c r="D747" s="28">
        <v>0.75</v>
      </c>
      <c r="E747" s="30">
        <f t="shared" si="11"/>
        <v>5.0000000000000009</v>
      </c>
      <c r="F747" s="38"/>
      <c r="G747" s="11"/>
    </row>
    <row r="748" spans="1:7" x14ac:dyDescent="0.25">
      <c r="A748" s="104">
        <v>45633</v>
      </c>
      <c r="B748" s="11" t="s">
        <v>49</v>
      </c>
      <c r="C748" s="28">
        <v>0.375</v>
      </c>
      <c r="D748" s="28">
        <v>0.5</v>
      </c>
      <c r="E748" s="30">
        <f t="shared" si="11"/>
        <v>3</v>
      </c>
      <c r="F748" s="38"/>
      <c r="G748" s="11"/>
    </row>
    <row r="749" spans="1:7" x14ac:dyDescent="0.25">
      <c r="A749" s="104">
        <v>45633</v>
      </c>
      <c r="B749" s="11" t="s">
        <v>47</v>
      </c>
      <c r="C749" s="28">
        <v>0.375</v>
      </c>
      <c r="D749" s="28">
        <v>0.58333333333333337</v>
      </c>
      <c r="E749" s="30">
        <f t="shared" si="11"/>
        <v>5.0000000000000009</v>
      </c>
      <c r="F749" s="38"/>
      <c r="G749" s="11"/>
    </row>
    <row r="750" spans="1:7" x14ac:dyDescent="0.25">
      <c r="A750" s="104">
        <v>45634</v>
      </c>
      <c r="B750" s="11" t="s">
        <v>53</v>
      </c>
      <c r="C750" s="28">
        <v>0.33333333333333331</v>
      </c>
      <c r="D750" s="28">
        <v>0.54166666666666663</v>
      </c>
      <c r="E750" s="30">
        <f t="shared" si="11"/>
        <v>5</v>
      </c>
      <c r="F750" s="38"/>
      <c r="G750" s="11"/>
    </row>
    <row r="751" spans="1:7" x14ac:dyDescent="0.25">
      <c r="A751" s="104">
        <v>45634</v>
      </c>
      <c r="B751" s="11" t="s">
        <v>58</v>
      </c>
      <c r="C751" s="28">
        <v>0.54166666666666663</v>
      </c>
      <c r="D751" s="28">
        <v>0.77083333333333337</v>
      </c>
      <c r="E751" s="30">
        <f t="shared" si="11"/>
        <v>5.0000000000000018</v>
      </c>
      <c r="F751" s="38">
        <v>0.5</v>
      </c>
      <c r="G751" s="11"/>
    </row>
    <row r="752" spans="1:7" x14ac:dyDescent="0.25">
      <c r="A752" s="104">
        <v>45634</v>
      </c>
      <c r="B752" s="11" t="s">
        <v>53</v>
      </c>
      <c r="C752" s="28">
        <v>0.54166666666666663</v>
      </c>
      <c r="D752" s="28">
        <v>0.91666666666666663</v>
      </c>
      <c r="E752" s="30">
        <f t="shared" ref="E752:E786" si="12">MOD((D752-C752),1) *24 - F752</f>
        <v>8</v>
      </c>
      <c r="F752" s="38">
        <v>1</v>
      </c>
      <c r="G752" s="11"/>
    </row>
    <row r="753" spans="1:7" x14ac:dyDescent="0.25">
      <c r="A753" s="104">
        <v>45635</v>
      </c>
      <c r="B753" s="11" t="s">
        <v>56</v>
      </c>
      <c r="C753" s="28">
        <v>0.33333333333333331</v>
      </c>
      <c r="D753" s="28">
        <v>0.58333333333333337</v>
      </c>
      <c r="E753" s="30">
        <f t="shared" si="12"/>
        <v>5.5000000000000018</v>
      </c>
      <c r="F753" s="38">
        <v>0.5</v>
      </c>
      <c r="G753" s="11"/>
    </row>
    <row r="754" spans="1:7" x14ac:dyDescent="0.25">
      <c r="A754" s="104">
        <v>45635</v>
      </c>
      <c r="B754" s="11" t="s">
        <v>49</v>
      </c>
      <c r="C754" s="28">
        <v>0.70833333333333337</v>
      </c>
      <c r="D754" s="28">
        <v>0.79166666666666663</v>
      </c>
      <c r="E754" s="30">
        <f t="shared" si="12"/>
        <v>1.9999999999999982</v>
      </c>
      <c r="F754" s="38"/>
      <c r="G754" s="11"/>
    </row>
    <row r="755" spans="1:7" x14ac:dyDescent="0.25">
      <c r="A755" s="104">
        <v>45636</v>
      </c>
      <c r="B755" s="11" t="s">
        <v>56</v>
      </c>
      <c r="C755" s="28">
        <v>0.33333333333333331</v>
      </c>
      <c r="D755" s="28">
        <v>0.60416666666666663</v>
      </c>
      <c r="E755" s="30">
        <f t="shared" si="12"/>
        <v>6</v>
      </c>
      <c r="F755" s="38">
        <v>0.5</v>
      </c>
      <c r="G755" s="11"/>
    </row>
    <row r="756" spans="1:7" x14ac:dyDescent="0.25">
      <c r="A756" s="104">
        <v>45636</v>
      </c>
      <c r="B756" s="11" t="s">
        <v>53</v>
      </c>
      <c r="C756" s="28">
        <v>0.72916666666666663</v>
      </c>
      <c r="D756" s="28">
        <v>0.85416666666666663</v>
      </c>
      <c r="E756" s="30">
        <f t="shared" si="12"/>
        <v>3</v>
      </c>
      <c r="F756" s="38"/>
      <c r="G756" s="11"/>
    </row>
    <row r="757" spans="1:7" x14ac:dyDescent="0.25">
      <c r="A757" s="104">
        <v>45637</v>
      </c>
      <c r="B757" s="11" t="s">
        <v>49</v>
      </c>
      <c r="C757" s="28">
        <v>0.70833333333333337</v>
      </c>
      <c r="D757" s="28">
        <v>0.89583333333333337</v>
      </c>
      <c r="E757" s="30">
        <f t="shared" si="12"/>
        <v>4.5</v>
      </c>
      <c r="F757" s="38"/>
      <c r="G757" s="11"/>
    </row>
    <row r="758" spans="1:7" x14ac:dyDescent="0.25">
      <c r="A758" s="104">
        <v>45637</v>
      </c>
      <c r="B758" s="11" t="s">
        <v>56</v>
      </c>
      <c r="C758" s="28">
        <v>0.33333333333333331</v>
      </c>
      <c r="D758" s="28">
        <v>0.58333333333333337</v>
      </c>
      <c r="E758" s="30">
        <f t="shared" si="12"/>
        <v>5.5000000000000018</v>
      </c>
      <c r="F758" s="38">
        <v>0.5</v>
      </c>
      <c r="G758" s="11"/>
    </row>
    <row r="759" spans="1:7" x14ac:dyDescent="0.25">
      <c r="A759" s="104">
        <v>45638</v>
      </c>
      <c r="B759" s="11" t="s">
        <v>56</v>
      </c>
      <c r="C759" s="28">
        <v>0.75</v>
      </c>
      <c r="D759" s="28">
        <v>0.95833333333333337</v>
      </c>
      <c r="E759" s="30">
        <f t="shared" si="12"/>
        <v>5.0000000000000009</v>
      </c>
      <c r="F759" s="38"/>
      <c r="G759" s="11"/>
    </row>
    <row r="760" spans="1:7" x14ac:dyDescent="0.25">
      <c r="A760" s="104">
        <v>45638</v>
      </c>
      <c r="B760" s="11" t="s">
        <v>49</v>
      </c>
      <c r="C760" s="28">
        <v>0.5</v>
      </c>
      <c r="D760" s="28">
        <v>0.66666666666666663</v>
      </c>
      <c r="E760" s="30">
        <f t="shared" si="12"/>
        <v>3.9999999999999991</v>
      </c>
      <c r="F760" s="38"/>
      <c r="G760" s="11"/>
    </row>
    <row r="761" spans="1:7" x14ac:dyDescent="0.25">
      <c r="A761" s="104">
        <v>45638</v>
      </c>
      <c r="B761" s="11" t="s">
        <v>56</v>
      </c>
      <c r="C761" s="28">
        <v>0.33333333333333331</v>
      </c>
      <c r="D761" s="28">
        <v>0.58333333333333337</v>
      </c>
      <c r="E761" s="30">
        <f t="shared" si="12"/>
        <v>5.5000000000000018</v>
      </c>
      <c r="F761" s="38">
        <v>0.5</v>
      </c>
      <c r="G761" s="11"/>
    </row>
    <row r="762" spans="1:7" x14ac:dyDescent="0.25">
      <c r="A762" s="104">
        <v>45639</v>
      </c>
      <c r="B762" s="11" t="s">
        <v>56</v>
      </c>
      <c r="C762" s="28">
        <v>0.64583333333333337</v>
      </c>
      <c r="D762" s="28">
        <v>0.89583333333333337</v>
      </c>
      <c r="E762" s="30">
        <f t="shared" si="12"/>
        <v>5.5</v>
      </c>
      <c r="F762" s="38">
        <v>0.5</v>
      </c>
      <c r="G762" s="11"/>
    </row>
    <row r="763" spans="1:7" x14ac:dyDescent="0.25">
      <c r="A763" s="104">
        <v>45639</v>
      </c>
      <c r="B763" s="11" t="s">
        <v>53</v>
      </c>
      <c r="C763" s="28">
        <v>0.64583333333333337</v>
      </c>
      <c r="D763" s="28">
        <v>0.91666666666666663</v>
      </c>
      <c r="E763" s="30">
        <f t="shared" si="12"/>
        <v>5.9999999999999982</v>
      </c>
      <c r="F763" s="38">
        <v>0.5</v>
      </c>
      <c r="G763" s="11"/>
    </row>
    <row r="764" spans="1:7" x14ac:dyDescent="0.25">
      <c r="A764" s="104">
        <v>45639</v>
      </c>
      <c r="B764" s="11" t="s">
        <v>56</v>
      </c>
      <c r="C764" s="28">
        <v>0.33333333333333331</v>
      </c>
      <c r="D764" s="28">
        <v>0.58333333333333337</v>
      </c>
      <c r="E764" s="30">
        <f t="shared" si="12"/>
        <v>5.5000000000000018</v>
      </c>
      <c r="F764" s="38">
        <v>0.5</v>
      </c>
      <c r="G764" s="11"/>
    </row>
    <row r="765" spans="1:7" x14ac:dyDescent="0.25">
      <c r="A765" s="104">
        <v>45640</v>
      </c>
      <c r="B765" s="11" t="s">
        <v>47</v>
      </c>
      <c r="C765" s="28">
        <v>0.375</v>
      </c>
      <c r="D765" s="28">
        <v>0.58333333333333337</v>
      </c>
      <c r="E765" s="30">
        <f t="shared" si="12"/>
        <v>5.0000000000000009</v>
      </c>
      <c r="F765" s="38"/>
      <c r="G765" s="11"/>
    </row>
    <row r="766" spans="1:7" x14ac:dyDescent="0.25">
      <c r="A766" s="104">
        <v>45640</v>
      </c>
      <c r="B766" s="11" t="s">
        <v>49</v>
      </c>
      <c r="C766" s="28">
        <v>0.375</v>
      </c>
      <c r="D766" s="28">
        <v>0.5</v>
      </c>
      <c r="E766" s="30">
        <f t="shared" si="12"/>
        <v>3</v>
      </c>
      <c r="F766" s="38"/>
      <c r="G766" s="11"/>
    </row>
    <row r="767" spans="1:7" x14ac:dyDescent="0.25">
      <c r="A767" s="104">
        <v>45640</v>
      </c>
      <c r="B767" s="11" t="s">
        <v>53</v>
      </c>
      <c r="C767" s="28">
        <v>0.41666666666666669</v>
      </c>
      <c r="D767" s="28">
        <v>0.66666666666666663</v>
      </c>
      <c r="E767" s="30">
        <f t="shared" si="12"/>
        <v>5.4999999999999982</v>
      </c>
      <c r="F767" s="38">
        <v>0.5</v>
      </c>
      <c r="G767" s="11"/>
    </row>
    <row r="768" spans="1:7" x14ac:dyDescent="0.25">
      <c r="A768" s="104">
        <v>45640</v>
      </c>
      <c r="B768" s="11" t="s">
        <v>58</v>
      </c>
      <c r="C768" s="28">
        <v>0.58333333333333337</v>
      </c>
      <c r="D768" s="28">
        <v>0.8125</v>
      </c>
      <c r="E768" s="30">
        <f t="shared" si="12"/>
        <v>4.9999999999999991</v>
      </c>
      <c r="F768" s="38">
        <v>0.5</v>
      </c>
      <c r="G768" s="11"/>
    </row>
    <row r="769" spans="1:7" x14ac:dyDescent="0.25">
      <c r="A769" s="104">
        <v>45640</v>
      </c>
      <c r="B769" s="11" t="s">
        <v>58</v>
      </c>
      <c r="C769" s="28">
        <v>0.8125</v>
      </c>
      <c r="D769" s="28">
        <v>4.1666666666666664E-2</v>
      </c>
      <c r="E769" s="30">
        <f t="shared" si="12"/>
        <v>4.9999999999999991</v>
      </c>
      <c r="F769" s="38">
        <v>0.5</v>
      </c>
      <c r="G769" s="11"/>
    </row>
    <row r="770" spans="1:7" x14ac:dyDescent="0.25">
      <c r="A770" s="104">
        <v>45640</v>
      </c>
      <c r="B770" s="11" t="s">
        <v>56</v>
      </c>
      <c r="C770" s="28">
        <v>0.33333333333333331</v>
      </c>
      <c r="D770" s="28">
        <v>0.54166666666666663</v>
      </c>
      <c r="E770" s="30">
        <f t="shared" si="12"/>
        <v>5</v>
      </c>
      <c r="F770" s="38"/>
      <c r="G770" s="11"/>
    </row>
    <row r="771" spans="1:7" x14ac:dyDescent="0.25">
      <c r="A771" s="104">
        <v>45641</v>
      </c>
      <c r="B771" s="11" t="s">
        <v>48</v>
      </c>
      <c r="C771" s="28">
        <v>0.39583333333333331</v>
      </c>
      <c r="D771" s="28">
        <v>0.60416666666666663</v>
      </c>
      <c r="E771" s="30">
        <f t="shared" si="12"/>
        <v>5</v>
      </c>
      <c r="F771" s="38"/>
      <c r="G771" s="11"/>
    </row>
    <row r="772" spans="1:7" x14ac:dyDescent="0.25">
      <c r="A772" s="104">
        <v>45641</v>
      </c>
      <c r="B772" s="11" t="s">
        <v>53</v>
      </c>
      <c r="C772" s="28">
        <v>0.375</v>
      </c>
      <c r="D772" s="28">
        <v>0.625</v>
      </c>
      <c r="E772" s="30">
        <f t="shared" si="12"/>
        <v>5</v>
      </c>
      <c r="F772" s="38">
        <v>1</v>
      </c>
      <c r="G772" s="11"/>
    </row>
    <row r="773" spans="1:7" x14ac:dyDescent="0.25">
      <c r="A773" s="104">
        <v>45641</v>
      </c>
      <c r="B773" s="11" t="s">
        <v>53</v>
      </c>
      <c r="C773" s="28">
        <v>0.625</v>
      </c>
      <c r="D773" s="28">
        <v>0.91666666666666663</v>
      </c>
      <c r="E773" s="30">
        <f t="shared" si="12"/>
        <v>6.4999999999999991</v>
      </c>
      <c r="F773" s="38">
        <v>0.5</v>
      </c>
      <c r="G773" s="11"/>
    </row>
    <row r="774" spans="1:7" x14ac:dyDescent="0.25">
      <c r="A774" s="104">
        <v>45641</v>
      </c>
      <c r="B774" s="11" t="s">
        <v>58</v>
      </c>
      <c r="C774" s="28">
        <v>0.45833333333333331</v>
      </c>
      <c r="D774" s="28">
        <v>0.79166666666666663</v>
      </c>
      <c r="E774" s="30">
        <f t="shared" si="12"/>
        <v>7.5</v>
      </c>
      <c r="F774" s="38">
        <v>0.5</v>
      </c>
      <c r="G774" s="11"/>
    </row>
    <row r="775" spans="1:7" x14ac:dyDescent="0.25">
      <c r="A775" s="104">
        <v>45642</v>
      </c>
      <c r="B775" s="11" t="s">
        <v>49</v>
      </c>
      <c r="C775" s="28">
        <v>0.41666666666666669</v>
      </c>
      <c r="D775" s="28">
        <v>0.66666666666666663</v>
      </c>
      <c r="E775" s="30">
        <f t="shared" si="12"/>
        <v>5.9999999999999982</v>
      </c>
      <c r="F775" s="38"/>
      <c r="G775" s="11"/>
    </row>
    <row r="776" spans="1:7" x14ac:dyDescent="0.25">
      <c r="A776" s="104">
        <v>45642</v>
      </c>
      <c r="B776" s="11" t="s">
        <v>49</v>
      </c>
      <c r="C776" s="28">
        <v>0.70833333333333337</v>
      </c>
      <c r="D776" s="28">
        <v>0.79166666666666663</v>
      </c>
      <c r="E776" s="30">
        <f t="shared" si="12"/>
        <v>1.9999999999999982</v>
      </c>
      <c r="F776" s="38"/>
      <c r="G776" s="11"/>
    </row>
    <row r="777" spans="1:7" x14ac:dyDescent="0.25">
      <c r="A777" s="104">
        <v>45642</v>
      </c>
      <c r="B777" s="11" t="s">
        <v>56</v>
      </c>
      <c r="C777" s="28">
        <v>0.33333333333333331</v>
      </c>
      <c r="D777" s="28">
        <v>0.58333333333333337</v>
      </c>
      <c r="E777" s="30">
        <f t="shared" si="12"/>
        <v>5.5000000000000018</v>
      </c>
      <c r="F777" s="38">
        <v>0.5</v>
      </c>
      <c r="G777" s="11"/>
    </row>
    <row r="778" spans="1:7" x14ac:dyDescent="0.25">
      <c r="A778" s="104">
        <v>45643</v>
      </c>
      <c r="B778" s="11" t="s">
        <v>53</v>
      </c>
      <c r="C778" s="28">
        <v>0.72916666666666663</v>
      </c>
      <c r="D778" s="28">
        <v>0.85416666666666663</v>
      </c>
      <c r="E778" s="30">
        <f t="shared" si="12"/>
        <v>3</v>
      </c>
      <c r="F778" s="38"/>
      <c r="G778" s="11"/>
    </row>
    <row r="779" spans="1:7" x14ac:dyDescent="0.25">
      <c r="A779" s="104">
        <v>45643</v>
      </c>
      <c r="B779" s="11" t="s">
        <v>56</v>
      </c>
      <c r="C779" s="28">
        <v>0.33333333333333331</v>
      </c>
      <c r="D779" s="28">
        <v>0.58333333333333337</v>
      </c>
      <c r="E779" s="30">
        <f t="shared" si="12"/>
        <v>5.5000000000000018</v>
      </c>
      <c r="F779" s="38">
        <v>0.5</v>
      </c>
      <c r="G779" s="11"/>
    </row>
    <row r="780" spans="1:7" x14ac:dyDescent="0.25">
      <c r="A780" s="104">
        <v>45644</v>
      </c>
      <c r="B780" s="11" t="s">
        <v>49</v>
      </c>
      <c r="C780" s="28">
        <v>0.70833333333333337</v>
      </c>
      <c r="D780" s="28">
        <v>0.89583333333333337</v>
      </c>
      <c r="E780" s="30">
        <f t="shared" si="12"/>
        <v>4.5</v>
      </c>
      <c r="F780" s="38"/>
      <c r="G780" s="11"/>
    </row>
    <row r="781" spans="1:7" x14ac:dyDescent="0.25">
      <c r="A781" s="104">
        <v>45644</v>
      </c>
      <c r="B781" s="11" t="s">
        <v>56</v>
      </c>
      <c r="C781" s="28">
        <v>0.33333333333333331</v>
      </c>
      <c r="D781" s="28">
        <v>0.58333333333333337</v>
      </c>
      <c r="E781" s="30">
        <f t="shared" si="12"/>
        <v>5.5000000000000018</v>
      </c>
      <c r="F781" s="38">
        <v>0.5</v>
      </c>
      <c r="G781" s="11"/>
    </row>
    <row r="782" spans="1:7" x14ac:dyDescent="0.25">
      <c r="A782" s="104">
        <v>45645</v>
      </c>
      <c r="B782" s="11" t="s">
        <v>56</v>
      </c>
      <c r="C782" s="28">
        <v>0.79166666666666663</v>
      </c>
      <c r="D782" s="28">
        <v>0.91666666666666663</v>
      </c>
      <c r="E782" s="30">
        <f t="shared" si="12"/>
        <v>3</v>
      </c>
      <c r="F782" s="38"/>
      <c r="G782" s="11"/>
    </row>
    <row r="783" spans="1:7" x14ac:dyDescent="0.25">
      <c r="A783" s="104">
        <v>45645</v>
      </c>
      <c r="B783" s="11" t="s">
        <v>56</v>
      </c>
      <c r="C783" s="28">
        <v>0.33333333333333331</v>
      </c>
      <c r="D783" s="28">
        <v>0.58333333333333337</v>
      </c>
      <c r="E783" s="30">
        <f t="shared" si="12"/>
        <v>5.5000000000000018</v>
      </c>
      <c r="F783" s="38">
        <v>0.5</v>
      </c>
      <c r="G783" s="11"/>
    </row>
    <row r="784" spans="1:7" x14ac:dyDescent="0.25">
      <c r="A784" s="104">
        <v>45646</v>
      </c>
      <c r="B784" s="11" t="s">
        <v>56</v>
      </c>
      <c r="C784" s="28">
        <v>0.33333333333333331</v>
      </c>
      <c r="D784" s="28">
        <v>0.58333333333333337</v>
      </c>
      <c r="E784" s="30">
        <f t="shared" si="12"/>
        <v>5.5000000000000018</v>
      </c>
      <c r="F784" s="38">
        <v>0.5</v>
      </c>
      <c r="G784" s="11"/>
    </row>
    <row r="785" spans="1:10" x14ac:dyDescent="0.25">
      <c r="A785" s="104">
        <v>45647</v>
      </c>
      <c r="B785" s="11" t="s">
        <v>58</v>
      </c>
      <c r="C785" s="28">
        <v>0.54166666666666663</v>
      </c>
      <c r="D785" s="28">
        <v>0.83333333333333337</v>
      </c>
      <c r="E785" s="30">
        <f t="shared" si="12"/>
        <v>6.5000000000000018</v>
      </c>
      <c r="F785" s="38">
        <v>0.5</v>
      </c>
      <c r="G785" s="11"/>
    </row>
    <row r="786" spans="1:10" x14ac:dyDescent="0.25">
      <c r="A786" s="104">
        <v>45647</v>
      </c>
      <c r="B786" s="11" t="s">
        <v>56</v>
      </c>
      <c r="C786" s="28">
        <v>0.33333333333333331</v>
      </c>
      <c r="D786" s="28">
        <v>0.54166666666666663</v>
      </c>
      <c r="E786" s="30">
        <f t="shared" si="12"/>
        <v>5</v>
      </c>
      <c r="F786" s="38"/>
      <c r="G786" s="11"/>
    </row>
    <row r="787" spans="1:10" x14ac:dyDescent="0.25">
      <c r="A787" s="104">
        <v>45321</v>
      </c>
      <c r="B787" s="11" t="s">
        <v>19</v>
      </c>
      <c r="C787" s="28">
        <v>0.375</v>
      </c>
      <c r="D787" s="28">
        <v>0.58333333333333337</v>
      </c>
      <c r="E787" s="30">
        <f t="shared" ref="E787:E815" si="13">MOD((D787-C787),1) *24 - F787</f>
        <v>5.0000000000000009</v>
      </c>
      <c r="F787" s="12"/>
      <c r="G787" s="42">
        <f>SUM(E787:E997)</f>
        <v>1235.5</v>
      </c>
    </row>
    <row r="788" spans="1:10" x14ac:dyDescent="0.25">
      <c r="A788" s="104">
        <v>45321</v>
      </c>
      <c r="B788" s="11" t="s">
        <v>19</v>
      </c>
      <c r="C788" s="28">
        <v>0.375</v>
      </c>
      <c r="D788" s="28">
        <v>0.58333333333333337</v>
      </c>
      <c r="E788" s="30">
        <f t="shared" si="13"/>
        <v>5.0000000000000009</v>
      </c>
      <c r="F788" s="12"/>
      <c r="G788" s="11"/>
    </row>
    <row r="789" spans="1:10" x14ac:dyDescent="0.25">
      <c r="A789" s="104">
        <v>45322</v>
      </c>
      <c r="B789" s="11" t="s">
        <v>19</v>
      </c>
      <c r="C789" s="28">
        <v>0.375</v>
      </c>
      <c r="D789" s="28">
        <v>0.66666666666666663</v>
      </c>
      <c r="E789" s="30">
        <f t="shared" si="13"/>
        <v>6.4999999999999991</v>
      </c>
      <c r="F789" s="11">
        <v>0.5</v>
      </c>
      <c r="G789" s="11"/>
    </row>
    <row r="790" spans="1:10" x14ac:dyDescent="0.25">
      <c r="A790" s="104">
        <v>45322</v>
      </c>
      <c r="B790" s="11" t="s">
        <v>19</v>
      </c>
      <c r="C790" s="28">
        <v>0.375</v>
      </c>
      <c r="D790" s="28">
        <v>0.66666666666666663</v>
      </c>
      <c r="E790" s="30">
        <f t="shared" si="13"/>
        <v>6.4999999999999991</v>
      </c>
      <c r="F790" s="11">
        <v>0.5</v>
      </c>
      <c r="G790" s="11"/>
    </row>
    <row r="791" spans="1:10" x14ac:dyDescent="0.25">
      <c r="A791" s="104">
        <v>45323</v>
      </c>
      <c r="B791" s="11" t="s">
        <v>19</v>
      </c>
      <c r="C791" s="28">
        <v>0.45833333333333331</v>
      </c>
      <c r="D791" s="28">
        <v>0.625</v>
      </c>
      <c r="E791" s="30">
        <f t="shared" si="13"/>
        <v>4</v>
      </c>
      <c r="F791" s="12"/>
      <c r="G791" s="11"/>
    </row>
    <row r="792" spans="1:10" x14ac:dyDescent="0.25">
      <c r="A792" s="104">
        <v>45323</v>
      </c>
      <c r="B792" s="11" t="s">
        <v>19</v>
      </c>
      <c r="C792" s="28">
        <v>0.45833333333333331</v>
      </c>
      <c r="D792" s="28">
        <v>0.625</v>
      </c>
      <c r="E792" s="30">
        <f t="shared" si="13"/>
        <v>4</v>
      </c>
      <c r="F792" s="12"/>
      <c r="G792" s="11"/>
    </row>
    <row r="793" spans="1:10" x14ac:dyDescent="0.25">
      <c r="A793" s="104">
        <v>45323</v>
      </c>
      <c r="B793" s="11" t="s">
        <v>19</v>
      </c>
      <c r="C793" s="28">
        <v>0.66666666666666663</v>
      </c>
      <c r="D793" s="28">
        <v>0.89583333333333337</v>
      </c>
      <c r="E793" s="30">
        <f t="shared" si="13"/>
        <v>5.5000000000000018</v>
      </c>
      <c r="F793" s="11"/>
      <c r="G793" s="11"/>
      <c r="I793">
        <v>4.5</v>
      </c>
      <c r="J793" t="s">
        <v>90</v>
      </c>
    </row>
    <row r="794" spans="1:10" x14ac:dyDescent="0.25">
      <c r="A794" s="104">
        <v>45323</v>
      </c>
      <c r="B794" s="11" t="s">
        <v>19</v>
      </c>
      <c r="C794" s="28">
        <v>0.66666666666666663</v>
      </c>
      <c r="D794" s="28">
        <v>0.89583333333333337</v>
      </c>
      <c r="E794" s="30">
        <f t="shared" si="13"/>
        <v>5.5000000000000018</v>
      </c>
      <c r="F794" s="11"/>
      <c r="G794" s="11"/>
      <c r="I794">
        <v>4.5</v>
      </c>
      <c r="J794" t="s">
        <v>90</v>
      </c>
    </row>
    <row r="795" spans="1:10" x14ac:dyDescent="0.25">
      <c r="A795" s="104">
        <v>45324</v>
      </c>
      <c r="B795" s="11" t="s">
        <v>19</v>
      </c>
      <c r="C795" s="28">
        <v>0.375</v>
      </c>
      <c r="D795" s="28">
        <v>0.625</v>
      </c>
      <c r="E795" s="30">
        <f t="shared" si="13"/>
        <v>5.5</v>
      </c>
      <c r="F795" s="11">
        <v>0.5</v>
      </c>
      <c r="G795" s="11"/>
    </row>
    <row r="796" spans="1:10" x14ac:dyDescent="0.25">
      <c r="A796" s="104">
        <v>45325</v>
      </c>
      <c r="B796" s="11" t="s">
        <v>19</v>
      </c>
      <c r="C796" s="28">
        <v>0.58333333333333337</v>
      </c>
      <c r="D796" s="28">
        <v>0.91666666666666663</v>
      </c>
      <c r="E796" s="30">
        <f t="shared" si="13"/>
        <v>7.4999999999999982</v>
      </c>
      <c r="F796" s="11">
        <v>0.5</v>
      </c>
      <c r="G796" s="11"/>
    </row>
    <row r="797" spans="1:10" x14ac:dyDescent="0.25">
      <c r="A797" s="104">
        <v>45325</v>
      </c>
      <c r="B797" s="11" t="s">
        <v>19</v>
      </c>
      <c r="C797" s="28">
        <v>0.58333333333333337</v>
      </c>
      <c r="D797" s="28">
        <v>0.91666666666666663</v>
      </c>
      <c r="E797" s="30">
        <f t="shared" si="13"/>
        <v>7.4999999999999982</v>
      </c>
      <c r="F797" s="11">
        <v>0.5</v>
      </c>
      <c r="G797" s="11"/>
    </row>
    <row r="798" spans="1:10" x14ac:dyDescent="0.25">
      <c r="A798" s="104">
        <v>45325</v>
      </c>
      <c r="B798" s="11" t="s">
        <v>19</v>
      </c>
      <c r="C798" s="28">
        <v>0.58333333333333337</v>
      </c>
      <c r="D798" s="28">
        <v>0.91666666666666663</v>
      </c>
      <c r="E798" s="30">
        <f t="shared" si="13"/>
        <v>7.4999999999999982</v>
      </c>
      <c r="F798" s="11">
        <v>0.5</v>
      </c>
      <c r="G798" s="11"/>
    </row>
    <row r="799" spans="1:10" x14ac:dyDescent="0.25">
      <c r="A799" s="104">
        <v>45325</v>
      </c>
      <c r="B799" s="11" t="s">
        <v>19</v>
      </c>
      <c r="C799" s="28">
        <v>0.58333333333333337</v>
      </c>
      <c r="D799" s="28">
        <v>0.91666666666666663</v>
      </c>
      <c r="E799" s="30">
        <f t="shared" si="13"/>
        <v>7.4999999999999982</v>
      </c>
      <c r="F799" s="11">
        <v>0.5</v>
      </c>
      <c r="G799" s="11"/>
    </row>
    <row r="800" spans="1:10" x14ac:dyDescent="0.25">
      <c r="A800" s="104">
        <v>45325</v>
      </c>
      <c r="B800" s="11" t="s">
        <v>19</v>
      </c>
      <c r="C800" s="28">
        <v>0.58333333333333337</v>
      </c>
      <c r="D800" s="28">
        <v>0.91666666666666663</v>
      </c>
      <c r="E800" s="30">
        <f t="shared" si="13"/>
        <v>7.4999999999999982</v>
      </c>
      <c r="F800" s="11">
        <v>0.5</v>
      </c>
      <c r="G800" s="11"/>
    </row>
    <row r="801" spans="1:7" x14ac:dyDescent="0.25">
      <c r="A801" s="104">
        <v>45325</v>
      </c>
      <c r="B801" s="11" t="s">
        <v>19</v>
      </c>
      <c r="C801" s="28">
        <v>0.58333333333333337</v>
      </c>
      <c r="D801" s="28">
        <v>0.91666666666666663</v>
      </c>
      <c r="E801" s="30">
        <f t="shared" si="13"/>
        <v>7.4999999999999982</v>
      </c>
      <c r="F801" s="11">
        <v>0.5</v>
      </c>
      <c r="G801" s="11"/>
    </row>
    <row r="802" spans="1:7" x14ac:dyDescent="0.25">
      <c r="A802" s="104">
        <v>45326</v>
      </c>
      <c r="B802" s="11" t="s">
        <v>19</v>
      </c>
      <c r="C802" s="28">
        <v>0.41666666666666669</v>
      </c>
      <c r="D802" s="28">
        <v>0.66666666666666663</v>
      </c>
      <c r="E802" s="30">
        <f t="shared" si="13"/>
        <v>5.4999999999999982</v>
      </c>
      <c r="F802" s="11">
        <v>0.5</v>
      </c>
      <c r="G802" s="11"/>
    </row>
    <row r="803" spans="1:7" x14ac:dyDescent="0.25">
      <c r="A803" s="104">
        <v>45326</v>
      </c>
      <c r="B803" s="11" t="s">
        <v>19</v>
      </c>
      <c r="C803" s="28">
        <v>0.41666666666666669</v>
      </c>
      <c r="D803" s="28">
        <v>0.66666666666666663</v>
      </c>
      <c r="E803" s="30">
        <f t="shared" si="13"/>
        <v>5.4999999999999982</v>
      </c>
      <c r="F803" s="11">
        <v>0.5</v>
      </c>
      <c r="G803" s="11"/>
    </row>
    <row r="804" spans="1:7" x14ac:dyDescent="0.25">
      <c r="A804" s="104">
        <v>45341</v>
      </c>
      <c r="B804" s="11" t="s">
        <v>19</v>
      </c>
      <c r="C804" s="28">
        <v>0.33333333333333331</v>
      </c>
      <c r="D804" s="28">
        <v>0.70833333333333337</v>
      </c>
      <c r="E804" s="30">
        <f t="shared" si="13"/>
        <v>8.0000000000000018</v>
      </c>
      <c r="F804" s="11">
        <v>1</v>
      </c>
      <c r="G804" s="11"/>
    </row>
    <row r="805" spans="1:7" x14ac:dyDescent="0.25">
      <c r="A805" s="104">
        <v>45354</v>
      </c>
      <c r="B805" s="11" t="s">
        <v>19</v>
      </c>
      <c r="C805" s="28">
        <v>0.41666666666666669</v>
      </c>
      <c r="D805" s="28">
        <v>0.66666666666666663</v>
      </c>
      <c r="E805" s="30">
        <f t="shared" si="13"/>
        <v>5.4999999999999982</v>
      </c>
      <c r="F805" s="11">
        <v>0.5</v>
      </c>
      <c r="G805" s="11"/>
    </row>
    <row r="806" spans="1:7" x14ac:dyDescent="0.25">
      <c r="A806" s="104">
        <v>45354</v>
      </c>
      <c r="B806" s="11" t="s">
        <v>19</v>
      </c>
      <c r="C806" s="28">
        <v>0.41666666666666669</v>
      </c>
      <c r="D806" s="28">
        <v>0.66666666666666663</v>
      </c>
      <c r="E806" s="30">
        <f t="shared" si="13"/>
        <v>5.4999999999999982</v>
      </c>
      <c r="F806" s="11">
        <v>0.5</v>
      </c>
      <c r="G806" s="11"/>
    </row>
    <row r="807" spans="1:7" x14ac:dyDescent="0.25">
      <c r="A807" s="104">
        <v>45354</v>
      </c>
      <c r="B807" s="11" t="s">
        <v>19</v>
      </c>
      <c r="C807" s="28">
        <v>0.41666666666666669</v>
      </c>
      <c r="D807" s="28">
        <v>0.54166666666666663</v>
      </c>
      <c r="E807" s="30">
        <f t="shared" si="13"/>
        <v>2.9999999999999987</v>
      </c>
      <c r="F807" s="11"/>
      <c r="G807" s="11"/>
    </row>
    <row r="808" spans="1:7" x14ac:dyDescent="0.25">
      <c r="A808" s="104">
        <v>45362</v>
      </c>
      <c r="B808" s="11" t="s">
        <v>19</v>
      </c>
      <c r="C808" s="28">
        <v>0.41666666666666669</v>
      </c>
      <c r="D808" s="28">
        <v>0.625</v>
      </c>
      <c r="E808" s="30">
        <f t="shared" si="13"/>
        <v>5</v>
      </c>
      <c r="F808" s="11"/>
      <c r="G808" s="11"/>
    </row>
    <row r="809" spans="1:7" x14ac:dyDescent="0.25">
      <c r="A809" s="104">
        <v>45362</v>
      </c>
      <c r="B809" s="11" t="s">
        <v>19</v>
      </c>
      <c r="C809" s="28">
        <v>0.41666666666666669</v>
      </c>
      <c r="D809" s="28">
        <v>0.625</v>
      </c>
      <c r="E809" s="30">
        <f t="shared" si="13"/>
        <v>5</v>
      </c>
      <c r="F809" s="11"/>
      <c r="G809" s="11"/>
    </row>
    <row r="810" spans="1:7" x14ac:dyDescent="0.25">
      <c r="A810" s="104">
        <v>45363</v>
      </c>
      <c r="B810" s="11" t="s">
        <v>19</v>
      </c>
      <c r="C810" s="28">
        <v>0.41666666666666669</v>
      </c>
      <c r="D810" s="28">
        <v>0.625</v>
      </c>
      <c r="E810" s="30">
        <f t="shared" si="13"/>
        <v>5</v>
      </c>
      <c r="F810" s="11"/>
      <c r="G810" s="11"/>
    </row>
    <row r="811" spans="1:7" x14ac:dyDescent="0.25">
      <c r="A811" s="104">
        <v>45363</v>
      </c>
      <c r="B811" s="11" t="s">
        <v>19</v>
      </c>
      <c r="C811" s="28">
        <v>0.41666666666666669</v>
      </c>
      <c r="D811" s="28">
        <v>0.625</v>
      </c>
      <c r="E811" s="30">
        <f t="shared" si="13"/>
        <v>5</v>
      </c>
      <c r="F811" s="11"/>
      <c r="G811" s="11"/>
    </row>
    <row r="812" spans="1:7" x14ac:dyDescent="0.25">
      <c r="A812" s="104">
        <v>45367</v>
      </c>
      <c r="B812" s="11" t="s">
        <v>19</v>
      </c>
      <c r="C812" s="28">
        <v>0.29166666666666669</v>
      </c>
      <c r="D812" s="28">
        <v>0.66666666666666663</v>
      </c>
      <c r="E812" s="30">
        <f t="shared" si="13"/>
        <v>7.9999999999999982</v>
      </c>
      <c r="F812" s="11">
        <v>1</v>
      </c>
      <c r="G812" s="11"/>
    </row>
    <row r="813" spans="1:7" x14ac:dyDescent="0.25">
      <c r="A813" s="104">
        <v>45367</v>
      </c>
      <c r="B813" s="11" t="s">
        <v>19</v>
      </c>
      <c r="C813" s="28">
        <v>0.29166666666666669</v>
      </c>
      <c r="D813" s="28">
        <v>0.5</v>
      </c>
      <c r="E813" s="30">
        <f t="shared" si="13"/>
        <v>5</v>
      </c>
      <c r="F813" s="11"/>
      <c r="G813" s="11"/>
    </row>
    <row r="814" spans="1:7" x14ac:dyDescent="0.25">
      <c r="A814" s="104">
        <v>45367</v>
      </c>
      <c r="B814" s="11" t="s">
        <v>19</v>
      </c>
      <c r="C814" s="28">
        <v>0.29166666666666669</v>
      </c>
      <c r="D814" s="28">
        <v>0.5</v>
      </c>
      <c r="E814" s="30">
        <f t="shared" si="13"/>
        <v>5</v>
      </c>
      <c r="F814" s="11"/>
      <c r="G814" s="11"/>
    </row>
    <row r="815" spans="1:7" x14ac:dyDescent="0.25">
      <c r="A815" s="104">
        <v>45367</v>
      </c>
      <c r="B815" s="11" t="s">
        <v>19</v>
      </c>
      <c r="C815" s="28">
        <v>0.29166666666666669</v>
      </c>
      <c r="D815" s="28">
        <v>0.41666666666666669</v>
      </c>
      <c r="E815" s="30">
        <f t="shared" si="13"/>
        <v>3</v>
      </c>
      <c r="F815" s="11"/>
      <c r="G815" s="11"/>
    </row>
    <row r="816" spans="1:7" x14ac:dyDescent="0.25">
      <c r="A816" s="104">
        <v>45367</v>
      </c>
      <c r="B816" s="11" t="s">
        <v>19</v>
      </c>
      <c r="C816" s="28">
        <v>0.5</v>
      </c>
      <c r="D816" s="28">
        <v>0.66666666666666663</v>
      </c>
      <c r="E816" s="30">
        <f t="shared" ref="E816:E879" si="14">MOD((D816-C816),1) *24 - F816</f>
        <v>3.9999999999999991</v>
      </c>
      <c r="F816" s="11"/>
      <c r="G816" s="11"/>
    </row>
    <row r="817" spans="1:7" x14ac:dyDescent="0.25">
      <c r="A817" s="104">
        <v>45367</v>
      </c>
      <c r="B817" s="11" t="s">
        <v>19</v>
      </c>
      <c r="C817" s="28">
        <v>0.5</v>
      </c>
      <c r="D817" s="28">
        <v>0.66666666666666663</v>
      </c>
      <c r="E817" s="30">
        <f t="shared" si="14"/>
        <v>3.9999999999999991</v>
      </c>
      <c r="F817" s="11"/>
      <c r="G817" s="11"/>
    </row>
    <row r="818" spans="1:7" x14ac:dyDescent="0.25">
      <c r="A818" s="104">
        <v>45374</v>
      </c>
      <c r="B818" s="11" t="s">
        <v>19</v>
      </c>
      <c r="C818" s="28">
        <v>0.33333333333333331</v>
      </c>
      <c r="D818" s="28">
        <v>0.625</v>
      </c>
      <c r="E818" s="30">
        <f t="shared" si="14"/>
        <v>6.5</v>
      </c>
      <c r="F818" s="11">
        <v>0.5</v>
      </c>
      <c r="G818" s="11"/>
    </row>
    <row r="819" spans="1:7" x14ac:dyDescent="0.25">
      <c r="A819" s="104">
        <v>45374</v>
      </c>
      <c r="B819" s="11" t="s">
        <v>19</v>
      </c>
      <c r="C819" s="28">
        <v>0.33333333333333331</v>
      </c>
      <c r="D819" s="28">
        <v>0.625</v>
      </c>
      <c r="E819" s="30">
        <f t="shared" si="14"/>
        <v>6.5</v>
      </c>
      <c r="F819" s="11">
        <v>0.5</v>
      </c>
      <c r="G819" s="11"/>
    </row>
    <row r="820" spans="1:7" x14ac:dyDescent="0.25">
      <c r="A820" s="104">
        <v>45374</v>
      </c>
      <c r="B820" s="11" t="s">
        <v>19</v>
      </c>
      <c r="C820" s="28">
        <v>0.33333333333333331</v>
      </c>
      <c r="D820" s="28">
        <v>0.625</v>
      </c>
      <c r="E820" s="30">
        <f t="shared" si="14"/>
        <v>6.5</v>
      </c>
      <c r="F820" s="11">
        <v>0.5</v>
      </c>
      <c r="G820" s="11"/>
    </row>
    <row r="821" spans="1:7" x14ac:dyDescent="0.25">
      <c r="A821" s="104">
        <v>45374</v>
      </c>
      <c r="B821" s="11" t="s">
        <v>19</v>
      </c>
      <c r="C821" s="28">
        <v>0.33333333333333331</v>
      </c>
      <c r="D821" s="28">
        <v>0.625</v>
      </c>
      <c r="E821" s="30">
        <f t="shared" si="14"/>
        <v>6.5</v>
      </c>
      <c r="F821" s="11">
        <v>0.5</v>
      </c>
      <c r="G821" s="11"/>
    </row>
    <row r="822" spans="1:7" x14ac:dyDescent="0.25">
      <c r="A822" s="104">
        <v>45396</v>
      </c>
      <c r="B822" s="11" t="s">
        <v>19</v>
      </c>
      <c r="C822" s="28">
        <v>0.45833333333333331</v>
      </c>
      <c r="D822" s="28">
        <v>0.72916666666666663</v>
      </c>
      <c r="E822" s="30">
        <f t="shared" si="14"/>
        <v>6</v>
      </c>
      <c r="F822" s="11">
        <v>0.5</v>
      </c>
      <c r="G822" s="11"/>
    </row>
    <row r="823" spans="1:7" x14ac:dyDescent="0.25">
      <c r="A823" s="104">
        <v>45402</v>
      </c>
      <c r="B823" s="11" t="s">
        <v>19</v>
      </c>
      <c r="C823" s="28">
        <v>0.27083333333333331</v>
      </c>
      <c r="D823" s="28">
        <v>0.58333333333333337</v>
      </c>
      <c r="E823" s="30">
        <f t="shared" si="14"/>
        <v>7.0000000000000018</v>
      </c>
      <c r="F823" s="11">
        <v>0.5</v>
      </c>
      <c r="G823" s="11"/>
    </row>
    <row r="824" spans="1:7" x14ac:dyDescent="0.25">
      <c r="A824" s="104">
        <v>45402</v>
      </c>
      <c r="B824" s="11" t="s">
        <v>19</v>
      </c>
      <c r="C824" s="28">
        <v>0.29166666666666669</v>
      </c>
      <c r="D824" s="28">
        <v>0.58333333333333337</v>
      </c>
      <c r="E824" s="30">
        <f t="shared" si="14"/>
        <v>6.5</v>
      </c>
      <c r="F824" s="11">
        <v>0.5</v>
      </c>
      <c r="G824" s="11"/>
    </row>
    <row r="825" spans="1:7" x14ac:dyDescent="0.25">
      <c r="A825" s="104">
        <v>45407</v>
      </c>
      <c r="B825" s="11" t="s">
        <v>19</v>
      </c>
      <c r="C825" s="28">
        <v>0.66666666666666663</v>
      </c>
      <c r="D825" s="28">
        <v>0.89583333333333337</v>
      </c>
      <c r="E825" s="30">
        <f t="shared" si="14"/>
        <v>5.5000000000000018</v>
      </c>
      <c r="F825" s="11"/>
      <c r="G825" s="11"/>
    </row>
    <row r="826" spans="1:7" x14ac:dyDescent="0.25">
      <c r="A826" s="104">
        <v>45428</v>
      </c>
      <c r="B826" s="11" t="s">
        <v>19</v>
      </c>
      <c r="C826" s="28">
        <v>0.375</v>
      </c>
      <c r="D826" s="28">
        <v>0.54166666666666663</v>
      </c>
      <c r="E826" s="30">
        <f t="shared" si="14"/>
        <v>3.9999999999999991</v>
      </c>
      <c r="F826" s="11"/>
      <c r="G826" s="11"/>
    </row>
    <row r="827" spans="1:7" x14ac:dyDescent="0.25">
      <c r="A827" s="104">
        <v>45428</v>
      </c>
      <c r="B827" s="11" t="s">
        <v>19</v>
      </c>
      <c r="C827" s="28">
        <v>0.375</v>
      </c>
      <c r="D827" s="28">
        <v>0.54166666666666663</v>
      </c>
      <c r="E827" s="30">
        <f t="shared" si="14"/>
        <v>3.9999999999999991</v>
      </c>
      <c r="F827" s="11"/>
      <c r="G827" s="11"/>
    </row>
    <row r="828" spans="1:7" x14ac:dyDescent="0.25">
      <c r="A828" s="104">
        <v>45428</v>
      </c>
      <c r="B828" s="11" t="s">
        <v>19</v>
      </c>
      <c r="C828" s="28">
        <v>0.25</v>
      </c>
      <c r="D828" s="28">
        <v>0.41666666666666669</v>
      </c>
      <c r="E828" s="30">
        <f t="shared" si="14"/>
        <v>4</v>
      </c>
      <c r="F828" s="11"/>
      <c r="G828" s="11"/>
    </row>
    <row r="829" spans="1:7" x14ac:dyDescent="0.25">
      <c r="A829" s="104">
        <v>45434</v>
      </c>
      <c r="B829" s="11" t="s">
        <v>19</v>
      </c>
      <c r="C829" s="28">
        <v>0.41666666666666669</v>
      </c>
      <c r="D829" s="28">
        <v>0.58333333333333337</v>
      </c>
      <c r="E829" s="30">
        <f t="shared" si="14"/>
        <v>4</v>
      </c>
      <c r="F829" s="11"/>
      <c r="G829" s="11"/>
    </row>
    <row r="830" spans="1:7" x14ac:dyDescent="0.25">
      <c r="A830" s="104">
        <v>45434</v>
      </c>
      <c r="B830" s="11" t="s">
        <v>19</v>
      </c>
      <c r="C830" s="28">
        <v>0.41666666666666669</v>
      </c>
      <c r="D830" s="28">
        <v>0.58333333333333337</v>
      </c>
      <c r="E830" s="30">
        <f t="shared" si="14"/>
        <v>4</v>
      </c>
      <c r="F830" s="11"/>
      <c r="G830" s="11"/>
    </row>
    <row r="831" spans="1:7" x14ac:dyDescent="0.25">
      <c r="A831" s="104">
        <v>45434</v>
      </c>
      <c r="B831" s="11" t="s">
        <v>19</v>
      </c>
      <c r="C831" s="28">
        <v>0.41666666666666669</v>
      </c>
      <c r="D831" s="28">
        <v>0.58333333333333337</v>
      </c>
      <c r="E831" s="30">
        <f t="shared" si="14"/>
        <v>4</v>
      </c>
      <c r="F831" s="11"/>
      <c r="G831" s="11"/>
    </row>
    <row r="832" spans="1:7" x14ac:dyDescent="0.25">
      <c r="A832" s="104">
        <v>45435</v>
      </c>
      <c r="B832" s="11" t="s">
        <v>19</v>
      </c>
      <c r="C832" s="28">
        <v>0.5</v>
      </c>
      <c r="D832" s="28">
        <v>0.70833333333333337</v>
      </c>
      <c r="E832" s="30">
        <f t="shared" si="14"/>
        <v>5.0000000000000009</v>
      </c>
      <c r="F832" s="11"/>
      <c r="G832" s="11"/>
    </row>
    <row r="833" spans="1:7" x14ac:dyDescent="0.25">
      <c r="A833" s="104">
        <v>45435</v>
      </c>
      <c r="B833" s="11" t="s">
        <v>19</v>
      </c>
      <c r="C833" s="28">
        <v>0.70833333333333337</v>
      </c>
      <c r="D833" s="28">
        <v>0.91666666666666663</v>
      </c>
      <c r="E833" s="30">
        <f t="shared" si="14"/>
        <v>4.9999999999999982</v>
      </c>
      <c r="F833" s="11"/>
      <c r="G833" s="11"/>
    </row>
    <row r="834" spans="1:7" x14ac:dyDescent="0.25">
      <c r="A834" s="104">
        <v>45435</v>
      </c>
      <c r="B834" s="11" t="s">
        <v>19</v>
      </c>
      <c r="C834" s="28">
        <v>0.79166666666666663</v>
      </c>
      <c r="D834" s="28">
        <v>0.91666666666666663</v>
      </c>
      <c r="E834" s="30">
        <f t="shared" si="14"/>
        <v>3</v>
      </c>
      <c r="F834" s="11"/>
      <c r="G834" s="11"/>
    </row>
    <row r="835" spans="1:7" x14ac:dyDescent="0.25">
      <c r="A835" s="104">
        <v>45435</v>
      </c>
      <c r="B835" s="11" t="s">
        <v>19</v>
      </c>
      <c r="C835" s="28">
        <v>0.5</v>
      </c>
      <c r="D835" s="28">
        <v>0.625</v>
      </c>
      <c r="E835" s="30">
        <f t="shared" si="14"/>
        <v>3</v>
      </c>
      <c r="F835" s="11"/>
      <c r="G835" s="11"/>
    </row>
    <row r="836" spans="1:7" x14ac:dyDescent="0.25">
      <c r="A836" s="104">
        <v>45436</v>
      </c>
      <c r="B836" s="11" t="s">
        <v>19</v>
      </c>
      <c r="C836" s="28">
        <v>0.375</v>
      </c>
      <c r="D836" s="28">
        <v>0.5625</v>
      </c>
      <c r="E836" s="30">
        <f t="shared" si="14"/>
        <v>4.5</v>
      </c>
      <c r="F836" s="11"/>
      <c r="G836" s="11"/>
    </row>
    <row r="837" spans="1:7" x14ac:dyDescent="0.25">
      <c r="A837" s="104">
        <v>45436</v>
      </c>
      <c r="B837" s="11" t="s">
        <v>19</v>
      </c>
      <c r="C837" s="28">
        <v>0.375</v>
      </c>
      <c r="D837" s="28">
        <v>0.54166666666666663</v>
      </c>
      <c r="E837" s="30">
        <f t="shared" si="14"/>
        <v>3.9999999999999991</v>
      </c>
      <c r="F837" s="11"/>
      <c r="G837" s="11"/>
    </row>
    <row r="838" spans="1:7" x14ac:dyDescent="0.25">
      <c r="A838" s="104">
        <v>45436</v>
      </c>
      <c r="B838" s="11" t="s">
        <v>19</v>
      </c>
      <c r="C838" s="28">
        <v>0.5</v>
      </c>
      <c r="D838" s="28">
        <v>0.625</v>
      </c>
      <c r="E838" s="30">
        <f t="shared" si="14"/>
        <v>3</v>
      </c>
      <c r="F838" s="11"/>
      <c r="G838" s="11"/>
    </row>
    <row r="839" spans="1:7" x14ac:dyDescent="0.25">
      <c r="A839" s="104">
        <v>45437</v>
      </c>
      <c r="B839" s="11" t="s">
        <v>19</v>
      </c>
      <c r="C839" s="28">
        <v>0.375</v>
      </c>
      <c r="D839" s="28">
        <v>0.58333333333333337</v>
      </c>
      <c r="E839" s="30">
        <f t="shared" si="14"/>
        <v>5.0000000000000009</v>
      </c>
      <c r="F839" s="11"/>
      <c r="G839" s="11"/>
    </row>
    <row r="840" spans="1:7" x14ac:dyDescent="0.25">
      <c r="A840" s="104">
        <v>45437</v>
      </c>
      <c r="B840" s="11" t="s">
        <v>19</v>
      </c>
      <c r="C840" s="28">
        <v>0.375</v>
      </c>
      <c r="D840" s="28">
        <v>0.58333333333333337</v>
      </c>
      <c r="E840" s="30">
        <f t="shared" si="14"/>
        <v>5.0000000000000009</v>
      </c>
      <c r="F840" s="11"/>
      <c r="G840" s="11"/>
    </row>
    <row r="841" spans="1:7" x14ac:dyDescent="0.25">
      <c r="A841" s="104">
        <v>45437</v>
      </c>
      <c r="B841" s="11" t="s">
        <v>19</v>
      </c>
      <c r="C841" s="28">
        <v>0.375</v>
      </c>
      <c r="D841" s="28">
        <v>0.58333333333333337</v>
      </c>
      <c r="E841" s="30">
        <f t="shared" si="14"/>
        <v>5.0000000000000009</v>
      </c>
      <c r="F841" s="11"/>
      <c r="G841" s="11"/>
    </row>
    <row r="842" spans="1:7" x14ac:dyDescent="0.25">
      <c r="A842" s="104">
        <v>45439</v>
      </c>
      <c r="B842" s="11" t="s">
        <v>19</v>
      </c>
      <c r="C842" s="28">
        <v>0.27083333333333331</v>
      </c>
      <c r="D842" s="28">
        <v>0.45833333333333331</v>
      </c>
      <c r="E842" s="30">
        <f t="shared" si="14"/>
        <v>4.5</v>
      </c>
      <c r="F842" s="11"/>
      <c r="G842" s="11"/>
    </row>
    <row r="843" spans="1:7" x14ac:dyDescent="0.25">
      <c r="A843" s="104">
        <v>45439</v>
      </c>
      <c r="B843" s="11" t="s">
        <v>19</v>
      </c>
      <c r="C843" s="28">
        <v>0.27083333333333331</v>
      </c>
      <c r="D843" s="28">
        <v>0.45833333333333331</v>
      </c>
      <c r="E843" s="30">
        <f t="shared" si="14"/>
        <v>4.5</v>
      </c>
      <c r="F843" s="11"/>
      <c r="G843" s="11"/>
    </row>
    <row r="844" spans="1:7" x14ac:dyDescent="0.25">
      <c r="A844" s="104">
        <v>45439</v>
      </c>
      <c r="B844" s="11" t="s">
        <v>19</v>
      </c>
      <c r="C844" s="28">
        <v>0.41666666666666669</v>
      </c>
      <c r="D844" s="28">
        <v>0.625</v>
      </c>
      <c r="E844" s="30">
        <f t="shared" si="14"/>
        <v>5</v>
      </c>
      <c r="F844" s="11"/>
      <c r="G844" s="11"/>
    </row>
    <row r="845" spans="1:7" x14ac:dyDescent="0.25">
      <c r="A845" s="104">
        <v>45439</v>
      </c>
      <c r="B845" s="11" t="s">
        <v>19</v>
      </c>
      <c r="C845" s="28">
        <v>0.41666666666666669</v>
      </c>
      <c r="D845" s="28">
        <v>0.625</v>
      </c>
      <c r="E845" s="30">
        <f t="shared" si="14"/>
        <v>5</v>
      </c>
      <c r="F845" s="11"/>
      <c r="G845" s="11"/>
    </row>
    <row r="846" spans="1:7" x14ac:dyDescent="0.25">
      <c r="A846" s="104">
        <v>45450</v>
      </c>
      <c r="B846" s="11" t="s">
        <v>19</v>
      </c>
      <c r="C846" s="28">
        <v>0.625</v>
      </c>
      <c r="D846" s="28">
        <v>0.83333333333333337</v>
      </c>
      <c r="E846" s="30">
        <f t="shared" si="14"/>
        <v>5.0000000000000009</v>
      </c>
      <c r="F846" s="11"/>
      <c r="G846" s="11"/>
    </row>
    <row r="847" spans="1:7" x14ac:dyDescent="0.25">
      <c r="A847" s="104">
        <v>45450</v>
      </c>
      <c r="B847" s="11" t="s">
        <v>19</v>
      </c>
      <c r="C847" s="28">
        <v>0.625</v>
      </c>
      <c r="D847" s="28">
        <v>0.83333333333333337</v>
      </c>
      <c r="E847" s="30">
        <f t="shared" si="14"/>
        <v>5.0000000000000009</v>
      </c>
      <c r="F847" s="11"/>
      <c r="G847" s="11"/>
    </row>
    <row r="848" spans="1:7" x14ac:dyDescent="0.25">
      <c r="A848" s="104">
        <v>45450</v>
      </c>
      <c r="B848" s="11" t="s">
        <v>19</v>
      </c>
      <c r="C848" s="28">
        <v>0.625</v>
      </c>
      <c r="D848" s="28">
        <v>0.83333333333333337</v>
      </c>
      <c r="E848" s="30">
        <f t="shared" si="14"/>
        <v>5.0000000000000009</v>
      </c>
      <c r="F848" s="11"/>
      <c r="G848" s="11"/>
    </row>
    <row r="849" spans="1:7" x14ac:dyDescent="0.25">
      <c r="A849" s="104">
        <v>45451</v>
      </c>
      <c r="B849" s="11" t="s">
        <v>19</v>
      </c>
      <c r="C849" s="28">
        <v>0.5</v>
      </c>
      <c r="D849" s="28">
        <v>0.66666666666666663</v>
      </c>
      <c r="E849" s="30">
        <f t="shared" si="14"/>
        <v>3.9999999999999991</v>
      </c>
      <c r="F849" s="11"/>
      <c r="G849" s="11"/>
    </row>
    <row r="850" spans="1:7" x14ac:dyDescent="0.25">
      <c r="A850" s="104">
        <v>45451</v>
      </c>
      <c r="B850" s="11" t="s">
        <v>19</v>
      </c>
      <c r="C850" s="28">
        <v>0.5</v>
      </c>
      <c r="D850" s="28">
        <v>0.66666666666666663</v>
      </c>
      <c r="E850" s="30">
        <f t="shared" si="14"/>
        <v>3.9999999999999991</v>
      </c>
      <c r="F850" s="11"/>
      <c r="G850" s="11"/>
    </row>
    <row r="851" spans="1:7" x14ac:dyDescent="0.25">
      <c r="A851" s="104">
        <v>45451</v>
      </c>
      <c r="B851" s="11" t="s">
        <v>19</v>
      </c>
      <c r="C851" s="28">
        <v>0.66666666666666663</v>
      </c>
      <c r="D851" s="28">
        <v>0.95833333333333337</v>
      </c>
      <c r="E851" s="30">
        <f t="shared" si="14"/>
        <v>6.5000000000000018</v>
      </c>
      <c r="F851" s="11">
        <v>0.5</v>
      </c>
      <c r="G851" s="11"/>
    </row>
    <row r="852" spans="1:7" x14ac:dyDescent="0.25">
      <c r="A852" s="104">
        <v>45451</v>
      </c>
      <c r="B852" s="11" t="s">
        <v>19</v>
      </c>
      <c r="C852" s="28">
        <v>0.66666666666666663</v>
      </c>
      <c r="D852" s="28">
        <v>0.95833333333333337</v>
      </c>
      <c r="E852" s="30">
        <f t="shared" si="14"/>
        <v>6.5000000000000018</v>
      </c>
      <c r="F852" s="11">
        <v>0.5</v>
      </c>
      <c r="G852" s="11"/>
    </row>
    <row r="853" spans="1:7" x14ac:dyDescent="0.25">
      <c r="A853" s="104">
        <v>45452</v>
      </c>
      <c r="B853" s="11" t="s">
        <v>19</v>
      </c>
      <c r="C853" s="28">
        <v>0.25</v>
      </c>
      <c r="D853" s="28">
        <v>0.54166666666666663</v>
      </c>
      <c r="E853" s="30">
        <f t="shared" si="14"/>
        <v>6.4999999999999991</v>
      </c>
      <c r="F853" s="11">
        <v>0.5</v>
      </c>
      <c r="G853" s="11"/>
    </row>
    <row r="854" spans="1:7" x14ac:dyDescent="0.25">
      <c r="A854" s="104">
        <v>45452</v>
      </c>
      <c r="B854" s="11" t="s">
        <v>19</v>
      </c>
      <c r="C854" s="28">
        <v>0.25</v>
      </c>
      <c r="D854" s="28">
        <v>0.54166666666666663</v>
      </c>
      <c r="E854" s="30">
        <f t="shared" si="14"/>
        <v>6.4999999999999991</v>
      </c>
      <c r="F854" s="11">
        <v>0.5</v>
      </c>
      <c r="G854" s="11"/>
    </row>
    <row r="855" spans="1:7" x14ac:dyDescent="0.25">
      <c r="A855" s="104">
        <v>45454</v>
      </c>
      <c r="B855" s="11" t="s">
        <v>19</v>
      </c>
      <c r="C855" s="28">
        <v>0.66666666666666663</v>
      </c>
      <c r="D855" s="28">
        <v>0.8125</v>
      </c>
      <c r="E855" s="30">
        <f t="shared" si="14"/>
        <v>3.5000000000000009</v>
      </c>
      <c r="F855" s="11"/>
      <c r="G855" s="11"/>
    </row>
    <row r="856" spans="1:7" x14ac:dyDescent="0.25">
      <c r="A856" s="104">
        <v>45457</v>
      </c>
      <c r="B856" s="11" t="s">
        <v>19</v>
      </c>
      <c r="C856" s="28">
        <v>0.45833333333333331</v>
      </c>
      <c r="D856" s="28">
        <v>0.70833333333333337</v>
      </c>
      <c r="E856" s="30">
        <f t="shared" si="14"/>
        <v>5.5000000000000018</v>
      </c>
      <c r="F856" s="11">
        <v>0.5</v>
      </c>
      <c r="G856" s="11"/>
    </row>
    <row r="857" spans="1:7" x14ac:dyDescent="0.25">
      <c r="A857" s="104">
        <v>45457</v>
      </c>
      <c r="B857" s="11" t="s">
        <v>19</v>
      </c>
      <c r="C857" s="28">
        <v>0.47916666666666669</v>
      </c>
      <c r="D857" s="28">
        <v>0.64583333333333337</v>
      </c>
      <c r="E857" s="30">
        <f t="shared" si="14"/>
        <v>4</v>
      </c>
      <c r="F857" s="11"/>
      <c r="G857" s="11"/>
    </row>
    <row r="858" spans="1:7" x14ac:dyDescent="0.25">
      <c r="A858" s="104">
        <v>45457</v>
      </c>
      <c r="B858" s="11" t="s">
        <v>19</v>
      </c>
      <c r="C858" s="28">
        <v>0.70833333333333337</v>
      </c>
      <c r="D858" s="28">
        <v>0.97916666666666663</v>
      </c>
      <c r="E858" s="30">
        <f t="shared" si="14"/>
        <v>5.9999999999999982</v>
      </c>
      <c r="F858" s="11">
        <v>0.5</v>
      </c>
      <c r="G858" s="11"/>
    </row>
    <row r="859" spans="1:7" x14ac:dyDescent="0.25">
      <c r="A859" s="104">
        <v>45458</v>
      </c>
      <c r="B859" s="11" t="s">
        <v>19</v>
      </c>
      <c r="C859" s="28">
        <v>0.375</v>
      </c>
      <c r="D859" s="28">
        <v>0.58333333333333337</v>
      </c>
      <c r="E859" s="30">
        <f t="shared" si="14"/>
        <v>5.0000000000000009</v>
      </c>
      <c r="F859" s="11"/>
      <c r="G859" s="11"/>
    </row>
    <row r="860" spans="1:7" x14ac:dyDescent="0.25">
      <c r="A860" s="104">
        <v>45458</v>
      </c>
      <c r="B860" s="11" t="s">
        <v>19</v>
      </c>
      <c r="C860" s="28">
        <v>0.375</v>
      </c>
      <c r="D860" s="28">
        <v>0.58333333333333337</v>
      </c>
      <c r="E860" s="30">
        <f t="shared" si="14"/>
        <v>5.0000000000000009</v>
      </c>
      <c r="F860" s="11"/>
      <c r="G860" s="11"/>
    </row>
    <row r="861" spans="1:7" x14ac:dyDescent="0.25">
      <c r="A861" s="104">
        <v>45470</v>
      </c>
      <c r="B861" s="11" t="s">
        <v>19</v>
      </c>
      <c r="C861" s="28">
        <v>0.625</v>
      </c>
      <c r="D861" s="28">
        <v>0.85416666666666663</v>
      </c>
      <c r="E861" s="30">
        <f t="shared" si="14"/>
        <v>5.4999999999999991</v>
      </c>
      <c r="F861" s="11"/>
      <c r="G861" s="11"/>
    </row>
    <row r="862" spans="1:7" x14ac:dyDescent="0.25">
      <c r="A862" s="104">
        <v>45470</v>
      </c>
      <c r="B862" s="11" t="s">
        <v>19</v>
      </c>
      <c r="C862" s="28">
        <v>0.625</v>
      </c>
      <c r="D862" s="28">
        <v>0.85416666666666663</v>
      </c>
      <c r="E862" s="30">
        <f t="shared" si="14"/>
        <v>5.4999999999999991</v>
      </c>
      <c r="F862" s="11"/>
      <c r="G862" s="11"/>
    </row>
    <row r="863" spans="1:7" x14ac:dyDescent="0.25">
      <c r="A863" s="104">
        <v>45471</v>
      </c>
      <c r="B863" s="11" t="s">
        <v>19</v>
      </c>
      <c r="C863" s="28">
        <v>0.77083333333333337</v>
      </c>
      <c r="D863" s="28">
        <v>0</v>
      </c>
      <c r="E863" s="30">
        <f t="shared" si="14"/>
        <v>5.4999999999999991</v>
      </c>
      <c r="F863" s="11"/>
      <c r="G863" s="11"/>
    </row>
    <row r="864" spans="1:7" x14ac:dyDescent="0.25">
      <c r="A864" s="104">
        <v>45471</v>
      </c>
      <c r="B864" s="11" t="s">
        <v>19</v>
      </c>
      <c r="C864" s="28">
        <v>0.8125</v>
      </c>
      <c r="D864" s="28">
        <v>0.95833333333333337</v>
      </c>
      <c r="E864" s="30">
        <f t="shared" si="14"/>
        <v>3.5000000000000009</v>
      </c>
      <c r="F864" s="11"/>
      <c r="G864" s="11"/>
    </row>
    <row r="865" spans="1:7" x14ac:dyDescent="0.25">
      <c r="A865" s="104">
        <v>45474</v>
      </c>
      <c r="B865" s="11" t="s">
        <v>19</v>
      </c>
      <c r="C865" s="28">
        <v>0.41666666666666669</v>
      </c>
      <c r="D865" s="28">
        <v>0.66666666666666663</v>
      </c>
      <c r="E865" s="30">
        <f t="shared" si="14"/>
        <v>5.4999999999999982</v>
      </c>
      <c r="F865" s="11">
        <v>0.5</v>
      </c>
      <c r="G865" s="11"/>
    </row>
    <row r="866" spans="1:7" x14ac:dyDescent="0.25">
      <c r="A866" s="104">
        <v>45474</v>
      </c>
      <c r="B866" s="11" t="s">
        <v>19</v>
      </c>
      <c r="C866" s="28">
        <v>0.41666666666666669</v>
      </c>
      <c r="D866" s="28">
        <v>0.66666666666666663</v>
      </c>
      <c r="E866" s="30">
        <f t="shared" si="14"/>
        <v>5.4999999999999982</v>
      </c>
      <c r="F866" s="11">
        <v>0.5</v>
      </c>
      <c r="G866" s="11"/>
    </row>
    <row r="867" spans="1:7" x14ac:dyDescent="0.25">
      <c r="A867" s="104">
        <v>45475</v>
      </c>
      <c r="B867" s="11" t="s">
        <v>19</v>
      </c>
      <c r="C867" s="28">
        <v>0.41666666666666669</v>
      </c>
      <c r="D867" s="28">
        <v>0.66666666666666663</v>
      </c>
      <c r="E867" s="30">
        <f t="shared" si="14"/>
        <v>5.4999999999999982</v>
      </c>
      <c r="F867" s="11">
        <v>0.5</v>
      </c>
      <c r="G867" s="11"/>
    </row>
    <row r="868" spans="1:7" x14ac:dyDescent="0.25">
      <c r="A868" s="104">
        <v>45475</v>
      </c>
      <c r="B868" s="11" t="s">
        <v>19</v>
      </c>
      <c r="C868" s="28">
        <v>0.41666666666666669</v>
      </c>
      <c r="D868" s="28">
        <v>0.66666666666666663</v>
      </c>
      <c r="E868" s="30">
        <f t="shared" si="14"/>
        <v>5.4999999999999982</v>
      </c>
      <c r="F868" s="11">
        <v>0.5</v>
      </c>
      <c r="G868" s="11"/>
    </row>
    <row r="869" spans="1:7" x14ac:dyDescent="0.25">
      <c r="A869" s="104">
        <v>45476</v>
      </c>
      <c r="B869" s="11" t="s">
        <v>19</v>
      </c>
      <c r="C869" s="28">
        <v>0.41666666666666669</v>
      </c>
      <c r="D869" s="28">
        <v>0.66666666666666663</v>
      </c>
      <c r="E869" s="30">
        <f t="shared" si="14"/>
        <v>5.4999999999999982</v>
      </c>
      <c r="F869" s="11">
        <v>0.5</v>
      </c>
      <c r="G869" s="11"/>
    </row>
    <row r="870" spans="1:7" x14ac:dyDescent="0.25">
      <c r="A870" s="104">
        <v>45476</v>
      </c>
      <c r="B870" s="11" t="s">
        <v>19</v>
      </c>
      <c r="C870" s="28">
        <v>0.41666666666666669</v>
      </c>
      <c r="D870" s="28">
        <v>0.66666666666666663</v>
      </c>
      <c r="E870" s="30">
        <f t="shared" si="14"/>
        <v>5.4999999999999982</v>
      </c>
      <c r="F870" s="11">
        <v>0.5</v>
      </c>
      <c r="G870" s="11"/>
    </row>
    <row r="871" spans="1:7" x14ac:dyDescent="0.25">
      <c r="A871" s="104">
        <v>45476</v>
      </c>
      <c r="B871" s="11" t="s">
        <v>19</v>
      </c>
      <c r="C871" s="28">
        <v>0.41666666666666669</v>
      </c>
      <c r="D871" s="28">
        <v>0.66666666666666663</v>
      </c>
      <c r="E871" s="30">
        <f t="shared" si="14"/>
        <v>5.4999999999999982</v>
      </c>
      <c r="F871" s="11">
        <v>0.5</v>
      </c>
      <c r="G871" s="11"/>
    </row>
    <row r="872" spans="1:7" x14ac:dyDescent="0.25">
      <c r="A872" s="104">
        <v>45476</v>
      </c>
      <c r="B872" s="11" t="s">
        <v>19</v>
      </c>
      <c r="C872" s="28">
        <v>0.41666666666666669</v>
      </c>
      <c r="D872" s="28">
        <v>0.58333333333333337</v>
      </c>
      <c r="E872" s="30">
        <f t="shared" si="14"/>
        <v>4</v>
      </c>
      <c r="F872" s="11"/>
      <c r="G872" s="11"/>
    </row>
    <row r="873" spans="1:7" x14ac:dyDescent="0.25">
      <c r="A873" s="104">
        <v>45477</v>
      </c>
      <c r="B873" s="11" t="s">
        <v>19</v>
      </c>
      <c r="C873" s="28">
        <v>0.33333333333333331</v>
      </c>
      <c r="D873" s="28">
        <v>0.83333333333333337</v>
      </c>
      <c r="E873" s="30">
        <f t="shared" si="14"/>
        <v>11</v>
      </c>
      <c r="F873" s="11">
        <v>1</v>
      </c>
      <c r="G873" s="11"/>
    </row>
    <row r="874" spans="1:7" x14ac:dyDescent="0.25">
      <c r="A874" s="104">
        <v>45477</v>
      </c>
      <c r="B874" s="11" t="s">
        <v>19</v>
      </c>
      <c r="C874" s="28">
        <v>0.33333333333333331</v>
      </c>
      <c r="D874" s="28">
        <v>0.66666666666666663</v>
      </c>
      <c r="E874" s="30">
        <f t="shared" si="14"/>
        <v>7.5</v>
      </c>
      <c r="F874" s="11">
        <v>0.5</v>
      </c>
      <c r="G874" s="11"/>
    </row>
    <row r="875" spans="1:7" x14ac:dyDescent="0.25">
      <c r="A875" s="104">
        <v>45477</v>
      </c>
      <c r="B875" s="11" t="s">
        <v>19</v>
      </c>
      <c r="C875" s="28">
        <v>0.33333333333333331</v>
      </c>
      <c r="D875" s="28">
        <v>0</v>
      </c>
      <c r="E875" s="30">
        <f t="shared" si="14"/>
        <v>15</v>
      </c>
      <c r="F875" s="11">
        <v>1</v>
      </c>
      <c r="G875" s="11"/>
    </row>
    <row r="876" spans="1:7" x14ac:dyDescent="0.25">
      <c r="A876" s="104">
        <v>45477</v>
      </c>
      <c r="B876" s="11" t="s">
        <v>19</v>
      </c>
      <c r="C876" s="28">
        <v>0.33333333333333331</v>
      </c>
      <c r="D876" s="28">
        <v>0</v>
      </c>
      <c r="E876" s="30">
        <f t="shared" si="14"/>
        <v>15</v>
      </c>
      <c r="F876" s="11">
        <v>1</v>
      </c>
      <c r="G876" s="11"/>
    </row>
    <row r="877" spans="1:7" x14ac:dyDescent="0.25">
      <c r="A877" s="104">
        <v>45477</v>
      </c>
      <c r="B877" s="11" t="s">
        <v>19</v>
      </c>
      <c r="C877" s="28">
        <v>0.33333333333333331</v>
      </c>
      <c r="D877" s="28">
        <v>0</v>
      </c>
      <c r="E877" s="30">
        <f t="shared" si="14"/>
        <v>15</v>
      </c>
      <c r="F877" s="11">
        <v>1</v>
      </c>
      <c r="G877" s="11"/>
    </row>
    <row r="878" spans="1:7" x14ac:dyDescent="0.25">
      <c r="A878" s="104">
        <v>45477</v>
      </c>
      <c r="B878" s="11" t="s">
        <v>19</v>
      </c>
      <c r="C878" s="28">
        <v>0.33333333333333331</v>
      </c>
      <c r="D878" s="28">
        <v>0</v>
      </c>
      <c r="E878" s="30">
        <f t="shared" si="14"/>
        <v>15</v>
      </c>
      <c r="F878" s="11">
        <v>1</v>
      </c>
      <c r="G878" s="11"/>
    </row>
    <row r="879" spans="1:7" x14ac:dyDescent="0.25">
      <c r="A879" s="104">
        <v>45477</v>
      </c>
      <c r="B879" s="11" t="s">
        <v>19</v>
      </c>
      <c r="C879" s="28">
        <v>0.33333333333333331</v>
      </c>
      <c r="D879" s="28">
        <v>0</v>
      </c>
      <c r="E879" s="30">
        <f t="shared" si="14"/>
        <v>15</v>
      </c>
      <c r="F879" s="11">
        <v>1</v>
      </c>
      <c r="G879" s="11"/>
    </row>
    <row r="880" spans="1:7" x14ac:dyDescent="0.25">
      <c r="A880" s="104">
        <v>45477</v>
      </c>
      <c r="B880" s="11" t="s">
        <v>19</v>
      </c>
      <c r="C880" s="28">
        <v>0.33333333333333331</v>
      </c>
      <c r="D880" s="28">
        <v>0</v>
      </c>
      <c r="E880" s="30">
        <f t="shared" ref="E880:E943" si="15">MOD((D880-C880),1) *24 - F880</f>
        <v>15</v>
      </c>
      <c r="F880" s="11">
        <v>1</v>
      </c>
      <c r="G880" s="11"/>
    </row>
    <row r="881" spans="1:7" x14ac:dyDescent="0.25">
      <c r="A881" s="104">
        <v>45477</v>
      </c>
      <c r="B881" s="11" t="s">
        <v>19</v>
      </c>
      <c r="C881" s="28">
        <v>0.33333333333333331</v>
      </c>
      <c r="D881" s="28">
        <v>0</v>
      </c>
      <c r="E881" s="30">
        <f t="shared" si="15"/>
        <v>15</v>
      </c>
      <c r="F881" s="11">
        <v>1</v>
      </c>
      <c r="G881" s="11"/>
    </row>
    <row r="882" spans="1:7" x14ac:dyDescent="0.25">
      <c r="A882" s="104">
        <v>45477</v>
      </c>
      <c r="B882" s="11" t="s">
        <v>19</v>
      </c>
      <c r="C882" s="28">
        <v>0.33333333333333331</v>
      </c>
      <c r="D882" s="28">
        <v>0</v>
      </c>
      <c r="E882" s="30">
        <f t="shared" si="15"/>
        <v>15</v>
      </c>
      <c r="F882" s="11">
        <v>1</v>
      </c>
      <c r="G882" s="11"/>
    </row>
    <row r="883" spans="1:7" x14ac:dyDescent="0.25">
      <c r="A883" s="104">
        <v>45477</v>
      </c>
      <c r="B883" s="11" t="s">
        <v>19</v>
      </c>
      <c r="C883" s="28">
        <v>0.33333333333333331</v>
      </c>
      <c r="D883" s="28">
        <v>0</v>
      </c>
      <c r="E883" s="30">
        <f t="shared" si="15"/>
        <v>15</v>
      </c>
      <c r="F883" s="11">
        <v>1</v>
      </c>
      <c r="G883" s="11"/>
    </row>
    <row r="884" spans="1:7" x14ac:dyDescent="0.25">
      <c r="A884" s="104">
        <v>45477</v>
      </c>
      <c r="B884" s="11" t="s">
        <v>19</v>
      </c>
      <c r="C884" s="28">
        <v>0.33333333333333331</v>
      </c>
      <c r="D884" s="28">
        <v>0</v>
      </c>
      <c r="E884" s="30">
        <f t="shared" si="15"/>
        <v>15</v>
      </c>
      <c r="F884" s="11">
        <v>1</v>
      </c>
      <c r="G884" s="11"/>
    </row>
    <row r="885" spans="1:7" x14ac:dyDescent="0.25">
      <c r="A885" s="104">
        <v>45477</v>
      </c>
      <c r="B885" s="11" t="s">
        <v>19</v>
      </c>
      <c r="C885" s="28">
        <v>0.33333333333333331</v>
      </c>
      <c r="D885" s="28">
        <v>0</v>
      </c>
      <c r="E885" s="30">
        <f t="shared" si="15"/>
        <v>15</v>
      </c>
      <c r="F885" s="11">
        <v>1</v>
      </c>
      <c r="G885" s="11"/>
    </row>
    <row r="886" spans="1:7" x14ac:dyDescent="0.25">
      <c r="A886" s="104">
        <v>45478</v>
      </c>
      <c r="B886" s="11" t="s">
        <v>19</v>
      </c>
      <c r="C886" s="28">
        <v>0.41666666666666669</v>
      </c>
      <c r="D886" s="28">
        <v>0.66666666666666663</v>
      </c>
      <c r="E886" s="30">
        <f t="shared" si="15"/>
        <v>5.4999999999999982</v>
      </c>
      <c r="F886" s="11">
        <v>0.5</v>
      </c>
      <c r="G886" s="11"/>
    </row>
    <row r="887" spans="1:7" x14ac:dyDescent="0.25">
      <c r="A887" s="104">
        <v>45478</v>
      </c>
      <c r="B887" s="11" t="s">
        <v>19</v>
      </c>
      <c r="C887" s="28">
        <v>0.41666666666666669</v>
      </c>
      <c r="D887" s="28">
        <v>0.58333333333333337</v>
      </c>
      <c r="E887" s="30">
        <f t="shared" si="15"/>
        <v>4</v>
      </c>
      <c r="F887" s="11"/>
      <c r="G887" s="11"/>
    </row>
    <row r="888" spans="1:7" x14ac:dyDescent="0.25">
      <c r="A888" s="104">
        <v>45478</v>
      </c>
      <c r="B888" s="11" t="s">
        <v>19</v>
      </c>
      <c r="C888" s="28">
        <v>0.41666666666666669</v>
      </c>
      <c r="D888" s="28">
        <v>0.58333333333333337</v>
      </c>
      <c r="E888" s="30">
        <f t="shared" si="15"/>
        <v>4</v>
      </c>
      <c r="F888" s="11"/>
      <c r="G888" s="11"/>
    </row>
    <row r="889" spans="1:7" x14ac:dyDescent="0.25">
      <c r="A889" s="104">
        <v>45485</v>
      </c>
      <c r="B889" s="11" t="s">
        <v>19</v>
      </c>
      <c r="C889" s="28">
        <v>0.72916666666666663</v>
      </c>
      <c r="D889" s="28">
        <v>0</v>
      </c>
      <c r="E889" s="30">
        <f t="shared" si="15"/>
        <v>6.0000000000000009</v>
      </c>
      <c r="F889" s="11">
        <v>0.5</v>
      </c>
      <c r="G889" s="11"/>
    </row>
    <row r="890" spans="1:7" x14ac:dyDescent="0.25">
      <c r="A890" s="104">
        <v>45485</v>
      </c>
      <c r="B890" s="11" t="s">
        <v>19</v>
      </c>
      <c r="C890" s="28">
        <v>0.72916666666666663</v>
      </c>
      <c r="D890" s="28">
        <v>0</v>
      </c>
      <c r="E890" s="30">
        <f t="shared" si="15"/>
        <v>6.0000000000000009</v>
      </c>
      <c r="F890" s="11">
        <v>0.5</v>
      </c>
      <c r="G890" s="11"/>
    </row>
    <row r="891" spans="1:7" x14ac:dyDescent="0.25">
      <c r="A891" s="104">
        <v>45492</v>
      </c>
      <c r="B891" s="11" t="s">
        <v>19</v>
      </c>
      <c r="C891" s="28">
        <v>0.79166666666666663</v>
      </c>
      <c r="D891" s="28">
        <v>0.95833333333333337</v>
      </c>
      <c r="E891" s="30">
        <f t="shared" si="15"/>
        <v>4.0000000000000018</v>
      </c>
      <c r="F891" s="11"/>
      <c r="G891" s="11"/>
    </row>
    <row r="892" spans="1:7" x14ac:dyDescent="0.25">
      <c r="A892" s="104">
        <v>45492</v>
      </c>
      <c r="B892" s="11" t="s">
        <v>19</v>
      </c>
      <c r="C892" s="28">
        <v>0.70833333333333337</v>
      </c>
      <c r="D892" s="28">
        <v>0.95833333333333337</v>
      </c>
      <c r="E892" s="30">
        <f t="shared" si="15"/>
        <v>5.5</v>
      </c>
      <c r="F892" s="11">
        <v>0.5</v>
      </c>
      <c r="G892" s="11"/>
    </row>
    <row r="893" spans="1:7" x14ac:dyDescent="0.25">
      <c r="A893" s="104">
        <v>45498</v>
      </c>
      <c r="B893" s="11" t="s">
        <v>19</v>
      </c>
      <c r="C893" s="28">
        <v>0.41666666666666669</v>
      </c>
      <c r="D893" s="28">
        <v>0.66666666666666663</v>
      </c>
      <c r="E893" s="30">
        <f t="shared" si="15"/>
        <v>5.4999999999999982</v>
      </c>
      <c r="F893" s="11">
        <v>0.5</v>
      </c>
      <c r="G893" s="11"/>
    </row>
    <row r="894" spans="1:7" x14ac:dyDescent="0.25">
      <c r="A894" s="104">
        <v>45498</v>
      </c>
      <c r="B894" s="11" t="s">
        <v>19</v>
      </c>
      <c r="C894" s="28">
        <v>0.41666666666666669</v>
      </c>
      <c r="D894" s="28">
        <v>0.66666666666666663</v>
      </c>
      <c r="E894" s="30">
        <f t="shared" si="15"/>
        <v>5.4999999999999982</v>
      </c>
      <c r="F894" s="11">
        <v>0.5</v>
      </c>
      <c r="G894" s="11"/>
    </row>
    <row r="895" spans="1:7" x14ac:dyDescent="0.25">
      <c r="A895" s="104">
        <v>45498</v>
      </c>
      <c r="B895" s="11" t="s">
        <v>19</v>
      </c>
      <c r="C895" s="28">
        <v>0.41666666666666669</v>
      </c>
      <c r="D895" s="28">
        <v>0.66666666666666663</v>
      </c>
      <c r="E895" s="30">
        <f t="shared" si="15"/>
        <v>5.4999999999999982</v>
      </c>
      <c r="F895" s="11">
        <v>0.5</v>
      </c>
      <c r="G895" s="11"/>
    </row>
    <row r="896" spans="1:7" x14ac:dyDescent="0.25">
      <c r="A896" s="104">
        <v>45498</v>
      </c>
      <c r="B896" s="11" t="s">
        <v>19</v>
      </c>
      <c r="C896" s="28">
        <v>0.41666666666666669</v>
      </c>
      <c r="D896" s="28">
        <v>0.66666666666666663</v>
      </c>
      <c r="E896" s="30">
        <f t="shared" si="15"/>
        <v>5.4999999999999982</v>
      </c>
      <c r="F896" s="11">
        <v>0.5</v>
      </c>
      <c r="G896" s="11"/>
    </row>
    <row r="897" spans="1:7" x14ac:dyDescent="0.25">
      <c r="A897" s="104">
        <v>45499</v>
      </c>
      <c r="B897" s="11" t="s">
        <v>19</v>
      </c>
      <c r="C897" s="28">
        <v>0.75</v>
      </c>
      <c r="D897" s="28">
        <v>0</v>
      </c>
      <c r="E897" s="30">
        <f t="shared" si="15"/>
        <v>5.5</v>
      </c>
      <c r="F897" s="11">
        <v>0.5</v>
      </c>
      <c r="G897" s="11"/>
    </row>
    <row r="898" spans="1:7" x14ac:dyDescent="0.25">
      <c r="A898" s="104">
        <v>45499</v>
      </c>
      <c r="B898" s="11" t="s">
        <v>19</v>
      </c>
      <c r="C898" s="28">
        <v>0.75</v>
      </c>
      <c r="D898" s="28">
        <v>0</v>
      </c>
      <c r="E898" s="30">
        <f t="shared" si="15"/>
        <v>5.5</v>
      </c>
      <c r="F898" s="11">
        <v>0.5</v>
      </c>
      <c r="G898" s="11"/>
    </row>
    <row r="899" spans="1:7" x14ac:dyDescent="0.25">
      <c r="A899" s="104">
        <v>45499</v>
      </c>
      <c r="B899" s="11" t="s">
        <v>19</v>
      </c>
      <c r="C899" s="28">
        <v>0.75</v>
      </c>
      <c r="D899" s="28">
        <v>0</v>
      </c>
      <c r="E899" s="30">
        <f t="shared" si="15"/>
        <v>5.5</v>
      </c>
      <c r="F899" s="11">
        <v>0.5</v>
      </c>
      <c r="G899" s="11"/>
    </row>
    <row r="900" spans="1:7" x14ac:dyDescent="0.25">
      <c r="A900" s="104">
        <v>45499</v>
      </c>
      <c r="B900" s="11" t="s">
        <v>19</v>
      </c>
      <c r="C900" s="28">
        <v>0.75</v>
      </c>
      <c r="D900" s="28">
        <v>0</v>
      </c>
      <c r="E900" s="30">
        <f t="shared" si="15"/>
        <v>5.5</v>
      </c>
      <c r="F900" s="11">
        <v>0.5</v>
      </c>
      <c r="G900" s="11"/>
    </row>
    <row r="901" spans="1:7" x14ac:dyDescent="0.25">
      <c r="A901" s="104">
        <v>45499</v>
      </c>
      <c r="B901" s="11" t="s">
        <v>19</v>
      </c>
      <c r="C901" s="28">
        <v>0.625</v>
      </c>
      <c r="D901" s="28">
        <v>0.72916666666666663</v>
      </c>
      <c r="E901" s="30">
        <f t="shared" si="15"/>
        <v>2.4999999999999991</v>
      </c>
      <c r="F901" s="11"/>
      <c r="G901" s="11"/>
    </row>
    <row r="902" spans="1:7" x14ac:dyDescent="0.25">
      <c r="A902" s="104">
        <v>45500</v>
      </c>
      <c r="B902" s="11" t="s">
        <v>19</v>
      </c>
      <c r="C902" s="28">
        <v>0.375</v>
      </c>
      <c r="D902" s="28">
        <v>0.60416666666666663</v>
      </c>
      <c r="E902" s="30">
        <f t="shared" si="15"/>
        <v>4.9999999999999991</v>
      </c>
      <c r="F902" s="11">
        <v>0.5</v>
      </c>
      <c r="G902" s="11"/>
    </row>
    <row r="903" spans="1:7" x14ac:dyDescent="0.25">
      <c r="A903" s="104">
        <v>45500</v>
      </c>
      <c r="B903" s="11" t="s">
        <v>19</v>
      </c>
      <c r="C903" s="28">
        <v>0.375</v>
      </c>
      <c r="D903" s="28">
        <v>0.60416666666666663</v>
      </c>
      <c r="E903" s="30">
        <f t="shared" si="15"/>
        <v>4.9999999999999991</v>
      </c>
      <c r="F903" s="11">
        <v>0.5</v>
      </c>
      <c r="G903" s="11"/>
    </row>
    <row r="904" spans="1:7" x14ac:dyDescent="0.25">
      <c r="A904" s="104">
        <v>45508</v>
      </c>
      <c r="B904" s="11" t="s">
        <v>19</v>
      </c>
      <c r="C904" s="28">
        <v>0.75</v>
      </c>
      <c r="D904" s="28">
        <v>4.1666666666666664E-2</v>
      </c>
      <c r="E904" s="30">
        <f t="shared" si="15"/>
        <v>6.4999999999999991</v>
      </c>
      <c r="F904" s="11">
        <v>0.5</v>
      </c>
      <c r="G904" s="11"/>
    </row>
    <row r="905" spans="1:7" x14ac:dyDescent="0.25">
      <c r="A905" s="104">
        <v>45508</v>
      </c>
      <c r="B905" s="11" t="s">
        <v>19</v>
      </c>
      <c r="C905" s="28">
        <v>0.75</v>
      </c>
      <c r="D905" s="28">
        <v>4.1666666666666664E-2</v>
      </c>
      <c r="E905" s="30">
        <f t="shared" si="15"/>
        <v>6.4999999999999991</v>
      </c>
      <c r="F905" s="11">
        <v>0.5</v>
      </c>
      <c r="G905" s="11"/>
    </row>
    <row r="906" spans="1:7" x14ac:dyDescent="0.25">
      <c r="A906" s="104">
        <v>45508</v>
      </c>
      <c r="B906" s="11" t="s">
        <v>19</v>
      </c>
      <c r="C906" s="28">
        <v>0.75</v>
      </c>
      <c r="D906" s="28">
        <v>4.1666666666666664E-2</v>
      </c>
      <c r="E906" s="30">
        <f t="shared" si="15"/>
        <v>6.4999999999999991</v>
      </c>
      <c r="F906" s="11">
        <v>0.5</v>
      </c>
      <c r="G906" s="11"/>
    </row>
    <row r="907" spans="1:7" x14ac:dyDescent="0.25">
      <c r="A907" s="104">
        <v>45508</v>
      </c>
      <c r="B907" s="11" t="s">
        <v>19</v>
      </c>
      <c r="C907" s="28">
        <v>0.75</v>
      </c>
      <c r="D907" s="28">
        <v>4.1666666666666664E-2</v>
      </c>
      <c r="E907" s="30">
        <f t="shared" si="15"/>
        <v>6.4999999999999991</v>
      </c>
      <c r="F907" s="11">
        <v>0.5</v>
      </c>
      <c r="G907" s="11"/>
    </row>
    <row r="908" spans="1:7" x14ac:dyDescent="0.25">
      <c r="A908" s="104">
        <v>45508</v>
      </c>
      <c r="B908" s="11" t="s">
        <v>19</v>
      </c>
      <c r="C908" s="28">
        <v>0.75</v>
      </c>
      <c r="D908" s="28">
        <v>4.1666666666666664E-2</v>
      </c>
      <c r="E908" s="30">
        <f t="shared" si="15"/>
        <v>6.4999999999999991</v>
      </c>
      <c r="F908" s="11">
        <v>0.5</v>
      </c>
      <c r="G908" s="11"/>
    </row>
    <row r="909" spans="1:7" x14ac:dyDescent="0.25">
      <c r="A909" s="104">
        <v>45513</v>
      </c>
      <c r="B909" s="11" t="s">
        <v>19</v>
      </c>
      <c r="C909" s="28">
        <v>0.75</v>
      </c>
      <c r="D909" s="28">
        <v>0</v>
      </c>
      <c r="E909" s="30">
        <f t="shared" si="15"/>
        <v>5.5</v>
      </c>
      <c r="F909" s="11">
        <v>0.5</v>
      </c>
      <c r="G909" s="11"/>
    </row>
    <row r="910" spans="1:7" x14ac:dyDescent="0.25">
      <c r="A910" s="104">
        <v>45513</v>
      </c>
      <c r="B910" s="11" t="s">
        <v>19</v>
      </c>
      <c r="C910" s="28">
        <v>0.75</v>
      </c>
      <c r="D910" s="28">
        <v>0</v>
      </c>
      <c r="E910" s="30">
        <f t="shared" si="15"/>
        <v>5.5</v>
      </c>
      <c r="F910" s="11">
        <v>0.5</v>
      </c>
      <c r="G910" s="11"/>
    </row>
    <row r="911" spans="1:7" x14ac:dyDescent="0.25">
      <c r="A911" s="104">
        <v>45513</v>
      </c>
      <c r="B911" s="11" t="s">
        <v>19</v>
      </c>
      <c r="C911" s="28">
        <v>0.75</v>
      </c>
      <c r="D911" s="28">
        <v>0</v>
      </c>
      <c r="E911" s="30">
        <f t="shared" si="15"/>
        <v>5.5</v>
      </c>
      <c r="F911" s="11">
        <v>0.5</v>
      </c>
      <c r="G911" s="11"/>
    </row>
    <row r="912" spans="1:7" x14ac:dyDescent="0.25">
      <c r="A912" s="104">
        <v>45519</v>
      </c>
      <c r="B912" s="11" t="s">
        <v>19</v>
      </c>
      <c r="C912" s="28">
        <v>0.66666666666666663</v>
      </c>
      <c r="D912" s="28">
        <v>0.85416666666666663</v>
      </c>
      <c r="E912" s="30">
        <f t="shared" si="15"/>
        <v>4.5</v>
      </c>
      <c r="F912" s="11"/>
      <c r="G912" s="11"/>
    </row>
    <row r="913" spans="1:7" x14ac:dyDescent="0.25">
      <c r="A913" s="104">
        <v>45519</v>
      </c>
      <c r="B913" s="11" t="s">
        <v>19</v>
      </c>
      <c r="C913" s="28">
        <v>0.66666666666666663</v>
      </c>
      <c r="D913" s="28">
        <v>0.85416666666666663</v>
      </c>
      <c r="E913" s="30">
        <f t="shared" si="15"/>
        <v>4.5</v>
      </c>
      <c r="F913" s="11"/>
      <c r="G913" s="11"/>
    </row>
    <row r="914" spans="1:7" x14ac:dyDescent="0.25">
      <c r="A914" s="104">
        <v>45519</v>
      </c>
      <c r="B914" s="11" t="s">
        <v>19</v>
      </c>
      <c r="C914" s="28">
        <v>0.66666666666666663</v>
      </c>
      <c r="D914" s="28">
        <v>0.85416666666666663</v>
      </c>
      <c r="E914" s="30">
        <f t="shared" si="15"/>
        <v>4.5</v>
      </c>
      <c r="F914" s="11"/>
      <c r="G914" s="11"/>
    </row>
    <row r="915" spans="1:7" x14ac:dyDescent="0.25">
      <c r="A915" s="104">
        <v>45520</v>
      </c>
      <c r="B915" s="11" t="s">
        <v>19</v>
      </c>
      <c r="C915" s="28">
        <v>0.72916666666666663</v>
      </c>
      <c r="D915" s="28">
        <v>0</v>
      </c>
      <c r="E915" s="30">
        <f t="shared" si="15"/>
        <v>6.0000000000000009</v>
      </c>
      <c r="F915" s="11">
        <v>0.5</v>
      </c>
      <c r="G915" s="11"/>
    </row>
    <row r="916" spans="1:7" x14ac:dyDescent="0.25">
      <c r="A916" s="104">
        <v>45520</v>
      </c>
      <c r="B916" s="11" t="s">
        <v>19</v>
      </c>
      <c r="C916" s="28">
        <v>0.72916666666666663</v>
      </c>
      <c r="D916" s="28">
        <v>0</v>
      </c>
      <c r="E916" s="30">
        <f t="shared" si="15"/>
        <v>6.0000000000000009</v>
      </c>
      <c r="F916" s="11">
        <v>0.5</v>
      </c>
      <c r="G916" s="11"/>
    </row>
    <row r="917" spans="1:7" x14ac:dyDescent="0.25">
      <c r="A917" s="104">
        <v>45523</v>
      </c>
      <c r="B917" s="11" t="s">
        <v>19</v>
      </c>
      <c r="C917" s="28">
        <v>0.41666666666666669</v>
      </c>
      <c r="D917" s="28">
        <v>0.58333333333333337</v>
      </c>
      <c r="E917" s="30">
        <f t="shared" si="15"/>
        <v>4</v>
      </c>
      <c r="F917" s="11"/>
      <c r="G917" s="11"/>
    </row>
    <row r="918" spans="1:7" x14ac:dyDescent="0.25">
      <c r="A918" s="104">
        <v>45523</v>
      </c>
      <c r="B918" s="11" t="s">
        <v>19</v>
      </c>
      <c r="C918" s="28">
        <v>0.41666666666666669</v>
      </c>
      <c r="D918" s="28">
        <v>0.625</v>
      </c>
      <c r="E918" s="30">
        <f t="shared" si="15"/>
        <v>5</v>
      </c>
      <c r="F918" s="11"/>
      <c r="G918" s="11"/>
    </row>
    <row r="919" spans="1:7" x14ac:dyDescent="0.25">
      <c r="A919" s="104">
        <v>45523</v>
      </c>
      <c r="B919" s="11" t="s">
        <v>19</v>
      </c>
      <c r="C919" s="28">
        <v>0.41666666666666669</v>
      </c>
      <c r="D919" s="28">
        <v>0.625</v>
      </c>
      <c r="E919" s="30">
        <f t="shared" si="15"/>
        <v>5</v>
      </c>
      <c r="F919" s="11"/>
      <c r="G919" s="11"/>
    </row>
    <row r="920" spans="1:7" x14ac:dyDescent="0.25">
      <c r="A920" s="104">
        <v>45524</v>
      </c>
      <c r="B920" s="11" t="s">
        <v>19</v>
      </c>
      <c r="C920" s="28">
        <v>0.625</v>
      </c>
      <c r="D920" s="28">
        <v>0.95833333333333337</v>
      </c>
      <c r="E920" s="30">
        <f t="shared" si="15"/>
        <v>7.5</v>
      </c>
      <c r="F920" s="11">
        <v>0.5</v>
      </c>
      <c r="G920" s="11"/>
    </row>
    <row r="921" spans="1:7" x14ac:dyDescent="0.25">
      <c r="A921" s="104">
        <v>45524</v>
      </c>
      <c r="B921" s="11" t="s">
        <v>19</v>
      </c>
      <c r="C921" s="28">
        <v>0.625</v>
      </c>
      <c r="D921" s="28">
        <v>0.95833333333333337</v>
      </c>
      <c r="E921" s="30">
        <f t="shared" si="15"/>
        <v>7.5</v>
      </c>
      <c r="F921" s="11">
        <v>0.5</v>
      </c>
      <c r="G921" s="11"/>
    </row>
    <row r="922" spans="1:7" x14ac:dyDescent="0.25">
      <c r="A922" s="104">
        <v>45524</v>
      </c>
      <c r="B922" s="11" t="s">
        <v>19</v>
      </c>
      <c r="C922" s="28">
        <v>0.625</v>
      </c>
      <c r="D922" s="28">
        <v>0.95833333333333337</v>
      </c>
      <c r="E922" s="30">
        <f t="shared" si="15"/>
        <v>7.5</v>
      </c>
      <c r="F922" s="11">
        <v>0.5</v>
      </c>
      <c r="G922" s="11"/>
    </row>
    <row r="923" spans="1:7" x14ac:dyDescent="0.25">
      <c r="A923" s="104">
        <v>45524</v>
      </c>
      <c r="B923" s="11" t="s">
        <v>19</v>
      </c>
      <c r="C923" s="28">
        <v>0.625</v>
      </c>
      <c r="D923" s="28">
        <v>0.95833333333333337</v>
      </c>
      <c r="E923" s="30">
        <f t="shared" si="15"/>
        <v>7.5</v>
      </c>
      <c r="F923" s="11">
        <v>0.5</v>
      </c>
      <c r="G923" s="11"/>
    </row>
    <row r="924" spans="1:7" x14ac:dyDescent="0.25">
      <c r="A924" s="104">
        <v>45524</v>
      </c>
      <c r="B924" s="11" t="s">
        <v>19</v>
      </c>
      <c r="C924" s="28">
        <v>0.625</v>
      </c>
      <c r="D924" s="28">
        <v>0.95833333333333337</v>
      </c>
      <c r="E924" s="30">
        <f t="shared" si="15"/>
        <v>7.5</v>
      </c>
      <c r="F924" s="11">
        <v>0.5</v>
      </c>
      <c r="G924" s="11"/>
    </row>
    <row r="925" spans="1:7" x14ac:dyDescent="0.25">
      <c r="A925" s="104">
        <v>45524</v>
      </c>
      <c r="B925" s="11" t="s">
        <v>19</v>
      </c>
      <c r="C925" s="28">
        <v>0.625</v>
      </c>
      <c r="D925" s="28">
        <v>0.70833333333333337</v>
      </c>
      <c r="E925" s="30">
        <f t="shared" si="15"/>
        <v>2.0000000000000009</v>
      </c>
      <c r="F925" s="11"/>
      <c r="G925" s="11"/>
    </row>
    <row r="926" spans="1:7" x14ac:dyDescent="0.25">
      <c r="A926" s="104">
        <v>45530</v>
      </c>
      <c r="B926" s="11" t="s">
        <v>19</v>
      </c>
      <c r="C926" s="28">
        <v>0.64583333333333337</v>
      </c>
      <c r="D926" s="28">
        <v>0.70833333333333337</v>
      </c>
      <c r="E926" s="30">
        <f t="shared" si="15"/>
        <v>1.5</v>
      </c>
      <c r="F926" s="11"/>
      <c r="G926" s="11"/>
    </row>
    <row r="927" spans="1:7" x14ac:dyDescent="0.25">
      <c r="A927" s="104">
        <v>45530</v>
      </c>
      <c r="B927" s="11" t="s">
        <v>19</v>
      </c>
      <c r="C927" s="28">
        <v>0.64583333333333337</v>
      </c>
      <c r="D927" s="28">
        <v>0.83333333333333337</v>
      </c>
      <c r="E927" s="30">
        <f t="shared" si="15"/>
        <v>4.5</v>
      </c>
      <c r="F927" s="11"/>
      <c r="G927" s="11"/>
    </row>
    <row r="928" spans="1:7" x14ac:dyDescent="0.25">
      <c r="A928" s="104">
        <v>45530</v>
      </c>
      <c r="B928" s="11" t="s">
        <v>19</v>
      </c>
      <c r="C928" s="28">
        <v>0.64583333333333337</v>
      </c>
      <c r="D928" s="28">
        <v>0.83333333333333337</v>
      </c>
      <c r="E928" s="30">
        <f t="shared" si="15"/>
        <v>4.5</v>
      </c>
      <c r="F928" s="11"/>
      <c r="G928" s="11"/>
    </row>
    <row r="929" spans="1:7" x14ac:dyDescent="0.25">
      <c r="A929" s="104">
        <v>45574</v>
      </c>
      <c r="B929" s="11" t="s">
        <v>19</v>
      </c>
      <c r="C929" s="28">
        <v>0.41666666666666669</v>
      </c>
      <c r="D929" s="28">
        <v>0.58333333333333337</v>
      </c>
      <c r="E929" s="30">
        <f t="shared" si="15"/>
        <v>4</v>
      </c>
      <c r="F929" s="11"/>
      <c r="G929" s="11"/>
    </row>
    <row r="930" spans="1:7" x14ac:dyDescent="0.25">
      <c r="A930" s="104">
        <v>45577</v>
      </c>
      <c r="B930" s="11" t="s">
        <v>19</v>
      </c>
      <c r="C930" s="28">
        <v>0.41666666666666669</v>
      </c>
      <c r="D930" s="28">
        <v>0.5</v>
      </c>
      <c r="E930" s="30">
        <f t="shared" si="15"/>
        <v>1.9999999999999996</v>
      </c>
      <c r="F930" s="11"/>
      <c r="G930" s="11"/>
    </row>
    <row r="931" spans="1:7" x14ac:dyDescent="0.25">
      <c r="A931" s="104">
        <v>45577</v>
      </c>
      <c r="B931" s="11" t="s">
        <v>19</v>
      </c>
      <c r="C931" s="28">
        <v>0.375</v>
      </c>
      <c r="D931" s="28">
        <v>0.66666666666666663</v>
      </c>
      <c r="E931" s="30">
        <f t="shared" si="15"/>
        <v>6.4999999999999991</v>
      </c>
      <c r="F931" s="11">
        <v>0.5</v>
      </c>
      <c r="G931" s="11"/>
    </row>
    <row r="932" spans="1:7" x14ac:dyDescent="0.25">
      <c r="A932" s="104">
        <v>45577</v>
      </c>
      <c r="B932" s="11" t="s">
        <v>19</v>
      </c>
      <c r="C932" s="28">
        <v>0.375</v>
      </c>
      <c r="D932" s="28">
        <v>0.66666666666666663</v>
      </c>
      <c r="E932" s="30">
        <f t="shared" si="15"/>
        <v>6.4999999999999991</v>
      </c>
      <c r="F932" s="11">
        <v>0.5</v>
      </c>
      <c r="G932" s="11"/>
    </row>
    <row r="933" spans="1:7" x14ac:dyDescent="0.25">
      <c r="A933" s="104">
        <v>45578</v>
      </c>
      <c r="B933" s="11" t="s">
        <v>19</v>
      </c>
      <c r="C933" s="28">
        <v>0.41666666666666669</v>
      </c>
      <c r="D933" s="28">
        <v>0.66666666666666663</v>
      </c>
      <c r="E933" s="30">
        <f t="shared" si="15"/>
        <v>5.4999999999999982</v>
      </c>
      <c r="F933" s="11">
        <v>0.5</v>
      </c>
      <c r="G933" s="11"/>
    </row>
    <row r="934" spans="1:7" x14ac:dyDescent="0.25">
      <c r="A934" s="104">
        <v>45578</v>
      </c>
      <c r="B934" s="11" t="s">
        <v>19</v>
      </c>
      <c r="C934" s="28">
        <v>0.41666666666666669</v>
      </c>
      <c r="D934" s="28">
        <v>0.66666666666666663</v>
      </c>
      <c r="E934" s="30">
        <f t="shared" si="15"/>
        <v>5.4999999999999982</v>
      </c>
      <c r="F934" s="11">
        <v>0.5</v>
      </c>
      <c r="G934" s="11"/>
    </row>
    <row r="935" spans="1:7" x14ac:dyDescent="0.25">
      <c r="A935" s="104">
        <v>45578</v>
      </c>
      <c r="B935" s="11" t="s">
        <v>19</v>
      </c>
      <c r="C935" s="28">
        <v>0.41666666666666669</v>
      </c>
      <c r="D935" s="28">
        <v>0.66666666666666663</v>
      </c>
      <c r="E935" s="30">
        <f t="shared" si="15"/>
        <v>5.4999999999999982</v>
      </c>
      <c r="F935" s="11">
        <v>0.5</v>
      </c>
      <c r="G935" s="11"/>
    </row>
    <row r="936" spans="1:7" x14ac:dyDescent="0.25">
      <c r="A936" s="104">
        <v>45579</v>
      </c>
      <c r="B936" s="11" t="s">
        <v>19</v>
      </c>
      <c r="C936" s="28">
        <v>0.375</v>
      </c>
      <c r="D936" s="28">
        <v>0.625</v>
      </c>
      <c r="E936" s="30">
        <f t="shared" si="15"/>
        <v>5.5</v>
      </c>
      <c r="F936" s="11">
        <v>0.5</v>
      </c>
      <c r="G936" s="11"/>
    </row>
    <row r="937" spans="1:7" x14ac:dyDescent="0.25">
      <c r="A937" s="104">
        <v>45579</v>
      </c>
      <c r="B937" s="11" t="s">
        <v>19</v>
      </c>
      <c r="C937" s="28">
        <v>0.375</v>
      </c>
      <c r="D937" s="28">
        <v>0.625</v>
      </c>
      <c r="E937" s="30">
        <f t="shared" si="15"/>
        <v>5.5</v>
      </c>
      <c r="F937" s="11">
        <v>0.5</v>
      </c>
      <c r="G937" s="11"/>
    </row>
    <row r="938" spans="1:7" x14ac:dyDescent="0.25">
      <c r="A938" s="104">
        <v>45579</v>
      </c>
      <c r="B938" s="11" t="s">
        <v>19</v>
      </c>
      <c r="C938" s="28">
        <v>0.375</v>
      </c>
      <c r="D938" s="28">
        <v>0.625</v>
      </c>
      <c r="E938" s="30">
        <f t="shared" si="15"/>
        <v>5.5</v>
      </c>
      <c r="F938" s="11">
        <v>0.5</v>
      </c>
      <c r="G938" s="11"/>
    </row>
    <row r="939" spans="1:7" x14ac:dyDescent="0.25">
      <c r="A939" s="104">
        <v>45579</v>
      </c>
      <c r="B939" s="11" t="s">
        <v>19</v>
      </c>
      <c r="C939" s="28">
        <v>0.375</v>
      </c>
      <c r="D939" s="28">
        <v>0.625</v>
      </c>
      <c r="E939" s="30">
        <f t="shared" si="15"/>
        <v>5.5</v>
      </c>
      <c r="F939" s="11">
        <v>0.5</v>
      </c>
      <c r="G939" s="11"/>
    </row>
    <row r="940" spans="1:7" x14ac:dyDescent="0.25">
      <c r="A940" s="104">
        <v>45579</v>
      </c>
      <c r="B940" s="11" t="s">
        <v>19</v>
      </c>
      <c r="C940" s="28">
        <v>0.375</v>
      </c>
      <c r="D940" s="28">
        <v>0.625</v>
      </c>
      <c r="E940" s="30">
        <f t="shared" si="15"/>
        <v>5.5</v>
      </c>
      <c r="F940" s="11">
        <v>0.5</v>
      </c>
      <c r="G940" s="11"/>
    </row>
    <row r="941" spans="1:7" x14ac:dyDescent="0.25">
      <c r="A941" s="104">
        <v>45580</v>
      </c>
      <c r="B941" s="11" t="s">
        <v>19</v>
      </c>
      <c r="C941" s="28">
        <v>0.41666666666666669</v>
      </c>
      <c r="D941" s="28">
        <v>0.625</v>
      </c>
      <c r="E941" s="30">
        <f t="shared" si="15"/>
        <v>5</v>
      </c>
      <c r="F941" s="11"/>
      <c r="G941" s="11"/>
    </row>
    <row r="942" spans="1:7" x14ac:dyDescent="0.25">
      <c r="A942" s="104">
        <v>45580</v>
      </c>
      <c r="B942" s="11" t="s">
        <v>19</v>
      </c>
      <c r="C942" s="28">
        <v>0.41666666666666669</v>
      </c>
      <c r="D942" s="28">
        <v>0.625</v>
      </c>
      <c r="E942" s="30">
        <f t="shared" si="15"/>
        <v>5</v>
      </c>
      <c r="F942" s="11"/>
      <c r="G942" s="11"/>
    </row>
    <row r="943" spans="1:7" x14ac:dyDescent="0.25">
      <c r="A943" s="104">
        <v>45580</v>
      </c>
      <c r="B943" s="11" t="s">
        <v>19</v>
      </c>
      <c r="C943" s="28">
        <v>0.41666666666666669</v>
      </c>
      <c r="D943" s="28">
        <v>0.625</v>
      </c>
      <c r="E943" s="30">
        <f t="shared" si="15"/>
        <v>5</v>
      </c>
      <c r="F943" s="11"/>
      <c r="G943" s="11"/>
    </row>
    <row r="944" spans="1:7" x14ac:dyDescent="0.25">
      <c r="A944" s="104">
        <v>45585</v>
      </c>
      <c r="B944" s="11" t="s">
        <v>19</v>
      </c>
      <c r="C944" s="28">
        <v>0.77083333333333337</v>
      </c>
      <c r="D944" s="28">
        <v>0.9375</v>
      </c>
      <c r="E944" s="30">
        <f t="shared" ref="E944:E997" si="16">MOD((D944-C944),1) *24 - F944</f>
        <v>3.9999999999999991</v>
      </c>
      <c r="F944" s="11"/>
      <c r="G944" s="11"/>
    </row>
    <row r="945" spans="1:7" x14ac:dyDescent="0.25">
      <c r="A945" s="104">
        <v>45585</v>
      </c>
      <c r="B945" s="11" t="s">
        <v>19</v>
      </c>
      <c r="C945" s="28">
        <v>0.77083333333333337</v>
      </c>
      <c r="D945" s="28">
        <v>0.9375</v>
      </c>
      <c r="E945" s="30">
        <f t="shared" si="16"/>
        <v>3.9999999999999991</v>
      </c>
      <c r="F945" s="11"/>
      <c r="G945" s="11"/>
    </row>
    <row r="946" spans="1:7" x14ac:dyDescent="0.25">
      <c r="A946" s="104">
        <v>45586</v>
      </c>
      <c r="B946" s="11" t="s">
        <v>19</v>
      </c>
      <c r="C946" s="28">
        <v>0.375</v>
      </c>
      <c r="D946" s="28">
        <v>0.625</v>
      </c>
      <c r="E946" s="30">
        <f t="shared" si="16"/>
        <v>5.5</v>
      </c>
      <c r="F946" s="11">
        <v>0.5</v>
      </c>
      <c r="G946" s="11"/>
    </row>
    <row r="947" spans="1:7" x14ac:dyDescent="0.25">
      <c r="A947" s="104">
        <v>45586</v>
      </c>
      <c r="B947" s="11" t="s">
        <v>19</v>
      </c>
      <c r="C947" s="28">
        <v>0.375</v>
      </c>
      <c r="D947" s="28">
        <v>0.625</v>
      </c>
      <c r="E947" s="30">
        <f t="shared" si="16"/>
        <v>5.5</v>
      </c>
      <c r="F947" s="11">
        <v>0.5</v>
      </c>
      <c r="G947" s="11"/>
    </row>
    <row r="948" spans="1:7" x14ac:dyDescent="0.25">
      <c r="A948" s="104">
        <v>45586</v>
      </c>
      <c r="B948" s="11" t="s">
        <v>19</v>
      </c>
      <c r="C948" s="28">
        <v>0.375</v>
      </c>
      <c r="D948" s="28">
        <v>0.625</v>
      </c>
      <c r="E948" s="30">
        <f t="shared" si="16"/>
        <v>5.5</v>
      </c>
      <c r="F948" s="11">
        <v>0.5</v>
      </c>
      <c r="G948" s="11"/>
    </row>
    <row r="949" spans="1:7" x14ac:dyDescent="0.25">
      <c r="A949" s="104">
        <v>45586</v>
      </c>
      <c r="B949" s="11" t="s">
        <v>19</v>
      </c>
      <c r="C949" s="28">
        <v>0.375</v>
      </c>
      <c r="D949" s="28">
        <v>0.625</v>
      </c>
      <c r="E949" s="30">
        <f t="shared" si="16"/>
        <v>5.5</v>
      </c>
      <c r="F949" s="11">
        <v>0.5</v>
      </c>
      <c r="G949" s="11"/>
    </row>
    <row r="950" spans="1:7" x14ac:dyDescent="0.25">
      <c r="A950" s="104">
        <v>45587</v>
      </c>
      <c r="B950" s="11" t="s">
        <v>19</v>
      </c>
      <c r="C950" s="28">
        <v>0.375</v>
      </c>
      <c r="D950" s="28">
        <v>0.625</v>
      </c>
      <c r="E950" s="30">
        <f t="shared" si="16"/>
        <v>5.5</v>
      </c>
      <c r="F950" s="11">
        <v>0.5</v>
      </c>
      <c r="G950" s="11"/>
    </row>
    <row r="951" spans="1:7" x14ac:dyDescent="0.25">
      <c r="A951" s="104">
        <v>45587</v>
      </c>
      <c r="B951" s="11" t="s">
        <v>19</v>
      </c>
      <c r="C951" s="28">
        <v>0.375</v>
      </c>
      <c r="D951" s="28">
        <v>0.625</v>
      </c>
      <c r="E951" s="30">
        <f t="shared" si="16"/>
        <v>5.5</v>
      </c>
      <c r="F951" s="11">
        <v>0.5</v>
      </c>
      <c r="G951" s="11"/>
    </row>
    <row r="952" spans="1:7" x14ac:dyDescent="0.25">
      <c r="A952" s="104">
        <v>45591</v>
      </c>
      <c r="B952" s="11" t="s">
        <v>19</v>
      </c>
      <c r="C952" s="28">
        <v>0.29166666666666669</v>
      </c>
      <c r="D952" s="28">
        <v>0.66666666666666663</v>
      </c>
      <c r="E952" s="30">
        <f t="shared" si="16"/>
        <v>7.9999999999999982</v>
      </c>
      <c r="F952" s="11">
        <v>1</v>
      </c>
      <c r="G952" s="11"/>
    </row>
    <row r="953" spans="1:7" x14ac:dyDescent="0.25">
      <c r="A953" s="104">
        <v>45591</v>
      </c>
      <c r="B953" s="11" t="s">
        <v>19</v>
      </c>
      <c r="C953" s="28">
        <v>0.29166666666666669</v>
      </c>
      <c r="D953" s="28">
        <v>0.66666666666666663</v>
      </c>
      <c r="E953" s="30">
        <f t="shared" si="16"/>
        <v>7.9999999999999982</v>
      </c>
      <c r="F953" s="11">
        <v>1</v>
      </c>
      <c r="G953" s="11"/>
    </row>
    <row r="954" spans="1:7" x14ac:dyDescent="0.25">
      <c r="A954" s="104">
        <v>45591</v>
      </c>
      <c r="B954" s="11" t="s">
        <v>19</v>
      </c>
      <c r="C954" s="28">
        <v>0.29166666666666669</v>
      </c>
      <c r="D954" s="28">
        <v>0.66666666666666663</v>
      </c>
      <c r="E954" s="30">
        <f t="shared" si="16"/>
        <v>7.9999999999999982</v>
      </c>
      <c r="F954" s="11">
        <v>1</v>
      </c>
      <c r="G954" s="11"/>
    </row>
    <row r="955" spans="1:7" x14ac:dyDescent="0.25">
      <c r="A955" s="104">
        <v>45591</v>
      </c>
      <c r="B955" s="11" t="s">
        <v>19</v>
      </c>
      <c r="C955" s="28">
        <v>0.29166666666666669</v>
      </c>
      <c r="D955" s="28">
        <v>0.66666666666666663</v>
      </c>
      <c r="E955" s="30">
        <f t="shared" si="16"/>
        <v>7.9999999999999982</v>
      </c>
      <c r="F955" s="11">
        <v>1</v>
      </c>
      <c r="G955" s="11"/>
    </row>
    <row r="956" spans="1:7" x14ac:dyDescent="0.25">
      <c r="A956" s="104">
        <v>45591</v>
      </c>
      <c r="B956" s="11" t="s">
        <v>19</v>
      </c>
      <c r="C956" s="28">
        <v>0.29166666666666669</v>
      </c>
      <c r="D956" s="28">
        <v>0.66666666666666663</v>
      </c>
      <c r="E956" s="30">
        <f t="shared" si="16"/>
        <v>7.9999999999999982</v>
      </c>
      <c r="F956" s="11">
        <v>1</v>
      </c>
      <c r="G956" s="11"/>
    </row>
    <row r="957" spans="1:7" x14ac:dyDescent="0.25">
      <c r="A957" s="104">
        <v>45593</v>
      </c>
      <c r="B957" s="11" t="s">
        <v>19</v>
      </c>
      <c r="C957" s="28">
        <v>0.66666666666666663</v>
      </c>
      <c r="D957" s="28">
        <v>0.83333333333333337</v>
      </c>
      <c r="E957" s="30">
        <f t="shared" si="16"/>
        <v>4.0000000000000018</v>
      </c>
      <c r="F957" s="11"/>
      <c r="G957" s="11"/>
    </row>
    <row r="958" spans="1:7" x14ac:dyDescent="0.25">
      <c r="A958" s="104">
        <v>45594</v>
      </c>
      <c r="B958" s="11" t="s">
        <v>19</v>
      </c>
      <c r="C958" s="28">
        <v>0.66666666666666663</v>
      </c>
      <c r="D958" s="28">
        <v>0.83333333333333337</v>
      </c>
      <c r="E958" s="30">
        <f t="shared" si="16"/>
        <v>4.0000000000000018</v>
      </c>
      <c r="F958" s="11"/>
      <c r="G958" s="11"/>
    </row>
    <row r="959" spans="1:7" x14ac:dyDescent="0.25">
      <c r="A959" s="104">
        <v>45594</v>
      </c>
      <c r="B959" s="11" t="s">
        <v>19</v>
      </c>
      <c r="C959" s="28">
        <v>0.66666666666666663</v>
      </c>
      <c r="D959" s="28">
        <v>0.83333333333333337</v>
      </c>
      <c r="E959" s="30">
        <f t="shared" si="16"/>
        <v>4.0000000000000018</v>
      </c>
      <c r="F959" s="11"/>
      <c r="G959" s="11"/>
    </row>
    <row r="960" spans="1:7" x14ac:dyDescent="0.25">
      <c r="A960" s="104">
        <v>45595</v>
      </c>
      <c r="B960" s="11" t="s">
        <v>19</v>
      </c>
      <c r="C960" s="28">
        <v>0.66666666666666663</v>
      </c>
      <c r="D960" s="28">
        <v>0.83333333333333337</v>
      </c>
      <c r="E960" s="30">
        <f t="shared" si="16"/>
        <v>4.0000000000000018</v>
      </c>
      <c r="F960" s="11"/>
      <c r="G960" s="11"/>
    </row>
    <row r="961" spans="1:7" x14ac:dyDescent="0.25">
      <c r="A961" s="104">
        <v>45596</v>
      </c>
      <c r="B961" s="11" t="s">
        <v>19</v>
      </c>
      <c r="C961" s="28">
        <v>0.66666666666666663</v>
      </c>
      <c r="D961" s="28">
        <v>0.89583333333333337</v>
      </c>
      <c r="E961" s="30">
        <f t="shared" si="16"/>
        <v>5.0000000000000018</v>
      </c>
      <c r="F961" s="11">
        <v>0.5</v>
      </c>
      <c r="G961" s="11"/>
    </row>
    <row r="962" spans="1:7" x14ac:dyDescent="0.25">
      <c r="A962" s="104">
        <v>45596</v>
      </c>
      <c r="B962" s="11" t="s">
        <v>19</v>
      </c>
      <c r="C962" s="28">
        <v>0.66666666666666663</v>
      </c>
      <c r="D962" s="28">
        <v>0.89583333333333337</v>
      </c>
      <c r="E962" s="30">
        <f t="shared" si="16"/>
        <v>5.0000000000000018</v>
      </c>
      <c r="F962" s="11">
        <v>0.5</v>
      </c>
      <c r="G962" s="11"/>
    </row>
    <row r="963" spans="1:7" x14ac:dyDescent="0.25">
      <c r="A963" s="104">
        <v>45597</v>
      </c>
      <c r="B963" s="11" t="s">
        <v>19</v>
      </c>
      <c r="C963" s="28">
        <v>0.77083333333333337</v>
      </c>
      <c r="D963" s="28">
        <v>0.9375</v>
      </c>
      <c r="E963" s="30">
        <f t="shared" si="16"/>
        <v>3.9999999999999991</v>
      </c>
      <c r="F963" s="11"/>
      <c r="G963" s="11"/>
    </row>
    <row r="964" spans="1:7" x14ac:dyDescent="0.25">
      <c r="A964" s="104">
        <v>45597</v>
      </c>
      <c r="B964" s="11" t="s">
        <v>19</v>
      </c>
      <c r="C964" s="28">
        <v>0.66666666666666663</v>
      </c>
      <c r="D964" s="28">
        <v>0.875</v>
      </c>
      <c r="E964" s="30">
        <f t="shared" si="16"/>
        <v>5.0000000000000009</v>
      </c>
      <c r="F964" s="11"/>
      <c r="G964" s="11"/>
    </row>
    <row r="965" spans="1:7" x14ac:dyDescent="0.25">
      <c r="A965" s="104">
        <v>45597</v>
      </c>
      <c r="B965" s="11" t="s">
        <v>19</v>
      </c>
      <c r="C965" s="28">
        <v>0.66666666666666663</v>
      </c>
      <c r="D965" s="28">
        <v>0.9375</v>
      </c>
      <c r="E965" s="30">
        <f t="shared" si="16"/>
        <v>6.0000000000000009</v>
      </c>
      <c r="F965" s="11">
        <v>0.5</v>
      </c>
      <c r="G965" s="11"/>
    </row>
    <row r="966" spans="1:7" x14ac:dyDescent="0.25">
      <c r="A966" s="104">
        <v>45598</v>
      </c>
      <c r="B966" s="11" t="s">
        <v>19</v>
      </c>
      <c r="C966" s="28">
        <v>0.29166666666666669</v>
      </c>
      <c r="D966" s="28">
        <v>0.58333333333333337</v>
      </c>
      <c r="E966" s="30">
        <f t="shared" si="16"/>
        <v>6.5</v>
      </c>
      <c r="F966" s="11">
        <v>0.5</v>
      </c>
      <c r="G966" s="11"/>
    </row>
    <row r="967" spans="1:7" x14ac:dyDescent="0.25">
      <c r="A967" s="104">
        <v>45598</v>
      </c>
      <c r="B967" s="11" t="s">
        <v>19</v>
      </c>
      <c r="C967" s="28">
        <v>0.29166666666666669</v>
      </c>
      <c r="D967" s="28">
        <v>0.54166666666666663</v>
      </c>
      <c r="E967" s="30">
        <f t="shared" si="16"/>
        <v>5.4999999999999982</v>
      </c>
      <c r="F967" s="11">
        <v>0.5</v>
      </c>
      <c r="G967" s="11"/>
    </row>
    <row r="968" spans="1:7" x14ac:dyDescent="0.25">
      <c r="A968" s="104">
        <v>45598</v>
      </c>
      <c r="B968" s="11" t="s">
        <v>19</v>
      </c>
      <c r="C968" s="28">
        <v>0.29166666666666669</v>
      </c>
      <c r="D968" s="28">
        <v>0.58333333333333337</v>
      </c>
      <c r="E968" s="30">
        <f t="shared" si="16"/>
        <v>6.5</v>
      </c>
      <c r="F968" s="11">
        <v>0.5</v>
      </c>
      <c r="G968" s="11"/>
    </row>
    <row r="969" spans="1:7" x14ac:dyDescent="0.25">
      <c r="A969" s="104">
        <v>45598</v>
      </c>
      <c r="B969" s="11" t="s">
        <v>19</v>
      </c>
      <c r="C969" s="28">
        <v>0.33333333333333331</v>
      </c>
      <c r="D969" s="28">
        <v>0.58333333333333337</v>
      </c>
      <c r="E969" s="30">
        <f t="shared" si="16"/>
        <v>5.5000000000000018</v>
      </c>
      <c r="F969" s="11">
        <v>0.5</v>
      </c>
      <c r="G969" s="11"/>
    </row>
    <row r="970" spans="1:7" x14ac:dyDescent="0.25">
      <c r="A970" s="104">
        <v>45599</v>
      </c>
      <c r="B970" s="11" t="s">
        <v>19</v>
      </c>
      <c r="C970" s="28">
        <v>0.41666666666666669</v>
      </c>
      <c r="D970" s="28">
        <v>0.58333333333333337</v>
      </c>
      <c r="E970" s="30">
        <f t="shared" si="16"/>
        <v>4</v>
      </c>
      <c r="F970" s="11"/>
      <c r="G970" s="11"/>
    </row>
    <row r="971" spans="1:7" x14ac:dyDescent="0.25">
      <c r="A971" s="104">
        <v>45599</v>
      </c>
      <c r="B971" s="11" t="s">
        <v>19</v>
      </c>
      <c r="C971" s="28">
        <v>0.41666666666666669</v>
      </c>
      <c r="D971" s="28">
        <v>0.58333333333333337</v>
      </c>
      <c r="E971" s="30">
        <f t="shared" si="16"/>
        <v>4</v>
      </c>
      <c r="F971" s="11"/>
      <c r="G971" s="11"/>
    </row>
    <row r="972" spans="1:7" x14ac:dyDescent="0.25">
      <c r="A972" s="104">
        <v>45599</v>
      </c>
      <c r="B972" s="11" t="s">
        <v>19</v>
      </c>
      <c r="C972" s="28">
        <v>0.41666666666666669</v>
      </c>
      <c r="D972" s="28">
        <v>0.58333333333333337</v>
      </c>
      <c r="E972" s="30">
        <f t="shared" si="16"/>
        <v>4</v>
      </c>
      <c r="F972" s="11"/>
      <c r="G972" s="11"/>
    </row>
    <row r="973" spans="1:7" x14ac:dyDescent="0.25">
      <c r="A973" s="104">
        <v>45601</v>
      </c>
      <c r="B973" s="11" t="s">
        <v>19</v>
      </c>
      <c r="C973" s="28">
        <v>0.64583333333333337</v>
      </c>
      <c r="D973" s="28">
        <v>0.83333333333333337</v>
      </c>
      <c r="E973" s="30">
        <f t="shared" si="16"/>
        <v>4.5</v>
      </c>
      <c r="F973" s="11"/>
      <c r="G973" s="11"/>
    </row>
    <row r="974" spans="1:7" x14ac:dyDescent="0.25">
      <c r="A974" s="104">
        <v>45601</v>
      </c>
      <c r="B974" s="11" t="s">
        <v>19</v>
      </c>
      <c r="C974" s="28">
        <v>0.64583333333333337</v>
      </c>
      <c r="D974" s="28">
        <v>0.83333333333333337</v>
      </c>
      <c r="E974" s="30">
        <f t="shared" si="16"/>
        <v>4.5</v>
      </c>
      <c r="F974" s="11"/>
      <c r="G974" s="11"/>
    </row>
    <row r="975" spans="1:7" x14ac:dyDescent="0.25">
      <c r="A975" s="104">
        <v>45607</v>
      </c>
      <c r="B975" s="11" t="s">
        <v>19</v>
      </c>
      <c r="C975" s="28">
        <v>0.29166666666666669</v>
      </c>
      <c r="D975" s="28">
        <v>0.5</v>
      </c>
      <c r="E975" s="30">
        <f t="shared" si="16"/>
        <v>5</v>
      </c>
      <c r="F975" s="11"/>
      <c r="G975" s="11"/>
    </row>
    <row r="976" spans="1:7" x14ac:dyDescent="0.25">
      <c r="A976" s="104">
        <v>45607</v>
      </c>
      <c r="B976" s="11" t="s">
        <v>19</v>
      </c>
      <c r="C976" s="28">
        <v>0.29166666666666669</v>
      </c>
      <c r="D976" s="28">
        <v>0.5</v>
      </c>
      <c r="E976" s="30">
        <f t="shared" si="16"/>
        <v>5</v>
      </c>
      <c r="F976" s="11"/>
      <c r="G976" s="11"/>
    </row>
    <row r="977" spans="1:7" x14ac:dyDescent="0.25">
      <c r="A977" s="104">
        <v>45627</v>
      </c>
      <c r="B977" s="11" t="s">
        <v>19</v>
      </c>
      <c r="C977" s="28">
        <v>0.41666666666666669</v>
      </c>
      <c r="D977" s="28">
        <v>0.66666666666666663</v>
      </c>
      <c r="E977" s="30">
        <f t="shared" si="16"/>
        <v>5.4999999999999982</v>
      </c>
      <c r="F977" s="11">
        <v>0.5</v>
      </c>
      <c r="G977" s="11"/>
    </row>
    <row r="978" spans="1:7" x14ac:dyDescent="0.25">
      <c r="A978" s="104">
        <v>45627</v>
      </c>
      <c r="B978" s="11" t="s">
        <v>19</v>
      </c>
      <c r="C978" s="28">
        <v>0.41666666666666669</v>
      </c>
      <c r="D978" s="28">
        <v>0.66666666666666663</v>
      </c>
      <c r="E978" s="30">
        <f t="shared" si="16"/>
        <v>5.4999999999999982</v>
      </c>
      <c r="F978" s="11">
        <v>0.5</v>
      </c>
      <c r="G978" s="11"/>
    </row>
    <row r="979" spans="1:7" x14ac:dyDescent="0.25">
      <c r="A979" s="104">
        <v>45627</v>
      </c>
      <c r="B979" s="11" t="s">
        <v>19</v>
      </c>
      <c r="C979" s="28">
        <v>0.41666666666666669</v>
      </c>
      <c r="D979" s="28">
        <v>0.66666666666666663</v>
      </c>
      <c r="E979" s="30">
        <f t="shared" si="16"/>
        <v>5.4999999999999982</v>
      </c>
      <c r="F979" s="11">
        <v>0.5</v>
      </c>
      <c r="G979" s="11"/>
    </row>
    <row r="980" spans="1:7" x14ac:dyDescent="0.25">
      <c r="A980" s="104">
        <v>45629</v>
      </c>
      <c r="B980" s="11" t="s">
        <v>19</v>
      </c>
      <c r="C980" s="28">
        <v>0.41666666666666669</v>
      </c>
      <c r="D980" s="28">
        <v>0.625</v>
      </c>
      <c r="E980" s="30">
        <f t="shared" si="16"/>
        <v>5</v>
      </c>
      <c r="F980" s="11"/>
      <c r="G980" s="11"/>
    </row>
    <row r="981" spans="1:7" x14ac:dyDescent="0.25">
      <c r="A981" s="104">
        <v>45629</v>
      </c>
      <c r="B981" s="11" t="s">
        <v>19</v>
      </c>
      <c r="C981" s="28">
        <v>0.41666666666666669</v>
      </c>
      <c r="D981" s="28">
        <v>0.625</v>
      </c>
      <c r="E981" s="30">
        <f t="shared" si="16"/>
        <v>5</v>
      </c>
      <c r="F981" s="11"/>
      <c r="G981" s="11"/>
    </row>
    <row r="982" spans="1:7" x14ac:dyDescent="0.25">
      <c r="A982" s="104">
        <v>45630</v>
      </c>
      <c r="B982" s="11" t="s">
        <v>19</v>
      </c>
      <c r="C982" s="28">
        <v>0.41666666666666669</v>
      </c>
      <c r="D982" s="28">
        <v>0.625</v>
      </c>
      <c r="E982" s="30">
        <f t="shared" si="16"/>
        <v>5</v>
      </c>
      <c r="F982" s="11"/>
      <c r="G982" s="11"/>
    </row>
    <row r="983" spans="1:7" x14ac:dyDescent="0.25">
      <c r="A983" s="104">
        <v>45630</v>
      </c>
      <c r="B983" s="11" t="s">
        <v>19</v>
      </c>
      <c r="C983" s="28">
        <v>0.41666666666666669</v>
      </c>
      <c r="D983" s="28">
        <v>0.625</v>
      </c>
      <c r="E983" s="30">
        <f t="shared" si="16"/>
        <v>5</v>
      </c>
      <c r="F983" s="11"/>
      <c r="G983" s="11"/>
    </row>
    <row r="984" spans="1:7" x14ac:dyDescent="0.25">
      <c r="A984" s="104">
        <v>45630</v>
      </c>
      <c r="B984" s="11" t="s">
        <v>19</v>
      </c>
      <c r="C984" s="28">
        <v>0.5</v>
      </c>
      <c r="D984" s="28">
        <v>0.70833333333333337</v>
      </c>
      <c r="E984" s="30">
        <f t="shared" si="16"/>
        <v>5.0000000000000009</v>
      </c>
      <c r="F984" s="11"/>
      <c r="G984" s="11"/>
    </row>
    <row r="985" spans="1:7" x14ac:dyDescent="0.25">
      <c r="A985" s="104">
        <v>45631</v>
      </c>
      <c r="B985" s="11" t="s">
        <v>19</v>
      </c>
      <c r="C985" s="28">
        <v>0.625</v>
      </c>
      <c r="D985" s="28">
        <v>0.97916666666666663</v>
      </c>
      <c r="E985" s="30">
        <f t="shared" si="16"/>
        <v>8</v>
      </c>
      <c r="F985" s="11">
        <v>0.5</v>
      </c>
      <c r="G985" s="11"/>
    </row>
    <row r="986" spans="1:7" x14ac:dyDescent="0.25">
      <c r="A986" s="104">
        <v>45631</v>
      </c>
      <c r="B986" s="11" t="s">
        <v>19</v>
      </c>
      <c r="C986" s="162">
        <v>0.625</v>
      </c>
      <c r="D986" s="162">
        <v>0.97916666666666663</v>
      </c>
      <c r="E986" s="30">
        <f t="shared" si="16"/>
        <v>8</v>
      </c>
      <c r="F986" s="11">
        <v>0.5</v>
      </c>
      <c r="G986" s="11"/>
    </row>
    <row r="987" spans="1:7" x14ac:dyDescent="0.25">
      <c r="A987" s="104">
        <v>45631</v>
      </c>
      <c r="B987" s="11" t="s">
        <v>19</v>
      </c>
      <c r="C987" s="162">
        <v>0.625</v>
      </c>
      <c r="D987" s="162">
        <v>0.97916666666666663</v>
      </c>
      <c r="E987" s="30">
        <f t="shared" si="16"/>
        <v>8</v>
      </c>
      <c r="F987" s="11">
        <v>0.5</v>
      </c>
      <c r="G987" s="11"/>
    </row>
    <row r="988" spans="1:7" x14ac:dyDescent="0.25">
      <c r="A988" s="104">
        <v>45631</v>
      </c>
      <c r="B988" s="11" t="s">
        <v>19</v>
      </c>
      <c r="C988" s="162">
        <v>0.625</v>
      </c>
      <c r="D988" s="162">
        <v>0.97916666666666663</v>
      </c>
      <c r="E988" s="30">
        <f t="shared" si="16"/>
        <v>8</v>
      </c>
      <c r="F988" s="11">
        <v>0.5</v>
      </c>
      <c r="G988" s="11"/>
    </row>
    <row r="989" spans="1:7" x14ac:dyDescent="0.25">
      <c r="A989" s="104">
        <v>45631</v>
      </c>
      <c r="B989" s="11" t="s">
        <v>19</v>
      </c>
      <c r="C989" s="162">
        <v>0.625</v>
      </c>
      <c r="D989" s="162">
        <v>0.97916666666666663</v>
      </c>
      <c r="E989" s="30">
        <f t="shared" si="16"/>
        <v>8</v>
      </c>
      <c r="F989" s="11">
        <v>0.5</v>
      </c>
      <c r="G989" s="11"/>
    </row>
    <row r="990" spans="1:7" x14ac:dyDescent="0.25">
      <c r="A990" s="104">
        <v>45631</v>
      </c>
      <c r="B990" s="11" t="s">
        <v>19</v>
      </c>
      <c r="C990" s="162">
        <v>0.8125</v>
      </c>
      <c r="D990" s="162">
        <v>0.97916666666666663</v>
      </c>
      <c r="E990" s="30">
        <f t="shared" si="16"/>
        <v>3.9999999999999991</v>
      </c>
      <c r="F990" s="11"/>
      <c r="G990" s="11"/>
    </row>
    <row r="991" spans="1:7" x14ac:dyDescent="0.25">
      <c r="A991" s="104">
        <v>45631</v>
      </c>
      <c r="B991" s="11" t="s">
        <v>19</v>
      </c>
      <c r="C991" s="162">
        <v>0.8125</v>
      </c>
      <c r="D991" s="162">
        <v>0.97916666666666663</v>
      </c>
      <c r="E991" s="30">
        <f t="shared" si="16"/>
        <v>3.9999999999999991</v>
      </c>
      <c r="F991" s="11"/>
      <c r="G991" s="11"/>
    </row>
    <row r="992" spans="1:7" x14ac:dyDescent="0.25">
      <c r="A992" s="104">
        <v>45632</v>
      </c>
      <c r="B992" s="11" t="s">
        <v>19</v>
      </c>
      <c r="C992" s="28">
        <v>0.41666666666666669</v>
      </c>
      <c r="D992" s="28">
        <v>0.625</v>
      </c>
      <c r="E992" s="30">
        <f t="shared" si="16"/>
        <v>5</v>
      </c>
      <c r="F992" s="11"/>
      <c r="G992" s="11"/>
    </row>
    <row r="993" spans="1:7" x14ac:dyDescent="0.25">
      <c r="A993" s="104">
        <v>45632</v>
      </c>
      <c r="B993" s="11" t="s">
        <v>19</v>
      </c>
      <c r="C993" s="28">
        <v>0.41666666666666669</v>
      </c>
      <c r="D993" s="28">
        <v>0.625</v>
      </c>
      <c r="E993" s="30">
        <f t="shared" si="16"/>
        <v>5</v>
      </c>
      <c r="F993" s="11"/>
      <c r="G993" s="11"/>
    </row>
    <row r="994" spans="1:7" x14ac:dyDescent="0.25">
      <c r="A994" s="104">
        <v>45636</v>
      </c>
      <c r="B994" s="11" t="s">
        <v>19</v>
      </c>
      <c r="C994" s="28">
        <v>0.64583333333333337</v>
      </c>
      <c r="D994" s="28">
        <v>0.8125</v>
      </c>
      <c r="E994" s="30">
        <f t="shared" si="16"/>
        <v>3.9999999999999991</v>
      </c>
      <c r="F994" s="11"/>
      <c r="G994" s="11"/>
    </row>
    <row r="995" spans="1:7" x14ac:dyDescent="0.25">
      <c r="A995" s="104">
        <v>45637</v>
      </c>
      <c r="B995" s="11" t="s">
        <v>19</v>
      </c>
      <c r="C995" s="28">
        <v>0.41666666666666669</v>
      </c>
      <c r="D995" s="28">
        <v>0.58333333333333337</v>
      </c>
      <c r="E995" s="30">
        <f t="shared" si="16"/>
        <v>4</v>
      </c>
      <c r="F995" s="11"/>
      <c r="G995" s="11"/>
    </row>
    <row r="996" spans="1:7" x14ac:dyDescent="0.25">
      <c r="A996" s="104">
        <v>45637</v>
      </c>
      <c r="B996" s="11" t="s">
        <v>19</v>
      </c>
      <c r="C996" s="28">
        <v>0.41666666666666669</v>
      </c>
      <c r="D996" s="28">
        <v>0.58333333333333337</v>
      </c>
      <c r="E996" s="30">
        <f t="shared" si="16"/>
        <v>4</v>
      </c>
      <c r="F996" s="11"/>
      <c r="G996" s="11"/>
    </row>
    <row r="997" spans="1:7" x14ac:dyDescent="0.25">
      <c r="A997" s="104">
        <v>45637</v>
      </c>
      <c r="B997" s="11" t="s">
        <v>19</v>
      </c>
      <c r="C997" s="28">
        <v>0.41666666666666669</v>
      </c>
      <c r="D997" s="28">
        <v>0.58333333333333337</v>
      </c>
      <c r="E997" s="30">
        <f t="shared" si="16"/>
        <v>4</v>
      </c>
      <c r="F997" s="11"/>
      <c r="G997" s="11"/>
    </row>
  </sheetData>
  <autoFilter ref="A1:G997" xr:uid="{D74B753B-3C7B-4CB2-92D2-E23E4EC519C7}"/>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7A550-92B2-412D-8CBA-3EF9B0DE7FA7}">
  <sheetPr>
    <tabColor rgb="FF00B050"/>
  </sheetPr>
  <dimension ref="A1:I786"/>
  <sheetViews>
    <sheetView workbookViewId="0">
      <selection activeCell="A2" sqref="A1:B1048576"/>
    </sheetView>
  </sheetViews>
  <sheetFormatPr defaultRowHeight="15" x14ac:dyDescent="0.25"/>
  <cols>
    <col min="1" max="1" width="30.7109375" style="43" bestFit="1" customWidth="1"/>
    <col min="2" max="2" width="69.85546875" bestFit="1" customWidth="1"/>
    <col min="3" max="4" width="15.85546875" customWidth="1"/>
    <col min="5" max="5" width="14.140625" bestFit="1" customWidth="1"/>
    <col min="6" max="6" width="25" bestFit="1" customWidth="1"/>
    <col min="7" max="7" width="19.28515625" style="11" bestFit="1" customWidth="1"/>
  </cols>
  <sheetData>
    <row r="1" spans="1:7" x14ac:dyDescent="0.25">
      <c r="A1" s="46" t="s">
        <v>83</v>
      </c>
      <c r="B1" s="9" t="s">
        <v>84</v>
      </c>
      <c r="C1" s="27" t="s">
        <v>85</v>
      </c>
      <c r="D1" s="27" t="s">
        <v>86</v>
      </c>
      <c r="E1" s="9" t="s">
        <v>16</v>
      </c>
      <c r="F1" s="37" t="s">
        <v>87</v>
      </c>
      <c r="G1" s="9" t="s">
        <v>25</v>
      </c>
    </row>
    <row r="2" spans="1:7" x14ac:dyDescent="0.25">
      <c r="A2" s="44">
        <v>45293</v>
      </c>
      <c r="B2" s="11" t="s">
        <v>56</v>
      </c>
      <c r="C2" s="28">
        <v>0.32291666666666669</v>
      </c>
      <c r="D2" s="28">
        <v>0.58333333333333337</v>
      </c>
      <c r="E2" s="30">
        <f>MOD((D2-C2),1) *24 - F2</f>
        <v>5.75</v>
      </c>
      <c r="F2" s="38">
        <v>0.5</v>
      </c>
      <c r="G2" s="12">
        <f>SUM(E:E)</f>
        <v>4285.5</v>
      </c>
    </row>
    <row r="3" spans="1:7" x14ac:dyDescent="0.25">
      <c r="A3" s="44">
        <v>45294</v>
      </c>
      <c r="B3" s="11" t="s">
        <v>56</v>
      </c>
      <c r="C3" s="28">
        <v>0.32291666666666669</v>
      </c>
      <c r="D3" s="28">
        <v>0.58333333333333337</v>
      </c>
      <c r="E3" s="30">
        <f t="shared" ref="E3:E63" si="0">MOD((D3-C3),1) *24 - F3</f>
        <v>5.75</v>
      </c>
      <c r="F3" s="38">
        <v>0.5</v>
      </c>
    </row>
    <row r="4" spans="1:7" x14ac:dyDescent="0.25">
      <c r="A4" s="44">
        <v>45294</v>
      </c>
      <c r="B4" s="11" t="s">
        <v>91</v>
      </c>
      <c r="C4" s="28">
        <v>0.70833333333333337</v>
      </c>
      <c r="D4" s="28">
        <v>0.89583333333333337</v>
      </c>
      <c r="E4" s="30">
        <f t="shared" si="0"/>
        <v>4.5</v>
      </c>
      <c r="F4" s="38"/>
    </row>
    <row r="5" spans="1:7" x14ac:dyDescent="0.25">
      <c r="A5" s="44">
        <v>45295</v>
      </c>
      <c r="B5" s="11" t="s">
        <v>56</v>
      </c>
      <c r="C5" s="28">
        <v>0.32291666666666669</v>
      </c>
      <c r="D5" s="28">
        <v>0.58333333333333337</v>
      </c>
      <c r="E5" s="30">
        <f t="shared" si="0"/>
        <v>5.75</v>
      </c>
      <c r="F5" s="38">
        <v>0.5</v>
      </c>
    </row>
    <row r="6" spans="1:7" x14ac:dyDescent="0.25">
      <c r="A6" s="44">
        <v>45296</v>
      </c>
      <c r="B6" s="11" t="s">
        <v>56</v>
      </c>
      <c r="C6" s="28">
        <v>0.32291666666666669</v>
      </c>
      <c r="D6" s="28">
        <v>0.58333333333333337</v>
      </c>
      <c r="E6" s="30">
        <f t="shared" si="0"/>
        <v>5.75</v>
      </c>
      <c r="F6" s="38">
        <v>0.5</v>
      </c>
    </row>
    <row r="7" spans="1:7" x14ac:dyDescent="0.25">
      <c r="A7" s="44">
        <v>45297</v>
      </c>
      <c r="B7" s="11" t="s">
        <v>92</v>
      </c>
      <c r="C7" s="28">
        <v>0.33333333333333331</v>
      </c>
      <c r="D7" s="28">
        <v>0.45833333333333331</v>
      </c>
      <c r="E7" s="30">
        <f t="shared" si="0"/>
        <v>3</v>
      </c>
      <c r="F7" s="38"/>
    </row>
    <row r="8" spans="1:7" x14ac:dyDescent="0.25">
      <c r="A8" s="44">
        <v>45297</v>
      </c>
      <c r="B8" s="11" t="s">
        <v>56</v>
      </c>
      <c r="C8" s="28">
        <v>0.33333333333333331</v>
      </c>
      <c r="D8" s="28">
        <v>0.5</v>
      </c>
      <c r="E8" s="30">
        <f t="shared" si="0"/>
        <v>4</v>
      </c>
      <c r="F8" s="38"/>
    </row>
    <row r="9" spans="1:7" x14ac:dyDescent="0.25">
      <c r="A9" s="44">
        <v>45297</v>
      </c>
      <c r="B9" s="11" t="s">
        <v>53</v>
      </c>
      <c r="C9" s="28">
        <v>0.58333333333333337</v>
      </c>
      <c r="D9" s="28">
        <v>2.0833333333333332E-2</v>
      </c>
      <c r="E9" s="30">
        <f t="shared" si="0"/>
        <v>9.5</v>
      </c>
      <c r="F9" s="38">
        <v>1</v>
      </c>
    </row>
    <row r="10" spans="1:7" x14ac:dyDescent="0.25">
      <c r="A10" s="44">
        <v>45297</v>
      </c>
      <c r="B10" s="11" t="s">
        <v>58</v>
      </c>
      <c r="C10" s="28">
        <v>0.58333333333333337</v>
      </c>
      <c r="D10" s="28">
        <v>0.91666666666666663</v>
      </c>
      <c r="E10" s="30">
        <f t="shared" si="0"/>
        <v>7.4999999999999982</v>
      </c>
      <c r="F10" s="38">
        <v>0.5</v>
      </c>
    </row>
    <row r="11" spans="1:7" x14ac:dyDescent="0.25">
      <c r="A11" s="44">
        <v>45298</v>
      </c>
      <c r="B11" s="11" t="s">
        <v>58</v>
      </c>
      <c r="C11" s="28">
        <v>0.41666666666666669</v>
      </c>
      <c r="D11" s="28">
        <v>0.70833333333333337</v>
      </c>
      <c r="E11" s="30">
        <f t="shared" si="0"/>
        <v>6.5</v>
      </c>
      <c r="F11" s="38">
        <v>0.5</v>
      </c>
    </row>
    <row r="12" spans="1:7" x14ac:dyDescent="0.25">
      <c r="A12" s="44">
        <v>45299</v>
      </c>
      <c r="B12" s="11" t="s">
        <v>56</v>
      </c>
      <c r="C12" s="28">
        <v>0.32291666666666669</v>
      </c>
      <c r="D12" s="28">
        <v>0.58333333333333337</v>
      </c>
      <c r="E12" s="30">
        <f t="shared" si="0"/>
        <v>5.75</v>
      </c>
      <c r="F12" s="38">
        <v>0.5</v>
      </c>
    </row>
    <row r="13" spans="1:7" x14ac:dyDescent="0.25">
      <c r="A13" s="44">
        <v>45300</v>
      </c>
      <c r="B13" s="11" t="s">
        <v>56</v>
      </c>
      <c r="C13" s="28">
        <v>0.32291666666666669</v>
      </c>
      <c r="D13" s="28">
        <v>0.58333333333333337</v>
      </c>
      <c r="E13" s="30">
        <f t="shared" si="0"/>
        <v>5.75</v>
      </c>
      <c r="F13" s="38">
        <v>0.5</v>
      </c>
    </row>
    <row r="14" spans="1:7" x14ac:dyDescent="0.25">
      <c r="A14" s="44">
        <v>45301</v>
      </c>
      <c r="B14" s="11" t="s">
        <v>56</v>
      </c>
      <c r="C14" s="28">
        <v>0.32291666666666669</v>
      </c>
      <c r="D14" s="28">
        <v>0.58333333333333337</v>
      </c>
      <c r="E14" s="30">
        <f t="shared" si="0"/>
        <v>5.75</v>
      </c>
      <c r="F14" s="38">
        <v>0.5</v>
      </c>
    </row>
    <row r="15" spans="1:7" x14ac:dyDescent="0.25">
      <c r="A15" s="44">
        <v>45301</v>
      </c>
      <c r="B15" s="11" t="s">
        <v>56</v>
      </c>
      <c r="C15" s="28">
        <v>0.70833333333333337</v>
      </c>
      <c r="D15" s="28">
        <v>0.89583333333333337</v>
      </c>
      <c r="E15" s="30">
        <f t="shared" si="0"/>
        <v>4.5</v>
      </c>
      <c r="F15" s="38"/>
    </row>
    <row r="16" spans="1:7" x14ac:dyDescent="0.25">
      <c r="A16" s="44">
        <v>45302</v>
      </c>
      <c r="B16" s="11" t="s">
        <v>56</v>
      </c>
      <c r="C16" s="28">
        <v>0.32291666666666669</v>
      </c>
      <c r="D16" s="28">
        <v>0.58333333333333337</v>
      </c>
      <c r="E16" s="30">
        <f t="shared" si="0"/>
        <v>5.75</v>
      </c>
      <c r="F16" s="38">
        <v>0.5</v>
      </c>
    </row>
    <row r="17" spans="1:6" x14ac:dyDescent="0.25">
      <c r="A17" s="44">
        <v>45302</v>
      </c>
      <c r="B17" s="11" t="s">
        <v>56</v>
      </c>
      <c r="C17" s="28">
        <v>0.75</v>
      </c>
      <c r="D17" s="28">
        <v>0.95833333333333337</v>
      </c>
      <c r="E17" s="30">
        <f t="shared" si="0"/>
        <v>5.0000000000000009</v>
      </c>
      <c r="F17" s="38"/>
    </row>
    <row r="18" spans="1:6" x14ac:dyDescent="0.25">
      <c r="A18" s="44">
        <v>45303</v>
      </c>
      <c r="B18" s="11" t="s">
        <v>56</v>
      </c>
      <c r="C18" s="28">
        <v>0.32291666666666669</v>
      </c>
      <c r="D18" s="28">
        <v>0.58333333333333337</v>
      </c>
      <c r="E18" s="30">
        <f t="shared" si="0"/>
        <v>5.75</v>
      </c>
      <c r="F18" s="38">
        <v>0.5</v>
      </c>
    </row>
    <row r="19" spans="1:6" x14ac:dyDescent="0.25">
      <c r="A19" s="44">
        <v>45303</v>
      </c>
      <c r="B19" s="11" t="s">
        <v>52</v>
      </c>
      <c r="C19" s="28">
        <v>0.58333333333333337</v>
      </c>
      <c r="D19" s="28">
        <v>0</v>
      </c>
      <c r="E19" s="30">
        <f t="shared" si="0"/>
        <v>9</v>
      </c>
      <c r="F19" s="38">
        <v>1</v>
      </c>
    </row>
    <row r="20" spans="1:6" x14ac:dyDescent="0.25">
      <c r="A20" s="44">
        <v>45304</v>
      </c>
      <c r="B20" s="11" t="s">
        <v>56</v>
      </c>
      <c r="C20" s="28">
        <v>0.33333333333333331</v>
      </c>
      <c r="D20" s="28">
        <v>0.5</v>
      </c>
      <c r="E20" s="30">
        <f t="shared" si="0"/>
        <v>4</v>
      </c>
      <c r="F20" s="38"/>
    </row>
    <row r="21" spans="1:6" x14ac:dyDescent="0.25">
      <c r="A21" s="44">
        <v>45304</v>
      </c>
      <c r="B21" s="11" t="s">
        <v>53</v>
      </c>
      <c r="C21" s="28">
        <v>0.39583333333333331</v>
      </c>
      <c r="D21" s="28">
        <v>0.72916666666666663</v>
      </c>
      <c r="E21" s="30">
        <f t="shared" si="0"/>
        <v>7.5</v>
      </c>
      <c r="F21" s="38">
        <v>0.5</v>
      </c>
    </row>
    <row r="22" spans="1:6" x14ac:dyDescent="0.25">
      <c r="A22" s="44">
        <v>45304</v>
      </c>
      <c r="B22" s="11" t="s">
        <v>48</v>
      </c>
      <c r="C22" s="28">
        <v>0.45833333333333331</v>
      </c>
      <c r="D22" s="28">
        <v>0.91666666666666663</v>
      </c>
      <c r="E22" s="30">
        <f t="shared" si="0"/>
        <v>10</v>
      </c>
      <c r="F22" s="38">
        <v>1</v>
      </c>
    </row>
    <row r="23" spans="1:6" x14ac:dyDescent="0.25">
      <c r="A23" s="44">
        <v>45304</v>
      </c>
      <c r="B23" s="11" t="s">
        <v>58</v>
      </c>
      <c r="C23" s="28">
        <v>0.52083333333333337</v>
      </c>
      <c r="D23" s="28">
        <v>0.79166666666666663</v>
      </c>
      <c r="E23" s="30">
        <f t="shared" si="0"/>
        <v>5.9999999999999982</v>
      </c>
      <c r="F23" s="38">
        <v>0.5</v>
      </c>
    </row>
    <row r="24" spans="1:6" x14ac:dyDescent="0.25">
      <c r="A24" s="44">
        <v>45305</v>
      </c>
      <c r="B24" s="11" t="s">
        <v>58</v>
      </c>
      <c r="C24" s="28">
        <v>0.33333333333333331</v>
      </c>
      <c r="D24" s="28">
        <v>0.66666666666666663</v>
      </c>
      <c r="E24" s="30">
        <f t="shared" si="0"/>
        <v>7.5</v>
      </c>
      <c r="F24" s="38">
        <v>0.5</v>
      </c>
    </row>
    <row r="25" spans="1:6" x14ac:dyDescent="0.25">
      <c r="A25" s="44">
        <v>45305</v>
      </c>
      <c r="B25" s="11" t="s">
        <v>53</v>
      </c>
      <c r="C25" s="28">
        <v>0.45833333333333331</v>
      </c>
      <c r="D25" s="28">
        <v>0.75</v>
      </c>
      <c r="E25" s="30">
        <f t="shared" si="0"/>
        <v>6.5</v>
      </c>
      <c r="F25" s="38">
        <v>0.5</v>
      </c>
    </row>
    <row r="26" spans="1:6" x14ac:dyDescent="0.25">
      <c r="A26" s="44">
        <v>45307</v>
      </c>
      <c r="B26" s="11" t="s">
        <v>56</v>
      </c>
      <c r="C26" s="28">
        <v>0.32291666666666669</v>
      </c>
      <c r="D26" s="28">
        <v>0.58333333333333337</v>
      </c>
      <c r="E26" s="30">
        <f t="shared" si="0"/>
        <v>5.75</v>
      </c>
      <c r="F26" s="38">
        <v>0.5</v>
      </c>
    </row>
    <row r="27" spans="1:6" x14ac:dyDescent="0.25">
      <c r="A27" s="44">
        <v>45308</v>
      </c>
      <c r="B27" s="11" t="s">
        <v>56</v>
      </c>
      <c r="C27" s="28">
        <v>0.32291666666666669</v>
      </c>
      <c r="D27" s="28">
        <v>0.58333333333333337</v>
      </c>
      <c r="E27" s="30">
        <f t="shared" si="0"/>
        <v>5.75</v>
      </c>
      <c r="F27" s="38">
        <v>0.5</v>
      </c>
    </row>
    <row r="28" spans="1:6" x14ac:dyDescent="0.25">
      <c r="A28" s="44">
        <v>45308</v>
      </c>
      <c r="B28" s="11" t="s">
        <v>58</v>
      </c>
      <c r="C28" s="28">
        <v>0.66666666666666663</v>
      </c>
      <c r="D28" s="28">
        <v>0.89583333333333337</v>
      </c>
      <c r="E28" s="30">
        <f t="shared" si="0"/>
        <v>5.5000000000000018</v>
      </c>
      <c r="F28" s="38"/>
    </row>
    <row r="29" spans="1:6" x14ac:dyDescent="0.25">
      <c r="A29" s="44">
        <v>45308</v>
      </c>
      <c r="B29" s="11" t="s">
        <v>53</v>
      </c>
      <c r="C29" s="28">
        <v>0.70833333333333337</v>
      </c>
      <c r="D29" s="28">
        <v>0.875</v>
      </c>
      <c r="E29" s="30">
        <f t="shared" si="0"/>
        <v>3.9999999999999991</v>
      </c>
      <c r="F29" s="38"/>
    </row>
    <row r="30" spans="1:6" x14ac:dyDescent="0.25">
      <c r="A30" s="44">
        <v>45309</v>
      </c>
      <c r="B30" s="11" t="s">
        <v>56</v>
      </c>
      <c r="C30" s="28">
        <v>0.32291666666666669</v>
      </c>
      <c r="D30" s="28">
        <v>0.58333333333333337</v>
      </c>
      <c r="E30" s="30">
        <f t="shared" si="0"/>
        <v>5.75</v>
      </c>
      <c r="F30" s="38">
        <v>0.5</v>
      </c>
    </row>
    <row r="31" spans="1:6" x14ac:dyDescent="0.25">
      <c r="A31" s="44">
        <v>45309</v>
      </c>
      <c r="B31" s="11" t="s">
        <v>56</v>
      </c>
      <c r="C31" s="28">
        <v>0.75</v>
      </c>
      <c r="D31" s="28">
        <v>0.9375</v>
      </c>
      <c r="E31" s="30">
        <f t="shared" si="0"/>
        <v>4.5</v>
      </c>
      <c r="F31" s="38"/>
    </row>
    <row r="32" spans="1:6" x14ac:dyDescent="0.25">
      <c r="A32" s="44">
        <v>45310</v>
      </c>
      <c r="B32" s="11" t="s">
        <v>56</v>
      </c>
      <c r="C32" s="28">
        <v>0.32291666666666669</v>
      </c>
      <c r="D32" s="28">
        <v>0.58333333333333337</v>
      </c>
      <c r="E32" s="30">
        <f t="shared" si="0"/>
        <v>5.75</v>
      </c>
      <c r="F32" s="38">
        <v>0.5</v>
      </c>
    </row>
    <row r="33" spans="1:6" x14ac:dyDescent="0.25">
      <c r="A33" s="44">
        <v>45311</v>
      </c>
      <c r="B33" s="11" t="s">
        <v>56</v>
      </c>
      <c r="C33" s="28">
        <v>0.33333333333333331</v>
      </c>
      <c r="D33" s="28">
        <v>0.5</v>
      </c>
      <c r="E33" s="30">
        <f t="shared" si="0"/>
        <v>4</v>
      </c>
      <c r="F33" s="38"/>
    </row>
    <row r="34" spans="1:6" x14ac:dyDescent="0.25">
      <c r="A34" s="44">
        <v>45311</v>
      </c>
      <c r="B34" s="11" t="s">
        <v>53</v>
      </c>
      <c r="C34" s="28">
        <v>0.45833333333333331</v>
      </c>
      <c r="D34" s="28">
        <v>0.75</v>
      </c>
      <c r="E34" s="30">
        <f t="shared" si="0"/>
        <v>6.5</v>
      </c>
      <c r="F34" s="38">
        <v>0.5</v>
      </c>
    </row>
    <row r="35" spans="1:6" x14ac:dyDescent="0.25">
      <c r="A35" s="44">
        <v>45311</v>
      </c>
      <c r="B35" s="11" t="s">
        <v>58</v>
      </c>
      <c r="C35" s="28">
        <v>0.54166666666666663</v>
      </c>
      <c r="D35" s="28">
        <v>0.91666666666666663</v>
      </c>
      <c r="E35" s="30">
        <f t="shared" si="0"/>
        <v>8</v>
      </c>
      <c r="F35" s="38">
        <v>1</v>
      </c>
    </row>
    <row r="36" spans="1:6" x14ac:dyDescent="0.25">
      <c r="A36" s="44">
        <v>45312</v>
      </c>
      <c r="B36" s="11" t="s">
        <v>58</v>
      </c>
      <c r="C36" s="28">
        <v>0.29166666666666669</v>
      </c>
      <c r="D36" s="28">
        <v>0.58333333333333337</v>
      </c>
      <c r="E36" s="30">
        <f t="shared" si="0"/>
        <v>6.5</v>
      </c>
      <c r="F36" s="38">
        <v>0.5</v>
      </c>
    </row>
    <row r="37" spans="1:6" x14ac:dyDescent="0.25">
      <c r="A37" s="44">
        <v>45313</v>
      </c>
      <c r="B37" s="11" t="s">
        <v>56</v>
      </c>
      <c r="C37" s="28">
        <v>0.32291666666666669</v>
      </c>
      <c r="D37" s="28">
        <v>0.58333333333333337</v>
      </c>
      <c r="E37" s="30">
        <f t="shared" si="0"/>
        <v>5.75</v>
      </c>
      <c r="F37" s="38">
        <v>0.5</v>
      </c>
    </row>
    <row r="38" spans="1:6" x14ac:dyDescent="0.25">
      <c r="A38" s="44">
        <v>45314</v>
      </c>
      <c r="B38" s="11" t="s">
        <v>56</v>
      </c>
      <c r="C38" s="28">
        <v>0.32291666666666669</v>
      </c>
      <c r="D38" s="28">
        <v>0.58333333333333337</v>
      </c>
      <c r="E38" s="30">
        <f t="shared" si="0"/>
        <v>5.75</v>
      </c>
      <c r="F38" s="38">
        <v>0.5</v>
      </c>
    </row>
    <row r="39" spans="1:6" x14ac:dyDescent="0.25">
      <c r="A39" s="44">
        <v>45315</v>
      </c>
      <c r="B39" s="11" t="s">
        <v>56</v>
      </c>
      <c r="C39" s="28">
        <v>0.32291666666666669</v>
      </c>
      <c r="D39" s="28">
        <v>0.58333333333333337</v>
      </c>
      <c r="E39" s="30">
        <f t="shared" si="0"/>
        <v>5.75</v>
      </c>
      <c r="F39" s="38">
        <v>0.5</v>
      </c>
    </row>
    <row r="40" spans="1:6" x14ac:dyDescent="0.25">
      <c r="A40" s="44">
        <v>45315</v>
      </c>
      <c r="B40" s="11" t="s">
        <v>56</v>
      </c>
      <c r="C40" s="28">
        <v>0.70833333333333337</v>
      </c>
      <c r="D40" s="28">
        <v>0.89583333333333337</v>
      </c>
      <c r="E40" s="30">
        <f t="shared" si="0"/>
        <v>4.5</v>
      </c>
      <c r="F40" s="38"/>
    </row>
    <row r="41" spans="1:6" x14ac:dyDescent="0.25">
      <c r="A41" s="44">
        <v>45316</v>
      </c>
      <c r="B41" s="11" t="s">
        <v>56</v>
      </c>
      <c r="C41" s="28">
        <v>0.32291666666666669</v>
      </c>
      <c r="D41" s="28">
        <v>0.58333333333333337</v>
      </c>
      <c r="E41" s="30">
        <f t="shared" si="0"/>
        <v>5.75</v>
      </c>
      <c r="F41" s="38">
        <v>0.5</v>
      </c>
    </row>
    <row r="42" spans="1:6" x14ac:dyDescent="0.25">
      <c r="A42" s="44">
        <v>45316</v>
      </c>
      <c r="B42" s="11" t="s">
        <v>91</v>
      </c>
      <c r="C42" s="28">
        <v>0.75</v>
      </c>
      <c r="D42" s="28">
        <v>0.9375</v>
      </c>
      <c r="E42" s="30">
        <f t="shared" si="0"/>
        <v>4.5</v>
      </c>
      <c r="F42" s="38"/>
    </row>
    <row r="43" spans="1:6" x14ac:dyDescent="0.25">
      <c r="A43" s="44">
        <v>45317</v>
      </c>
      <c r="B43" s="11" t="s">
        <v>56</v>
      </c>
      <c r="C43" s="28">
        <v>0.32291666666666669</v>
      </c>
      <c r="D43" s="28">
        <v>0.58333333333333337</v>
      </c>
      <c r="E43" s="30">
        <f t="shared" si="0"/>
        <v>5.75</v>
      </c>
      <c r="F43" s="38">
        <v>0.5</v>
      </c>
    </row>
    <row r="44" spans="1:6" x14ac:dyDescent="0.25">
      <c r="A44" s="44">
        <v>45317</v>
      </c>
      <c r="B44" s="11" t="s">
        <v>53</v>
      </c>
      <c r="C44" s="28">
        <v>0.625</v>
      </c>
      <c r="D44" s="28">
        <v>0.91666666666666663</v>
      </c>
      <c r="E44" s="30">
        <f t="shared" si="0"/>
        <v>6.4999999999999991</v>
      </c>
      <c r="F44" s="38">
        <v>0.5</v>
      </c>
    </row>
    <row r="45" spans="1:6" x14ac:dyDescent="0.25">
      <c r="A45" s="44">
        <v>45317</v>
      </c>
      <c r="B45" s="11" t="s">
        <v>58</v>
      </c>
      <c r="C45" s="28">
        <v>0.65625</v>
      </c>
      <c r="D45" s="28">
        <v>4.1666666666666664E-2</v>
      </c>
      <c r="E45" s="30">
        <f t="shared" si="0"/>
        <v>8.25</v>
      </c>
      <c r="F45" s="38">
        <v>1</v>
      </c>
    </row>
    <row r="46" spans="1:6" x14ac:dyDescent="0.25">
      <c r="A46" s="44">
        <v>45318</v>
      </c>
      <c r="B46" s="11" t="s">
        <v>56</v>
      </c>
      <c r="C46" s="28">
        <v>0.33333333333333331</v>
      </c>
      <c r="D46" s="28">
        <v>0.5</v>
      </c>
      <c r="E46" s="30">
        <f t="shared" si="0"/>
        <v>4</v>
      </c>
      <c r="F46" s="38"/>
    </row>
    <row r="47" spans="1:6" x14ac:dyDescent="0.25">
      <c r="A47" s="44">
        <v>45318</v>
      </c>
      <c r="B47" s="11" t="s">
        <v>58</v>
      </c>
      <c r="C47" s="28">
        <v>0.54166666666666663</v>
      </c>
      <c r="D47" s="28">
        <v>0.85416666666666663</v>
      </c>
      <c r="E47" s="30">
        <f t="shared" si="0"/>
        <v>7</v>
      </c>
      <c r="F47" s="38">
        <v>0.5</v>
      </c>
    </row>
    <row r="48" spans="1:6" x14ac:dyDescent="0.25">
      <c r="A48" s="44">
        <v>45319</v>
      </c>
      <c r="B48" s="11" t="s">
        <v>58</v>
      </c>
      <c r="C48" s="28">
        <v>0.41666666666666669</v>
      </c>
      <c r="D48" s="28">
        <v>0.70833333333333337</v>
      </c>
      <c r="E48" s="30">
        <f t="shared" si="0"/>
        <v>6.5</v>
      </c>
      <c r="F48" s="38">
        <v>0.5</v>
      </c>
    </row>
    <row r="49" spans="1:7" x14ac:dyDescent="0.25">
      <c r="A49" s="44">
        <v>45320</v>
      </c>
      <c r="B49" s="11" t="s">
        <v>56</v>
      </c>
      <c r="C49" s="28">
        <v>0.32291666666666669</v>
      </c>
      <c r="D49" s="28">
        <v>0.58333333333333337</v>
      </c>
      <c r="E49" s="30">
        <f t="shared" si="0"/>
        <v>5.75</v>
      </c>
      <c r="F49" s="38">
        <v>0.5</v>
      </c>
    </row>
    <row r="50" spans="1:7" x14ac:dyDescent="0.25">
      <c r="A50" s="44">
        <v>45320</v>
      </c>
      <c r="B50" s="11" t="s">
        <v>92</v>
      </c>
      <c r="C50" s="28">
        <v>0.6875</v>
      </c>
      <c r="D50" s="28">
        <v>0.85416666666666663</v>
      </c>
      <c r="E50" s="30">
        <f t="shared" si="0"/>
        <v>3.9999999999999991</v>
      </c>
      <c r="F50" s="38"/>
    </row>
    <row r="51" spans="1:7" x14ac:dyDescent="0.25">
      <c r="A51" s="44">
        <v>45321</v>
      </c>
      <c r="B51" s="11" t="s">
        <v>56</v>
      </c>
      <c r="C51" s="28">
        <v>0.32291666666666669</v>
      </c>
      <c r="D51" s="28">
        <v>0.58333333333333337</v>
      </c>
      <c r="E51" s="30">
        <f t="shared" si="0"/>
        <v>5.75</v>
      </c>
      <c r="F51" s="38">
        <v>0.5</v>
      </c>
    </row>
    <row r="52" spans="1:7" x14ac:dyDescent="0.25">
      <c r="A52" s="44">
        <v>45321</v>
      </c>
      <c r="B52" s="11" t="s">
        <v>56</v>
      </c>
      <c r="C52" s="28">
        <v>0.70833333333333337</v>
      </c>
      <c r="D52" s="28">
        <v>0.9375</v>
      </c>
      <c r="E52" s="30">
        <f t="shared" si="0"/>
        <v>5.4999999999999991</v>
      </c>
      <c r="F52" s="38"/>
    </row>
    <row r="53" spans="1:7" x14ac:dyDescent="0.25">
      <c r="A53" s="44">
        <v>45322</v>
      </c>
      <c r="B53" s="11" t="s">
        <v>56</v>
      </c>
      <c r="C53" s="28">
        <v>0.32291666666666669</v>
      </c>
      <c r="D53" s="28">
        <v>0.58333333333333337</v>
      </c>
      <c r="E53" s="30">
        <f t="shared" si="0"/>
        <v>5.75</v>
      </c>
      <c r="F53" s="38">
        <v>0.5</v>
      </c>
    </row>
    <row r="54" spans="1:7" x14ac:dyDescent="0.25">
      <c r="A54" s="44">
        <v>45322</v>
      </c>
      <c r="B54" s="11" t="s">
        <v>56</v>
      </c>
      <c r="C54" s="28">
        <v>0.70833333333333337</v>
      </c>
      <c r="D54" s="28">
        <v>0.89583333333333337</v>
      </c>
      <c r="E54" s="30">
        <f t="shared" si="0"/>
        <v>4.5</v>
      </c>
      <c r="F54" s="38"/>
    </row>
    <row r="55" spans="1:7" x14ac:dyDescent="0.25">
      <c r="A55" s="44">
        <v>45323</v>
      </c>
      <c r="B55" s="11" t="s">
        <v>56</v>
      </c>
      <c r="C55" s="31">
        <v>0.32291666666666669</v>
      </c>
      <c r="D55" s="31">
        <v>0.58333333333333337</v>
      </c>
      <c r="E55" s="30">
        <f t="shared" si="0"/>
        <v>5.75</v>
      </c>
      <c r="F55" s="38">
        <v>0.5</v>
      </c>
      <c r="G55" s="12">
        <f>SUM(E:E)</f>
        <v>4285.5</v>
      </c>
    </row>
    <row r="56" spans="1:7" x14ac:dyDescent="0.25">
      <c r="A56" s="44">
        <v>45323</v>
      </c>
      <c r="B56" s="11" t="s">
        <v>56</v>
      </c>
      <c r="C56" s="31">
        <v>0.77083333333333337</v>
      </c>
      <c r="D56" s="31">
        <v>0.9375</v>
      </c>
      <c r="E56" s="30">
        <f t="shared" si="0"/>
        <v>3.9999999999999991</v>
      </c>
      <c r="F56" s="38"/>
    </row>
    <row r="57" spans="1:7" x14ac:dyDescent="0.25">
      <c r="A57" s="44">
        <v>45324</v>
      </c>
      <c r="B57" s="11" t="s">
        <v>56</v>
      </c>
      <c r="C57" s="31">
        <v>0.32291666666666669</v>
      </c>
      <c r="D57" s="31">
        <v>0.58333333333333337</v>
      </c>
      <c r="E57" s="30">
        <f t="shared" si="0"/>
        <v>5.75</v>
      </c>
      <c r="F57" s="38">
        <v>0.5</v>
      </c>
    </row>
    <row r="58" spans="1:7" x14ac:dyDescent="0.25">
      <c r="A58" s="44">
        <v>45327</v>
      </c>
      <c r="B58" s="11" t="s">
        <v>56</v>
      </c>
      <c r="C58" s="31">
        <v>0.32291666666666669</v>
      </c>
      <c r="D58" s="31">
        <v>0.58333333333333337</v>
      </c>
      <c r="E58" s="30">
        <f t="shared" si="0"/>
        <v>5.75</v>
      </c>
      <c r="F58" s="38">
        <v>0.5</v>
      </c>
    </row>
    <row r="59" spans="1:7" x14ac:dyDescent="0.25">
      <c r="A59" s="44">
        <v>45328</v>
      </c>
      <c r="B59" s="11" t="s">
        <v>56</v>
      </c>
      <c r="C59" s="31">
        <v>0.32291666666666669</v>
      </c>
      <c r="D59" s="31">
        <v>0.58333333333333337</v>
      </c>
      <c r="E59" s="30">
        <f t="shared" si="0"/>
        <v>5.75</v>
      </c>
      <c r="F59" s="38">
        <v>0.5</v>
      </c>
    </row>
    <row r="60" spans="1:7" x14ac:dyDescent="0.25">
      <c r="A60" s="44">
        <v>45329</v>
      </c>
      <c r="B60" s="11" t="s">
        <v>56</v>
      </c>
      <c r="C60" s="31">
        <v>0.32291666666666669</v>
      </c>
      <c r="D60" s="31">
        <v>0.58333333333333337</v>
      </c>
      <c r="E60" s="30">
        <f t="shared" si="0"/>
        <v>5.75</v>
      </c>
      <c r="F60" s="38">
        <v>0.5</v>
      </c>
    </row>
    <row r="61" spans="1:7" x14ac:dyDescent="0.25">
      <c r="A61" s="44">
        <v>45329</v>
      </c>
      <c r="B61" s="11" t="s">
        <v>56</v>
      </c>
      <c r="C61" s="31">
        <v>0.6875</v>
      </c>
      <c r="D61" s="31">
        <v>0.875</v>
      </c>
      <c r="E61" s="30">
        <f t="shared" si="0"/>
        <v>4.5</v>
      </c>
      <c r="F61" s="38"/>
    </row>
    <row r="62" spans="1:7" x14ac:dyDescent="0.25">
      <c r="A62" s="44">
        <v>45329</v>
      </c>
      <c r="B62" s="11" t="s">
        <v>49</v>
      </c>
      <c r="C62" s="31">
        <v>0.70833333333333337</v>
      </c>
      <c r="D62" s="31">
        <v>0.89583333333333337</v>
      </c>
      <c r="E62" s="30">
        <f t="shared" si="0"/>
        <v>4.5</v>
      </c>
      <c r="F62" s="38"/>
    </row>
    <row r="63" spans="1:7" x14ac:dyDescent="0.25">
      <c r="A63" s="44">
        <v>45330</v>
      </c>
      <c r="B63" s="11" t="s">
        <v>56</v>
      </c>
      <c r="C63" s="31">
        <v>0.32291666666666669</v>
      </c>
      <c r="D63" s="31">
        <v>0.58333333333333337</v>
      </c>
      <c r="E63" s="30">
        <f t="shared" si="0"/>
        <v>5.75</v>
      </c>
      <c r="F63" s="38">
        <v>0.5</v>
      </c>
    </row>
    <row r="64" spans="1:7" x14ac:dyDescent="0.25">
      <c r="A64" s="44">
        <v>45330</v>
      </c>
      <c r="B64" s="11" t="s">
        <v>56</v>
      </c>
      <c r="C64" s="31">
        <v>0.77083333333333337</v>
      </c>
      <c r="D64" s="31">
        <v>0.91666666666666663</v>
      </c>
      <c r="E64" s="30">
        <f t="shared" ref="E64:E125" si="1">MOD((D64-C64),1) *24 - F64</f>
        <v>3.4999999999999982</v>
      </c>
      <c r="F64" s="38"/>
    </row>
    <row r="65" spans="1:6" x14ac:dyDescent="0.25">
      <c r="A65" s="44">
        <v>45331</v>
      </c>
      <c r="B65" s="11" t="s">
        <v>56</v>
      </c>
      <c r="C65" s="31">
        <v>0.32291666666666669</v>
      </c>
      <c r="D65" s="31">
        <v>0.58333333333333337</v>
      </c>
      <c r="E65" s="30">
        <f t="shared" si="1"/>
        <v>5.75</v>
      </c>
      <c r="F65" s="38">
        <v>0.5</v>
      </c>
    </row>
    <row r="66" spans="1:6" x14ac:dyDescent="0.25">
      <c r="A66" s="44">
        <v>45331</v>
      </c>
      <c r="B66" s="11" t="s">
        <v>53</v>
      </c>
      <c r="C66" s="31">
        <v>0.75</v>
      </c>
      <c r="D66" s="31">
        <v>0.91666666666666663</v>
      </c>
      <c r="E66" s="30">
        <f t="shared" si="1"/>
        <v>3.9999999999999991</v>
      </c>
      <c r="F66" s="38"/>
    </row>
    <row r="67" spans="1:6" x14ac:dyDescent="0.25">
      <c r="A67" s="44">
        <v>45331</v>
      </c>
      <c r="B67" s="11" t="s">
        <v>58</v>
      </c>
      <c r="C67" s="31">
        <v>0.75</v>
      </c>
      <c r="D67" s="31">
        <v>0.95833333333333337</v>
      </c>
      <c r="E67" s="30">
        <f t="shared" si="1"/>
        <v>5.0000000000000009</v>
      </c>
      <c r="F67" s="38"/>
    </row>
    <row r="68" spans="1:6" x14ac:dyDescent="0.25">
      <c r="A68" s="44">
        <v>45332</v>
      </c>
      <c r="B68" s="11" t="s">
        <v>49</v>
      </c>
      <c r="C68" s="31">
        <v>0.33333333333333331</v>
      </c>
      <c r="D68" s="31">
        <v>0.58333333333333337</v>
      </c>
      <c r="E68" s="30">
        <f t="shared" si="1"/>
        <v>5.5000000000000018</v>
      </c>
      <c r="F68" s="38">
        <v>0.5</v>
      </c>
    </row>
    <row r="69" spans="1:6" x14ac:dyDescent="0.25">
      <c r="A69" s="44">
        <v>45332</v>
      </c>
      <c r="B69" s="11" t="s">
        <v>56</v>
      </c>
      <c r="C69" s="31">
        <v>0.33333333333333331</v>
      </c>
      <c r="D69" s="31">
        <v>0.70833333333333337</v>
      </c>
      <c r="E69" s="30">
        <f t="shared" si="1"/>
        <v>8.0000000000000018</v>
      </c>
      <c r="F69" s="38">
        <v>1</v>
      </c>
    </row>
    <row r="70" spans="1:6" x14ac:dyDescent="0.25">
      <c r="A70" s="44">
        <v>45332</v>
      </c>
      <c r="B70" s="11" t="s">
        <v>47</v>
      </c>
      <c r="C70" s="31">
        <v>0.33333333333333331</v>
      </c>
      <c r="D70" s="31">
        <v>0.5</v>
      </c>
      <c r="E70" s="30">
        <f t="shared" si="1"/>
        <v>4</v>
      </c>
      <c r="F70" s="38"/>
    </row>
    <row r="71" spans="1:6" x14ac:dyDescent="0.25">
      <c r="A71" s="44">
        <v>45332</v>
      </c>
      <c r="B71" s="11" t="s">
        <v>53</v>
      </c>
      <c r="C71" s="31">
        <v>0.625</v>
      </c>
      <c r="D71" s="31">
        <v>4.1666666666666664E-2</v>
      </c>
      <c r="E71" s="30">
        <f t="shared" si="1"/>
        <v>9</v>
      </c>
      <c r="F71" s="38">
        <v>1</v>
      </c>
    </row>
    <row r="72" spans="1:6" x14ac:dyDescent="0.25">
      <c r="A72" s="44">
        <v>45332</v>
      </c>
      <c r="B72" s="11" t="s">
        <v>58</v>
      </c>
      <c r="C72" s="31">
        <v>0.70833333333333337</v>
      </c>
      <c r="D72" s="31">
        <v>0</v>
      </c>
      <c r="E72" s="30">
        <f t="shared" si="1"/>
        <v>6.4999999999999991</v>
      </c>
      <c r="F72" s="38">
        <v>0.5</v>
      </c>
    </row>
    <row r="73" spans="1:6" x14ac:dyDescent="0.25">
      <c r="A73" s="44">
        <v>45333</v>
      </c>
      <c r="B73" s="11" t="s">
        <v>53</v>
      </c>
      <c r="C73" s="31">
        <v>0.3125</v>
      </c>
      <c r="D73" s="31">
        <v>0.79166666666666663</v>
      </c>
      <c r="E73" s="30">
        <f t="shared" si="1"/>
        <v>10.5</v>
      </c>
      <c r="F73" s="38">
        <v>1</v>
      </c>
    </row>
    <row r="74" spans="1:6" x14ac:dyDescent="0.25">
      <c r="A74" s="44">
        <v>45334</v>
      </c>
      <c r="B74" s="11" t="s">
        <v>56</v>
      </c>
      <c r="C74" s="31">
        <v>0.32291666666666669</v>
      </c>
      <c r="D74" s="31">
        <v>0.58333333333333337</v>
      </c>
      <c r="E74" s="30">
        <f t="shared" si="1"/>
        <v>5.75</v>
      </c>
      <c r="F74" s="38">
        <v>0.5</v>
      </c>
    </row>
    <row r="75" spans="1:6" x14ac:dyDescent="0.25">
      <c r="A75" s="44">
        <v>45335</v>
      </c>
      <c r="B75" s="11" t="s">
        <v>56</v>
      </c>
      <c r="C75" s="31">
        <v>0.32291666666666669</v>
      </c>
      <c r="D75" s="31">
        <v>0.58333333333333337</v>
      </c>
      <c r="E75" s="30">
        <f t="shared" si="1"/>
        <v>5.75</v>
      </c>
      <c r="F75" s="38">
        <v>0.5</v>
      </c>
    </row>
    <row r="76" spans="1:6" x14ac:dyDescent="0.25">
      <c r="A76" s="44">
        <v>45335</v>
      </c>
      <c r="B76" s="11" t="s">
        <v>44</v>
      </c>
      <c r="C76" s="31">
        <v>0.625</v>
      </c>
      <c r="D76" s="31">
        <v>0.72916666666666663</v>
      </c>
      <c r="E76" s="30">
        <f t="shared" si="1"/>
        <v>2.4999999999999991</v>
      </c>
      <c r="F76" s="38"/>
    </row>
    <row r="77" spans="1:6" x14ac:dyDescent="0.25">
      <c r="A77" s="44">
        <v>45336</v>
      </c>
      <c r="B77" s="11" t="s">
        <v>56</v>
      </c>
      <c r="C77" s="31">
        <v>0.32291666666666669</v>
      </c>
      <c r="D77" s="31">
        <v>0.58333333333333337</v>
      </c>
      <c r="E77" s="30">
        <f t="shared" si="1"/>
        <v>5.75</v>
      </c>
      <c r="F77" s="38">
        <v>0.5</v>
      </c>
    </row>
    <row r="78" spans="1:6" x14ac:dyDescent="0.25">
      <c r="A78" s="44">
        <v>45336</v>
      </c>
      <c r="B78" s="11" t="s">
        <v>49</v>
      </c>
      <c r="C78" s="31">
        <v>0.70833333333333337</v>
      </c>
      <c r="D78" s="31">
        <v>0.89583333333333337</v>
      </c>
      <c r="E78" s="30">
        <f t="shared" si="1"/>
        <v>4.5</v>
      </c>
      <c r="F78" s="38"/>
    </row>
    <row r="79" spans="1:6" x14ac:dyDescent="0.25">
      <c r="A79" s="44">
        <v>45337</v>
      </c>
      <c r="B79" s="11" t="s">
        <v>56</v>
      </c>
      <c r="C79" s="31">
        <v>0.32291666666666669</v>
      </c>
      <c r="D79" s="31">
        <v>0.58333333333333337</v>
      </c>
      <c r="E79" s="30">
        <f t="shared" si="1"/>
        <v>5.75</v>
      </c>
      <c r="F79" s="38">
        <v>0.5</v>
      </c>
    </row>
    <row r="80" spans="1:6" x14ac:dyDescent="0.25">
      <c r="A80" s="44">
        <v>45337</v>
      </c>
      <c r="B80" s="11" t="s">
        <v>56</v>
      </c>
      <c r="C80" s="31">
        <v>0.75</v>
      </c>
      <c r="D80" s="31">
        <v>0.91666666666666663</v>
      </c>
      <c r="E80" s="30">
        <f t="shared" si="1"/>
        <v>3.9999999999999991</v>
      </c>
      <c r="F80" s="38"/>
    </row>
    <row r="81" spans="1:6" x14ac:dyDescent="0.25">
      <c r="A81" s="44">
        <v>45338</v>
      </c>
      <c r="B81" s="11" t="s">
        <v>56</v>
      </c>
      <c r="C81" s="31">
        <v>0.32291666666666669</v>
      </c>
      <c r="D81" s="31">
        <v>0.58333333333333337</v>
      </c>
      <c r="E81" s="30">
        <f t="shared" si="1"/>
        <v>5.75</v>
      </c>
      <c r="F81" s="38">
        <v>0.5</v>
      </c>
    </row>
    <row r="82" spans="1:6" x14ac:dyDescent="0.25">
      <c r="A82" s="44">
        <v>45338</v>
      </c>
      <c r="B82" s="11" t="s">
        <v>58</v>
      </c>
      <c r="C82" s="31">
        <v>0.75</v>
      </c>
      <c r="D82" s="31">
        <v>0.95833333333333337</v>
      </c>
      <c r="E82" s="30">
        <f t="shared" si="1"/>
        <v>5.0000000000000009</v>
      </c>
      <c r="F82" s="38"/>
    </row>
    <row r="83" spans="1:6" x14ac:dyDescent="0.25">
      <c r="A83" s="44">
        <v>45339</v>
      </c>
      <c r="B83" s="11" t="s">
        <v>56</v>
      </c>
      <c r="C83" s="31">
        <v>0.33333333333333331</v>
      </c>
      <c r="D83" s="31">
        <v>0.5</v>
      </c>
      <c r="E83" s="30">
        <f t="shared" si="1"/>
        <v>4</v>
      </c>
      <c r="F83" s="38"/>
    </row>
    <row r="84" spans="1:6" x14ac:dyDescent="0.25">
      <c r="A84" s="44">
        <v>45339</v>
      </c>
      <c r="B84" s="11" t="s">
        <v>49</v>
      </c>
      <c r="C84" s="31">
        <v>0.375</v>
      </c>
      <c r="D84" s="31">
        <v>0.54166666666666663</v>
      </c>
      <c r="E84" s="30">
        <f t="shared" si="1"/>
        <v>3.9999999999999991</v>
      </c>
      <c r="F84" s="38"/>
    </row>
    <row r="85" spans="1:6" x14ac:dyDescent="0.25">
      <c r="A85" s="44">
        <v>45339</v>
      </c>
      <c r="B85" s="11" t="s">
        <v>58</v>
      </c>
      <c r="C85" s="31">
        <v>0.5</v>
      </c>
      <c r="D85" s="31">
        <v>0.8125</v>
      </c>
      <c r="E85" s="30">
        <f t="shared" si="1"/>
        <v>7</v>
      </c>
      <c r="F85" s="38">
        <v>0.5</v>
      </c>
    </row>
    <row r="86" spans="1:6" x14ac:dyDescent="0.25">
      <c r="A86" s="44">
        <v>45339</v>
      </c>
      <c r="B86" s="11" t="s">
        <v>46</v>
      </c>
      <c r="C86" s="31">
        <v>0.54166666666666663</v>
      </c>
      <c r="D86" s="31">
        <v>0.83333333333333337</v>
      </c>
      <c r="E86" s="30">
        <f t="shared" si="1"/>
        <v>6.5000000000000018</v>
      </c>
      <c r="F86" s="38">
        <v>0.5</v>
      </c>
    </row>
    <row r="87" spans="1:6" x14ac:dyDescent="0.25">
      <c r="A87" s="44">
        <v>45339</v>
      </c>
      <c r="B87" s="11" t="s">
        <v>53</v>
      </c>
      <c r="C87" s="31">
        <v>0.625</v>
      </c>
      <c r="D87" s="31">
        <v>0.95833333333333337</v>
      </c>
      <c r="E87" s="30">
        <f t="shared" si="1"/>
        <v>7.5</v>
      </c>
      <c r="F87" s="38">
        <v>0.5</v>
      </c>
    </row>
    <row r="88" spans="1:6" x14ac:dyDescent="0.25">
      <c r="A88" s="44">
        <v>45340</v>
      </c>
      <c r="B88" s="11" t="s">
        <v>53</v>
      </c>
      <c r="C88" s="31">
        <v>0.45833333333333331</v>
      </c>
      <c r="D88" s="31">
        <v>0.875</v>
      </c>
      <c r="E88" s="30">
        <f t="shared" si="1"/>
        <v>9</v>
      </c>
      <c r="F88" s="38">
        <v>1</v>
      </c>
    </row>
    <row r="89" spans="1:6" x14ac:dyDescent="0.25">
      <c r="A89" s="44">
        <v>45340</v>
      </c>
      <c r="B89" s="11" t="s">
        <v>58</v>
      </c>
      <c r="C89" s="31">
        <v>0.66666666666666663</v>
      </c>
      <c r="D89" s="31">
        <v>0.85416666666666663</v>
      </c>
      <c r="E89" s="30">
        <f t="shared" si="1"/>
        <v>4.5</v>
      </c>
      <c r="F89" s="38"/>
    </row>
    <row r="90" spans="1:6" x14ac:dyDescent="0.25">
      <c r="A90" s="44">
        <v>45342</v>
      </c>
      <c r="B90" s="11" t="s">
        <v>56</v>
      </c>
      <c r="C90" s="31">
        <v>0.32291666666666669</v>
      </c>
      <c r="D90" s="31">
        <v>0.58333333333333337</v>
      </c>
      <c r="E90" s="30">
        <f t="shared" si="1"/>
        <v>5.75</v>
      </c>
      <c r="F90" s="38">
        <v>0.5</v>
      </c>
    </row>
    <row r="91" spans="1:6" x14ac:dyDescent="0.25">
      <c r="A91" s="44">
        <v>45343</v>
      </c>
      <c r="B91" s="11" t="s">
        <v>56</v>
      </c>
      <c r="C91" s="31">
        <v>0.32291666666666669</v>
      </c>
      <c r="D91" s="31">
        <v>0.58333333333333337</v>
      </c>
      <c r="E91" s="30">
        <f t="shared" si="1"/>
        <v>5.75</v>
      </c>
      <c r="F91" s="38">
        <v>0.5</v>
      </c>
    </row>
    <row r="92" spans="1:6" x14ac:dyDescent="0.25">
      <c r="A92" s="44">
        <v>45343</v>
      </c>
      <c r="B92" s="11" t="s">
        <v>49</v>
      </c>
      <c r="C92" s="31">
        <v>0.70833333333333337</v>
      </c>
      <c r="D92" s="31">
        <v>0.89583333333333337</v>
      </c>
      <c r="E92" s="30">
        <f t="shared" si="1"/>
        <v>4.5</v>
      </c>
      <c r="F92" s="38"/>
    </row>
    <row r="93" spans="1:6" x14ac:dyDescent="0.25">
      <c r="A93" s="44">
        <v>45344</v>
      </c>
      <c r="B93" s="11" t="s">
        <v>56</v>
      </c>
      <c r="C93" s="31">
        <v>0.32291666666666669</v>
      </c>
      <c r="D93" s="31">
        <v>0.58333333333333337</v>
      </c>
      <c r="E93" s="30">
        <f t="shared" si="1"/>
        <v>5.75</v>
      </c>
      <c r="F93" s="38">
        <v>0.5</v>
      </c>
    </row>
    <row r="94" spans="1:6" x14ac:dyDescent="0.25">
      <c r="A94" s="44">
        <v>45344</v>
      </c>
      <c r="B94" s="11" t="s">
        <v>56</v>
      </c>
      <c r="C94" s="31">
        <v>0.625</v>
      </c>
      <c r="D94" s="31">
        <v>0.95833333333333337</v>
      </c>
      <c r="E94" s="30">
        <f t="shared" si="1"/>
        <v>7</v>
      </c>
      <c r="F94" s="38">
        <v>1</v>
      </c>
    </row>
    <row r="95" spans="1:6" x14ac:dyDescent="0.25">
      <c r="A95" s="44">
        <v>45344</v>
      </c>
      <c r="B95" s="11" t="s">
        <v>49</v>
      </c>
      <c r="C95" s="31">
        <v>0.77083333333333337</v>
      </c>
      <c r="D95" s="31">
        <v>0.9375</v>
      </c>
      <c r="E95" s="30">
        <f t="shared" si="1"/>
        <v>3.9999999999999991</v>
      </c>
      <c r="F95" s="38"/>
    </row>
    <row r="96" spans="1:6" x14ac:dyDescent="0.25">
      <c r="A96" s="44">
        <v>45345</v>
      </c>
      <c r="B96" s="11" t="s">
        <v>56</v>
      </c>
      <c r="C96" s="31">
        <v>0.32291666666666669</v>
      </c>
      <c r="D96" s="31">
        <v>0.58333333333333337</v>
      </c>
      <c r="E96" s="30">
        <f t="shared" si="1"/>
        <v>5.75</v>
      </c>
      <c r="F96" s="38">
        <v>0.5</v>
      </c>
    </row>
    <row r="97" spans="1:7" x14ac:dyDescent="0.25">
      <c r="A97" s="44">
        <v>45345</v>
      </c>
      <c r="B97" s="11" t="s">
        <v>58</v>
      </c>
      <c r="C97" s="31">
        <v>0.75</v>
      </c>
      <c r="D97" s="31">
        <v>0.95833333333333337</v>
      </c>
      <c r="E97" s="30">
        <f t="shared" si="1"/>
        <v>5.0000000000000009</v>
      </c>
      <c r="F97" s="38"/>
    </row>
    <row r="98" spans="1:7" x14ac:dyDescent="0.25">
      <c r="A98" s="44">
        <v>45346</v>
      </c>
      <c r="B98" s="11" t="s">
        <v>56</v>
      </c>
      <c r="C98" s="31">
        <v>0.33333333333333331</v>
      </c>
      <c r="D98" s="31">
        <v>0.5</v>
      </c>
      <c r="E98" s="30">
        <f t="shared" si="1"/>
        <v>4</v>
      </c>
      <c r="F98" s="38"/>
    </row>
    <row r="99" spans="1:7" x14ac:dyDescent="0.25">
      <c r="A99" s="44">
        <v>45346</v>
      </c>
      <c r="B99" s="11" t="s">
        <v>53</v>
      </c>
      <c r="C99" s="31">
        <v>0.39583333333333331</v>
      </c>
      <c r="D99" s="31">
        <v>0.64583333333333337</v>
      </c>
      <c r="E99" s="30">
        <f t="shared" si="1"/>
        <v>5.5000000000000018</v>
      </c>
      <c r="F99" s="38">
        <v>0.5</v>
      </c>
    </row>
    <row r="100" spans="1:7" x14ac:dyDescent="0.25">
      <c r="A100" s="44">
        <v>45346</v>
      </c>
      <c r="B100" s="11" t="s">
        <v>58</v>
      </c>
      <c r="C100" s="31">
        <v>0.6875</v>
      </c>
      <c r="D100" s="31">
        <v>0.9375</v>
      </c>
      <c r="E100" s="30">
        <f t="shared" si="1"/>
        <v>5.5</v>
      </c>
      <c r="F100" s="38">
        <v>0.5</v>
      </c>
    </row>
    <row r="101" spans="1:7" x14ac:dyDescent="0.25">
      <c r="A101" s="44">
        <v>45347</v>
      </c>
      <c r="B101" s="11" t="s">
        <v>53</v>
      </c>
      <c r="C101" s="31">
        <v>0.54166666666666663</v>
      </c>
      <c r="D101" s="31">
        <v>0</v>
      </c>
      <c r="E101" s="30">
        <f t="shared" si="1"/>
        <v>10</v>
      </c>
      <c r="F101" s="38">
        <v>1</v>
      </c>
    </row>
    <row r="102" spans="1:7" x14ac:dyDescent="0.25">
      <c r="A102" s="44">
        <v>45348</v>
      </c>
      <c r="B102" s="11" t="s">
        <v>56</v>
      </c>
      <c r="C102" s="31">
        <v>0.32291666666666669</v>
      </c>
      <c r="D102" s="31">
        <v>0.58333333333333337</v>
      </c>
      <c r="E102" s="30">
        <f t="shared" si="1"/>
        <v>5.75</v>
      </c>
      <c r="F102" s="38">
        <v>0.5</v>
      </c>
    </row>
    <row r="103" spans="1:7" x14ac:dyDescent="0.25">
      <c r="A103" s="44">
        <v>45348</v>
      </c>
      <c r="B103" s="11" t="s">
        <v>56</v>
      </c>
      <c r="C103" s="31">
        <v>0.72916666666666663</v>
      </c>
      <c r="D103" s="31">
        <v>0.91666666666666663</v>
      </c>
      <c r="E103" s="30">
        <f t="shared" si="1"/>
        <v>4.5</v>
      </c>
      <c r="F103" s="38"/>
    </row>
    <row r="104" spans="1:7" x14ac:dyDescent="0.25">
      <c r="A104" s="44">
        <v>45349</v>
      </c>
      <c r="B104" s="11" t="s">
        <v>56</v>
      </c>
      <c r="C104" s="31">
        <v>0.32291666666666669</v>
      </c>
      <c r="D104" s="31">
        <v>0.58333333333333337</v>
      </c>
      <c r="E104" s="30">
        <f t="shared" si="1"/>
        <v>5.75</v>
      </c>
      <c r="F104" s="38">
        <v>0.5</v>
      </c>
    </row>
    <row r="105" spans="1:7" x14ac:dyDescent="0.25">
      <c r="A105" s="44">
        <v>45349</v>
      </c>
      <c r="B105" s="11" t="s">
        <v>44</v>
      </c>
      <c r="C105" s="31">
        <v>0.625</v>
      </c>
      <c r="D105" s="31">
        <v>0.72916666666666663</v>
      </c>
      <c r="E105" s="30">
        <f t="shared" si="1"/>
        <v>2.4999999999999991</v>
      </c>
      <c r="F105" s="38"/>
    </row>
    <row r="106" spans="1:7" x14ac:dyDescent="0.25">
      <c r="A106" s="44">
        <v>45350</v>
      </c>
      <c r="B106" s="11" t="s">
        <v>56</v>
      </c>
      <c r="C106" s="31">
        <v>0.32291666666666669</v>
      </c>
      <c r="D106" s="31">
        <v>0.58333333333333337</v>
      </c>
      <c r="E106" s="30">
        <f t="shared" si="1"/>
        <v>5.75</v>
      </c>
      <c r="F106" s="38">
        <v>0.5</v>
      </c>
    </row>
    <row r="107" spans="1:7" x14ac:dyDescent="0.25">
      <c r="A107" s="44">
        <v>45350</v>
      </c>
      <c r="B107" s="11" t="s">
        <v>49</v>
      </c>
      <c r="C107" s="31">
        <v>0.6875</v>
      </c>
      <c r="D107" s="31">
        <v>0.89583333333333337</v>
      </c>
      <c r="E107" s="30">
        <f t="shared" si="1"/>
        <v>5.0000000000000009</v>
      </c>
      <c r="F107" s="38"/>
    </row>
    <row r="108" spans="1:7" x14ac:dyDescent="0.25">
      <c r="A108" s="45">
        <v>45351</v>
      </c>
      <c r="B108" s="16" t="s">
        <v>49</v>
      </c>
      <c r="C108" s="32">
        <v>0.70833333333333337</v>
      </c>
      <c r="D108" s="32">
        <v>0.95833333333333337</v>
      </c>
      <c r="E108" s="30">
        <f t="shared" si="1"/>
        <v>5.5</v>
      </c>
      <c r="F108" s="39">
        <v>0.5</v>
      </c>
    </row>
    <row r="109" spans="1:7" x14ac:dyDescent="0.25">
      <c r="A109" s="45">
        <v>45351</v>
      </c>
      <c r="B109" s="11" t="s">
        <v>56</v>
      </c>
      <c r="C109" s="31">
        <v>0.77083333333333337</v>
      </c>
      <c r="D109" s="31">
        <v>0.9375</v>
      </c>
      <c r="E109" s="30">
        <f t="shared" si="1"/>
        <v>3.9999999999999991</v>
      </c>
      <c r="F109" s="38"/>
    </row>
    <row r="110" spans="1:7" x14ac:dyDescent="0.25">
      <c r="A110" s="44">
        <v>45352</v>
      </c>
      <c r="B110" s="11" t="s">
        <v>56</v>
      </c>
      <c r="C110" s="31">
        <v>0.32291666666666669</v>
      </c>
      <c r="D110" s="31">
        <v>0.58333333333333337</v>
      </c>
      <c r="E110" s="30">
        <f t="shared" si="1"/>
        <v>5.75</v>
      </c>
      <c r="F110" s="38">
        <v>0.5</v>
      </c>
      <c r="G110" s="12">
        <f>SUM(E:E)</f>
        <v>4285.5</v>
      </c>
    </row>
    <row r="111" spans="1:7" x14ac:dyDescent="0.25">
      <c r="A111" s="44">
        <v>45352</v>
      </c>
      <c r="B111" s="11" t="s">
        <v>49</v>
      </c>
      <c r="C111" s="31">
        <v>0.6875</v>
      </c>
      <c r="D111" s="31">
        <v>0.97916666666666663</v>
      </c>
      <c r="E111" s="30">
        <f t="shared" si="1"/>
        <v>6.4999999999999991</v>
      </c>
      <c r="F111" s="38">
        <v>0.5</v>
      </c>
    </row>
    <row r="112" spans="1:7" x14ac:dyDescent="0.25">
      <c r="A112" s="44">
        <v>45352</v>
      </c>
      <c r="B112" s="11" t="s">
        <v>56</v>
      </c>
      <c r="C112" s="31">
        <v>0.77083333333333337</v>
      </c>
      <c r="D112" s="31">
        <v>0.95833333333333337</v>
      </c>
      <c r="E112" s="30">
        <f t="shared" si="1"/>
        <v>4.5</v>
      </c>
      <c r="F112" s="38"/>
    </row>
    <row r="113" spans="1:6" x14ac:dyDescent="0.25">
      <c r="A113" s="44">
        <v>45353</v>
      </c>
      <c r="B113" s="11" t="s">
        <v>56</v>
      </c>
      <c r="C113" s="31">
        <v>0.33333333333333331</v>
      </c>
      <c r="D113" s="31">
        <v>0.5</v>
      </c>
      <c r="E113" s="30">
        <f t="shared" si="1"/>
        <v>4</v>
      </c>
      <c r="F113" s="38"/>
    </row>
    <row r="114" spans="1:6" x14ac:dyDescent="0.25">
      <c r="A114" s="44">
        <v>45353</v>
      </c>
      <c r="B114" s="11" t="s">
        <v>46</v>
      </c>
      <c r="C114" s="31">
        <v>0.45833333333333331</v>
      </c>
      <c r="D114" s="31">
        <v>0.70833333333333337</v>
      </c>
      <c r="E114" s="30">
        <f t="shared" si="1"/>
        <v>5.5000000000000018</v>
      </c>
      <c r="F114" s="38">
        <v>0.5</v>
      </c>
    </row>
    <row r="115" spans="1:6" x14ac:dyDescent="0.25">
      <c r="A115" s="44">
        <v>45353</v>
      </c>
      <c r="B115" s="11" t="s">
        <v>58</v>
      </c>
      <c r="C115" s="31">
        <v>0.5</v>
      </c>
      <c r="D115" s="31">
        <v>0.79166666666666663</v>
      </c>
      <c r="E115" s="30">
        <f t="shared" si="1"/>
        <v>6.4999999999999991</v>
      </c>
      <c r="F115" s="38">
        <v>0.5</v>
      </c>
    </row>
    <row r="116" spans="1:6" x14ac:dyDescent="0.25">
      <c r="A116" s="44">
        <v>45355</v>
      </c>
      <c r="B116" s="11" t="s">
        <v>56</v>
      </c>
      <c r="C116" s="31">
        <v>0.32291666666666669</v>
      </c>
      <c r="D116" s="31">
        <v>0.58333333333333337</v>
      </c>
      <c r="E116" s="30">
        <f t="shared" si="1"/>
        <v>5.75</v>
      </c>
      <c r="F116" s="38">
        <v>0.5</v>
      </c>
    </row>
    <row r="117" spans="1:6" x14ac:dyDescent="0.25">
      <c r="A117" s="44">
        <v>45356</v>
      </c>
      <c r="B117" s="11" t="s">
        <v>56</v>
      </c>
      <c r="C117" s="31">
        <v>0.32291666666666669</v>
      </c>
      <c r="D117" s="31">
        <v>0.58333333333333337</v>
      </c>
      <c r="E117" s="30">
        <f t="shared" si="1"/>
        <v>5.75</v>
      </c>
      <c r="F117" s="38">
        <v>0.5</v>
      </c>
    </row>
    <row r="118" spans="1:6" x14ac:dyDescent="0.25">
      <c r="A118" s="44">
        <v>45356</v>
      </c>
      <c r="B118" s="11" t="s">
        <v>56</v>
      </c>
      <c r="C118" s="31">
        <v>0.70833333333333337</v>
      </c>
      <c r="D118" s="31">
        <v>0.875</v>
      </c>
      <c r="E118" s="30">
        <f t="shared" si="1"/>
        <v>3.9999999999999991</v>
      </c>
      <c r="F118" s="38"/>
    </row>
    <row r="119" spans="1:6" x14ac:dyDescent="0.25">
      <c r="A119" s="44">
        <v>45357</v>
      </c>
      <c r="B119" s="11" t="s">
        <v>56</v>
      </c>
      <c r="C119" s="31">
        <v>0.375</v>
      </c>
      <c r="D119" s="31">
        <v>0.58333333333333337</v>
      </c>
      <c r="E119" s="30">
        <f t="shared" si="1"/>
        <v>5.0000000000000009</v>
      </c>
      <c r="F119" s="38"/>
    </row>
    <row r="120" spans="1:6" x14ac:dyDescent="0.25">
      <c r="A120" s="44">
        <v>45357</v>
      </c>
      <c r="B120" s="11" t="s">
        <v>56</v>
      </c>
      <c r="C120" s="31">
        <v>0.6875</v>
      </c>
      <c r="D120" s="31">
        <v>0.89583333333333337</v>
      </c>
      <c r="E120" s="30">
        <f t="shared" si="1"/>
        <v>5.0000000000000009</v>
      </c>
      <c r="F120" s="38"/>
    </row>
    <row r="121" spans="1:6" x14ac:dyDescent="0.25">
      <c r="A121" s="44">
        <v>45358</v>
      </c>
      <c r="B121" s="11" t="s">
        <v>56</v>
      </c>
      <c r="C121" s="31">
        <v>0.32291666666666669</v>
      </c>
      <c r="D121" s="31">
        <v>0.58333333333333337</v>
      </c>
      <c r="E121" s="30">
        <f t="shared" si="1"/>
        <v>5.75</v>
      </c>
      <c r="F121" s="38">
        <v>0.5</v>
      </c>
    </row>
    <row r="122" spans="1:6" x14ac:dyDescent="0.25">
      <c r="A122" s="44">
        <v>45358</v>
      </c>
      <c r="B122" s="11" t="s">
        <v>56</v>
      </c>
      <c r="C122" s="31">
        <v>0.77083333333333337</v>
      </c>
      <c r="D122" s="31">
        <v>0.9375</v>
      </c>
      <c r="E122" s="30">
        <f t="shared" si="1"/>
        <v>3.9999999999999991</v>
      </c>
      <c r="F122" s="38"/>
    </row>
    <row r="123" spans="1:6" x14ac:dyDescent="0.25">
      <c r="A123" s="44">
        <v>45359</v>
      </c>
      <c r="B123" s="11" t="s">
        <v>56</v>
      </c>
      <c r="C123" s="31">
        <v>0.32291666666666669</v>
      </c>
      <c r="D123" s="31">
        <v>0.58333333333333337</v>
      </c>
      <c r="E123" s="30">
        <f t="shared" si="1"/>
        <v>5.75</v>
      </c>
      <c r="F123" s="38">
        <v>0.5</v>
      </c>
    </row>
    <row r="124" spans="1:6" x14ac:dyDescent="0.25">
      <c r="A124" s="44">
        <v>45359</v>
      </c>
      <c r="B124" s="11" t="s">
        <v>58</v>
      </c>
      <c r="C124" s="31">
        <v>0.75</v>
      </c>
      <c r="D124" s="31">
        <v>0.95833333333333337</v>
      </c>
      <c r="E124" s="30">
        <f t="shared" si="1"/>
        <v>5.0000000000000009</v>
      </c>
      <c r="F124" s="38"/>
    </row>
    <row r="125" spans="1:6" x14ac:dyDescent="0.25">
      <c r="A125" s="44">
        <v>45360</v>
      </c>
      <c r="B125" s="11" t="s">
        <v>56</v>
      </c>
      <c r="C125" s="31">
        <v>0.33333333333333331</v>
      </c>
      <c r="D125" s="31">
        <v>0.5</v>
      </c>
      <c r="E125" s="30">
        <f t="shared" si="1"/>
        <v>4</v>
      </c>
      <c r="F125" s="38"/>
    </row>
    <row r="126" spans="1:6" x14ac:dyDescent="0.25">
      <c r="A126" s="44">
        <v>45360</v>
      </c>
      <c r="B126" s="11" t="s">
        <v>46</v>
      </c>
      <c r="C126" s="31">
        <v>0.5</v>
      </c>
      <c r="D126" s="31">
        <v>0.79166666666666663</v>
      </c>
      <c r="E126" s="30">
        <f t="shared" ref="E126:E174" si="2">MOD((D126-C126),1) *24 - F126</f>
        <v>6.4999999999999991</v>
      </c>
      <c r="F126" s="38">
        <v>0.5</v>
      </c>
    </row>
    <row r="127" spans="1:6" x14ac:dyDescent="0.25">
      <c r="A127" s="44">
        <v>45360</v>
      </c>
      <c r="B127" s="11" t="s">
        <v>58</v>
      </c>
      <c r="C127" s="31">
        <v>0.5</v>
      </c>
      <c r="D127" s="31">
        <v>4.1666666666666664E-2</v>
      </c>
      <c r="E127" s="30">
        <f t="shared" si="2"/>
        <v>12.000000000000002</v>
      </c>
      <c r="F127" s="38">
        <v>1</v>
      </c>
    </row>
    <row r="128" spans="1:6" x14ac:dyDescent="0.25">
      <c r="A128" s="44">
        <v>45360</v>
      </c>
      <c r="B128" s="11" t="s">
        <v>53</v>
      </c>
      <c r="C128" s="31">
        <v>0.58333333333333337</v>
      </c>
      <c r="D128" s="31">
        <v>0.83333333333333337</v>
      </c>
      <c r="E128" s="30">
        <f t="shared" si="2"/>
        <v>5.5</v>
      </c>
      <c r="F128" s="38">
        <v>0.5</v>
      </c>
    </row>
    <row r="129" spans="1:9" x14ac:dyDescent="0.25">
      <c r="A129" s="44">
        <v>45360</v>
      </c>
      <c r="B129" s="11" t="s">
        <v>48</v>
      </c>
      <c r="C129" s="31">
        <v>0.625</v>
      </c>
      <c r="D129" s="31">
        <v>4.1666666666666664E-2</v>
      </c>
      <c r="E129" s="30">
        <f t="shared" si="2"/>
        <v>9</v>
      </c>
      <c r="F129" s="38">
        <v>1</v>
      </c>
    </row>
    <row r="130" spans="1:9" x14ac:dyDescent="0.25">
      <c r="A130" s="47">
        <v>45361</v>
      </c>
      <c r="B130" s="21" t="s">
        <v>58</v>
      </c>
      <c r="C130" s="35">
        <v>0.41666666666666669</v>
      </c>
      <c r="D130" s="35">
        <v>0.85416666666666663</v>
      </c>
      <c r="E130" s="36">
        <v>6</v>
      </c>
      <c r="F130" s="40">
        <v>0.5</v>
      </c>
      <c r="G130" s="21"/>
      <c r="I130" t="s">
        <v>93</v>
      </c>
    </row>
    <row r="131" spans="1:9" x14ac:dyDescent="0.25">
      <c r="A131" s="44">
        <v>45362</v>
      </c>
      <c r="B131" s="11" t="s">
        <v>56</v>
      </c>
      <c r="C131" s="31">
        <v>0.45833333333333331</v>
      </c>
      <c r="D131" s="31">
        <v>0.58333333333333337</v>
      </c>
      <c r="E131" s="30">
        <f t="shared" si="2"/>
        <v>3.0000000000000013</v>
      </c>
      <c r="F131" s="38"/>
    </row>
    <row r="132" spans="1:9" x14ac:dyDescent="0.25">
      <c r="A132" s="44">
        <v>45362</v>
      </c>
      <c r="B132" s="11" t="s">
        <v>51</v>
      </c>
      <c r="C132" s="31">
        <v>0.6875</v>
      </c>
      <c r="D132" s="31">
        <v>0.91666666666666663</v>
      </c>
      <c r="E132" s="30">
        <f t="shared" si="2"/>
        <v>5.4999999999999991</v>
      </c>
      <c r="F132" s="38"/>
    </row>
    <row r="133" spans="1:9" x14ac:dyDescent="0.25">
      <c r="A133" s="44">
        <v>45363</v>
      </c>
      <c r="B133" s="11" t="s">
        <v>56</v>
      </c>
      <c r="C133" s="31">
        <v>0.375</v>
      </c>
      <c r="D133" s="31">
        <v>0.58333333333333337</v>
      </c>
      <c r="E133" s="30">
        <f t="shared" si="2"/>
        <v>5.0000000000000009</v>
      </c>
      <c r="F133" s="38"/>
    </row>
    <row r="134" spans="1:9" x14ac:dyDescent="0.25">
      <c r="A134" s="44">
        <v>45364</v>
      </c>
      <c r="B134" s="11" t="s">
        <v>56</v>
      </c>
      <c r="C134" s="31">
        <v>0.32291666666666669</v>
      </c>
      <c r="D134" s="31">
        <v>0.58333333333333337</v>
      </c>
      <c r="E134" s="30">
        <f t="shared" si="2"/>
        <v>5.75</v>
      </c>
      <c r="F134" s="38">
        <v>0.5</v>
      </c>
    </row>
    <row r="135" spans="1:9" x14ac:dyDescent="0.25">
      <c r="A135" s="44">
        <v>45364</v>
      </c>
      <c r="B135" s="11" t="s">
        <v>49</v>
      </c>
      <c r="C135" s="31">
        <v>0.6875</v>
      </c>
      <c r="D135" s="31">
        <v>0.89583333333333337</v>
      </c>
      <c r="E135" s="30">
        <f t="shared" si="2"/>
        <v>5.0000000000000009</v>
      </c>
      <c r="F135" s="38"/>
    </row>
    <row r="136" spans="1:9" x14ac:dyDescent="0.25">
      <c r="A136" s="44">
        <v>45365</v>
      </c>
      <c r="B136" s="11" t="s">
        <v>53</v>
      </c>
      <c r="C136" s="31">
        <v>0.29166666666666669</v>
      </c>
      <c r="D136" s="31">
        <v>0.58333333333333337</v>
      </c>
      <c r="E136" s="30">
        <f t="shared" si="2"/>
        <v>7</v>
      </c>
      <c r="F136" s="38"/>
    </row>
    <row r="137" spans="1:9" x14ac:dyDescent="0.25">
      <c r="A137" s="44">
        <v>45365</v>
      </c>
      <c r="B137" s="11" t="s">
        <v>56</v>
      </c>
      <c r="C137" s="31">
        <v>0.32291666666666669</v>
      </c>
      <c r="D137" s="31">
        <v>0.58333333333333337</v>
      </c>
      <c r="E137" s="30">
        <f t="shared" si="2"/>
        <v>5.75</v>
      </c>
      <c r="F137" s="38">
        <v>0.5</v>
      </c>
    </row>
    <row r="138" spans="1:9" x14ac:dyDescent="0.25">
      <c r="A138" s="44">
        <v>45365</v>
      </c>
      <c r="B138" s="11" t="s">
        <v>53</v>
      </c>
      <c r="C138" s="31">
        <v>0.70833333333333337</v>
      </c>
      <c r="D138" s="31">
        <v>0.8125</v>
      </c>
      <c r="E138" s="30">
        <f t="shared" si="2"/>
        <v>2.4999999999999991</v>
      </c>
      <c r="F138" s="38"/>
    </row>
    <row r="139" spans="1:9" x14ac:dyDescent="0.25">
      <c r="A139" s="44">
        <v>45365</v>
      </c>
      <c r="B139" s="11" t="s">
        <v>56</v>
      </c>
      <c r="C139" s="31">
        <v>0.77083333333333337</v>
      </c>
      <c r="D139" s="31">
        <v>0.9375</v>
      </c>
      <c r="E139" s="30">
        <f t="shared" si="2"/>
        <v>3.9999999999999991</v>
      </c>
      <c r="F139" s="38"/>
    </row>
    <row r="140" spans="1:9" x14ac:dyDescent="0.25">
      <c r="A140" s="44">
        <v>45366</v>
      </c>
      <c r="B140" s="11" t="s">
        <v>56</v>
      </c>
      <c r="C140" s="31">
        <v>0.32291666666666669</v>
      </c>
      <c r="D140" s="31">
        <v>0.58333333333333337</v>
      </c>
      <c r="E140" s="30">
        <f t="shared" si="2"/>
        <v>5.75</v>
      </c>
      <c r="F140" s="38">
        <v>0.5</v>
      </c>
    </row>
    <row r="141" spans="1:9" x14ac:dyDescent="0.25">
      <c r="A141" s="44">
        <v>45366</v>
      </c>
      <c r="B141" s="11" t="s">
        <v>51</v>
      </c>
      <c r="C141" s="31">
        <v>0.54166666666666663</v>
      </c>
      <c r="D141" s="31">
        <v>0.91666666666666663</v>
      </c>
      <c r="E141" s="30">
        <f t="shared" si="2"/>
        <v>8</v>
      </c>
      <c r="F141" s="38">
        <v>1</v>
      </c>
    </row>
    <row r="142" spans="1:9" x14ac:dyDescent="0.25">
      <c r="A142" s="44">
        <v>45366</v>
      </c>
      <c r="B142" s="11" t="s">
        <v>58</v>
      </c>
      <c r="C142" s="31">
        <v>0.75</v>
      </c>
      <c r="D142" s="31">
        <v>0.95833333333333337</v>
      </c>
      <c r="E142" s="30">
        <f t="shared" si="2"/>
        <v>5.0000000000000009</v>
      </c>
      <c r="F142" s="38"/>
    </row>
    <row r="143" spans="1:9" x14ac:dyDescent="0.25">
      <c r="A143" s="44">
        <v>45367</v>
      </c>
      <c r="B143" s="11" t="s">
        <v>56</v>
      </c>
      <c r="C143" s="31">
        <v>0.33333333333333331</v>
      </c>
      <c r="D143" s="31">
        <v>0.5</v>
      </c>
      <c r="E143" s="30">
        <f t="shared" si="2"/>
        <v>4</v>
      </c>
      <c r="F143" s="38"/>
    </row>
    <row r="144" spans="1:9" x14ac:dyDescent="0.25">
      <c r="A144" s="44">
        <v>45367</v>
      </c>
      <c r="B144" s="11" t="s">
        <v>53</v>
      </c>
      <c r="C144" s="31">
        <v>0.45833333333333331</v>
      </c>
      <c r="D144" s="31">
        <v>4.1666666666666664E-2</v>
      </c>
      <c r="E144" s="30">
        <f t="shared" si="2"/>
        <v>13</v>
      </c>
      <c r="F144" s="38">
        <v>1</v>
      </c>
    </row>
    <row r="145" spans="1:6" x14ac:dyDescent="0.25">
      <c r="A145" s="44">
        <v>45367</v>
      </c>
      <c r="B145" s="11" t="s">
        <v>48</v>
      </c>
      <c r="C145" s="31">
        <v>0.5</v>
      </c>
      <c r="D145" s="31">
        <v>0.79166666666666663</v>
      </c>
      <c r="E145" s="30">
        <f t="shared" si="2"/>
        <v>6.4999999999999991</v>
      </c>
      <c r="F145" s="38">
        <v>0.5</v>
      </c>
    </row>
    <row r="146" spans="1:6" x14ac:dyDescent="0.25">
      <c r="A146" s="44">
        <v>45367</v>
      </c>
      <c r="B146" s="11" t="s">
        <v>58</v>
      </c>
      <c r="C146" s="31">
        <v>0.58333333333333337</v>
      </c>
      <c r="D146" s="31">
        <v>0.95833333333333337</v>
      </c>
      <c r="E146" s="30">
        <f t="shared" si="2"/>
        <v>8</v>
      </c>
      <c r="F146" s="38">
        <v>1</v>
      </c>
    </row>
    <row r="147" spans="1:6" x14ac:dyDescent="0.25">
      <c r="A147" s="44">
        <v>45368</v>
      </c>
      <c r="B147" s="11" t="s">
        <v>58</v>
      </c>
      <c r="C147" s="31">
        <v>0.41666666666666669</v>
      </c>
      <c r="D147" s="31">
        <v>0.91666666666666663</v>
      </c>
      <c r="E147" s="30">
        <f t="shared" si="2"/>
        <v>10.999999999999998</v>
      </c>
      <c r="F147" s="38">
        <v>1</v>
      </c>
    </row>
    <row r="148" spans="1:6" x14ac:dyDescent="0.25">
      <c r="A148" s="44">
        <v>45368</v>
      </c>
      <c r="B148" s="11" t="s">
        <v>53</v>
      </c>
      <c r="C148" s="31">
        <v>0.45833333333333331</v>
      </c>
      <c r="D148" s="31">
        <v>0.875</v>
      </c>
      <c r="E148" s="30">
        <f t="shared" si="2"/>
        <v>9</v>
      </c>
      <c r="F148" s="38">
        <v>1</v>
      </c>
    </row>
    <row r="149" spans="1:6" x14ac:dyDescent="0.25">
      <c r="A149" s="44">
        <v>45369</v>
      </c>
      <c r="B149" s="11" t="s">
        <v>56</v>
      </c>
      <c r="C149" s="31">
        <v>0.32291666666666669</v>
      </c>
      <c r="D149" s="31">
        <v>0.58333333333333337</v>
      </c>
      <c r="E149" s="30">
        <f t="shared" si="2"/>
        <v>5.75</v>
      </c>
      <c r="F149" s="38">
        <v>0.5</v>
      </c>
    </row>
    <row r="150" spans="1:6" x14ac:dyDescent="0.25">
      <c r="A150" s="44">
        <v>45370</v>
      </c>
      <c r="B150" s="11" t="s">
        <v>56</v>
      </c>
      <c r="C150" s="31">
        <v>0.32291666666666669</v>
      </c>
      <c r="D150" s="31">
        <v>0.58333333333333337</v>
      </c>
      <c r="E150" s="30">
        <f t="shared" si="2"/>
        <v>5.75</v>
      </c>
      <c r="F150" s="38">
        <v>0.5</v>
      </c>
    </row>
    <row r="151" spans="1:6" x14ac:dyDescent="0.25">
      <c r="A151" s="44">
        <v>45371</v>
      </c>
      <c r="B151" s="11" t="s">
        <v>56</v>
      </c>
      <c r="C151" s="31">
        <v>0.32291666666666669</v>
      </c>
      <c r="D151" s="31">
        <v>0.58333333333333337</v>
      </c>
      <c r="E151" s="30">
        <f t="shared" si="2"/>
        <v>5.75</v>
      </c>
      <c r="F151" s="38">
        <v>0.5</v>
      </c>
    </row>
    <row r="152" spans="1:6" x14ac:dyDescent="0.25">
      <c r="A152" s="44">
        <v>45371</v>
      </c>
      <c r="B152" s="11" t="s">
        <v>53</v>
      </c>
      <c r="C152" s="31">
        <v>0.70833333333333337</v>
      </c>
      <c r="D152" s="31">
        <v>0.91666666666666663</v>
      </c>
      <c r="E152" s="30">
        <f t="shared" si="2"/>
        <v>4.9999999999999982</v>
      </c>
      <c r="F152" s="38"/>
    </row>
    <row r="153" spans="1:6" x14ac:dyDescent="0.25">
      <c r="A153" s="44">
        <v>45372</v>
      </c>
      <c r="B153" s="11" t="s">
        <v>56</v>
      </c>
      <c r="C153" s="31">
        <v>0.32291666666666669</v>
      </c>
      <c r="D153" s="31">
        <v>0.58333333333333337</v>
      </c>
      <c r="E153" s="30">
        <f t="shared" si="2"/>
        <v>5.75</v>
      </c>
      <c r="F153" s="38">
        <v>0.5</v>
      </c>
    </row>
    <row r="154" spans="1:6" x14ac:dyDescent="0.25">
      <c r="A154" s="44">
        <v>45372</v>
      </c>
      <c r="B154" s="11" t="s">
        <v>49</v>
      </c>
      <c r="C154" s="31">
        <v>0.6875</v>
      </c>
      <c r="D154" s="31">
        <v>0.77083333333333337</v>
      </c>
      <c r="E154" s="30">
        <f t="shared" si="2"/>
        <v>2.0000000000000009</v>
      </c>
      <c r="F154" s="38"/>
    </row>
    <row r="155" spans="1:6" x14ac:dyDescent="0.25">
      <c r="A155" s="44">
        <v>45372</v>
      </c>
      <c r="B155" s="11" t="s">
        <v>56</v>
      </c>
      <c r="C155" s="31">
        <v>0.77083333333333337</v>
      </c>
      <c r="D155" s="31">
        <v>0.9375</v>
      </c>
      <c r="E155" s="30">
        <f t="shared" si="2"/>
        <v>3.9999999999999991</v>
      </c>
      <c r="F155" s="38"/>
    </row>
    <row r="156" spans="1:6" x14ac:dyDescent="0.25">
      <c r="A156" s="44">
        <v>45373</v>
      </c>
      <c r="B156" s="11" t="s">
        <v>56</v>
      </c>
      <c r="C156" s="31">
        <v>0.32291666666666669</v>
      </c>
      <c r="D156" s="31">
        <v>0.58333333333333337</v>
      </c>
      <c r="E156" s="30">
        <f t="shared" si="2"/>
        <v>5.75</v>
      </c>
      <c r="F156" s="38">
        <v>0.5</v>
      </c>
    </row>
    <row r="157" spans="1:6" x14ac:dyDescent="0.25">
      <c r="A157" s="44">
        <v>45373</v>
      </c>
      <c r="B157" s="11" t="s">
        <v>58</v>
      </c>
      <c r="C157" s="31">
        <v>0.75</v>
      </c>
      <c r="D157" s="31">
        <v>0.95833333333333337</v>
      </c>
      <c r="E157" s="30">
        <f t="shared" si="2"/>
        <v>5.0000000000000009</v>
      </c>
      <c r="F157" s="38"/>
    </row>
    <row r="158" spans="1:6" x14ac:dyDescent="0.25">
      <c r="A158" s="44">
        <v>45374</v>
      </c>
      <c r="B158" s="11" t="s">
        <v>56</v>
      </c>
      <c r="C158" s="31">
        <v>0.33333333333333331</v>
      </c>
      <c r="D158" s="31">
        <v>0.5</v>
      </c>
      <c r="E158" s="30">
        <f t="shared" si="2"/>
        <v>4</v>
      </c>
      <c r="F158" s="38"/>
    </row>
    <row r="159" spans="1:6" x14ac:dyDescent="0.25">
      <c r="A159" s="44">
        <v>45374</v>
      </c>
      <c r="B159" s="11" t="s">
        <v>46</v>
      </c>
      <c r="C159" s="31">
        <v>0.60416666666666663</v>
      </c>
      <c r="D159" s="31">
        <v>0.85416666666666663</v>
      </c>
      <c r="E159" s="30">
        <f t="shared" si="2"/>
        <v>5.5</v>
      </c>
      <c r="F159" s="38">
        <v>0.5</v>
      </c>
    </row>
    <row r="160" spans="1:6" x14ac:dyDescent="0.25">
      <c r="A160" s="44">
        <v>45374</v>
      </c>
      <c r="B160" s="11" t="s">
        <v>58</v>
      </c>
      <c r="C160" s="31">
        <v>0.75</v>
      </c>
      <c r="D160" s="31">
        <v>0.95833333333333337</v>
      </c>
      <c r="E160" s="30">
        <f t="shared" si="2"/>
        <v>5.0000000000000009</v>
      </c>
      <c r="F160" s="38"/>
    </row>
    <row r="161" spans="1:6" x14ac:dyDescent="0.25">
      <c r="A161" s="44">
        <v>45375</v>
      </c>
      <c r="B161" s="11" t="s">
        <v>53</v>
      </c>
      <c r="C161" s="31">
        <v>0.33333333333333331</v>
      </c>
      <c r="D161" s="31">
        <v>0.66666666666666663</v>
      </c>
      <c r="E161" s="30">
        <f t="shared" si="2"/>
        <v>8</v>
      </c>
      <c r="F161" s="38"/>
    </row>
    <row r="162" spans="1:6" x14ac:dyDescent="0.25">
      <c r="A162" s="44">
        <v>45376</v>
      </c>
      <c r="B162" s="11" t="s">
        <v>56</v>
      </c>
      <c r="C162" s="31">
        <v>0.32291666666666669</v>
      </c>
      <c r="D162" s="31">
        <v>0.58333333333333337</v>
      </c>
      <c r="E162" s="30">
        <f t="shared" si="2"/>
        <v>5.75</v>
      </c>
      <c r="F162" s="38">
        <v>0.5</v>
      </c>
    </row>
    <row r="163" spans="1:6" x14ac:dyDescent="0.25">
      <c r="A163" s="44">
        <v>45377</v>
      </c>
      <c r="B163" s="11" t="s">
        <v>56</v>
      </c>
      <c r="C163" s="31">
        <v>0.32291666666666669</v>
      </c>
      <c r="D163" s="31">
        <v>0.58333333333333337</v>
      </c>
      <c r="E163" s="30">
        <f t="shared" si="2"/>
        <v>5.75</v>
      </c>
      <c r="F163" s="38">
        <v>0.5</v>
      </c>
    </row>
    <row r="164" spans="1:6" x14ac:dyDescent="0.25">
      <c r="A164" s="44">
        <v>45377</v>
      </c>
      <c r="B164" s="11" t="s">
        <v>56</v>
      </c>
      <c r="C164" s="31">
        <v>0.70833333333333337</v>
      </c>
      <c r="D164" s="31">
        <v>0.875</v>
      </c>
      <c r="E164" s="30">
        <f t="shared" si="2"/>
        <v>3.9999999999999991</v>
      </c>
      <c r="F164" s="38"/>
    </row>
    <row r="165" spans="1:6" x14ac:dyDescent="0.25">
      <c r="A165" s="44">
        <v>45378</v>
      </c>
      <c r="B165" s="11" t="s">
        <v>56</v>
      </c>
      <c r="C165" s="31">
        <v>0.32291666666666669</v>
      </c>
      <c r="D165" s="31">
        <v>0.58333333333333337</v>
      </c>
      <c r="E165" s="30">
        <f t="shared" si="2"/>
        <v>5.75</v>
      </c>
      <c r="F165" s="38">
        <v>0.5</v>
      </c>
    </row>
    <row r="166" spans="1:6" x14ac:dyDescent="0.25">
      <c r="A166" s="44">
        <v>45378</v>
      </c>
      <c r="B166" s="11" t="s">
        <v>49</v>
      </c>
      <c r="C166" s="31">
        <v>0.70833333333333337</v>
      </c>
      <c r="D166" s="31">
        <v>0.89583333333333337</v>
      </c>
      <c r="E166" s="30">
        <f t="shared" si="2"/>
        <v>4.5</v>
      </c>
      <c r="F166" s="38"/>
    </row>
    <row r="167" spans="1:6" x14ac:dyDescent="0.25">
      <c r="A167" s="44">
        <v>45379</v>
      </c>
      <c r="B167" s="11" t="s">
        <v>56</v>
      </c>
      <c r="C167" s="31">
        <v>0.32291666666666669</v>
      </c>
      <c r="D167" s="31">
        <v>0.58333333333333337</v>
      </c>
      <c r="E167" s="30">
        <f t="shared" si="2"/>
        <v>5.75</v>
      </c>
      <c r="F167" s="38">
        <v>0.5</v>
      </c>
    </row>
    <row r="168" spans="1:6" x14ac:dyDescent="0.25">
      <c r="A168" s="44">
        <v>45379</v>
      </c>
      <c r="B168" s="11" t="s">
        <v>53</v>
      </c>
      <c r="C168" s="31">
        <v>0.6875</v>
      </c>
      <c r="D168" s="31">
        <v>0</v>
      </c>
      <c r="E168" s="30">
        <f t="shared" si="2"/>
        <v>7</v>
      </c>
      <c r="F168" s="38">
        <v>0.5</v>
      </c>
    </row>
    <row r="169" spans="1:6" x14ac:dyDescent="0.25">
      <c r="A169" s="44">
        <v>45379</v>
      </c>
      <c r="B169" s="11" t="s">
        <v>56</v>
      </c>
      <c r="C169" s="31">
        <v>0.77083333333333337</v>
      </c>
      <c r="D169" s="31">
        <v>0.9375</v>
      </c>
      <c r="E169" s="30">
        <f t="shared" si="2"/>
        <v>3.9999999999999991</v>
      </c>
      <c r="F169" s="38"/>
    </row>
    <row r="170" spans="1:6" x14ac:dyDescent="0.25">
      <c r="A170" s="44">
        <v>45380</v>
      </c>
      <c r="B170" s="11" t="s">
        <v>56</v>
      </c>
      <c r="C170" s="31">
        <v>0.32291666666666669</v>
      </c>
      <c r="D170" s="31">
        <v>0.58333333333333337</v>
      </c>
      <c r="E170" s="30">
        <f t="shared" si="2"/>
        <v>5.75</v>
      </c>
      <c r="F170" s="38">
        <v>0.5</v>
      </c>
    </row>
    <row r="171" spans="1:6" x14ac:dyDescent="0.25">
      <c r="A171" s="44">
        <v>45380</v>
      </c>
      <c r="B171" s="11" t="s">
        <v>58</v>
      </c>
      <c r="C171" s="31">
        <v>0.6875</v>
      </c>
      <c r="D171" s="31">
        <v>0.95833333333333337</v>
      </c>
      <c r="E171" s="30">
        <f t="shared" si="2"/>
        <v>6.0000000000000009</v>
      </c>
      <c r="F171" s="38">
        <v>0.5</v>
      </c>
    </row>
    <row r="172" spans="1:6" x14ac:dyDescent="0.25">
      <c r="A172" s="44">
        <v>45381</v>
      </c>
      <c r="B172" s="11" t="s">
        <v>56</v>
      </c>
      <c r="C172" s="31">
        <v>0.33333333333333331</v>
      </c>
      <c r="D172" s="31">
        <v>0.5</v>
      </c>
      <c r="E172" s="30">
        <f t="shared" si="2"/>
        <v>4</v>
      </c>
      <c r="F172" s="38"/>
    </row>
    <row r="173" spans="1:6" x14ac:dyDescent="0.25">
      <c r="A173" s="44">
        <v>45381</v>
      </c>
      <c r="B173" s="11" t="s">
        <v>48</v>
      </c>
      <c r="C173" s="31">
        <v>0.45833333333333331</v>
      </c>
      <c r="D173" s="31">
        <v>0.70833333333333337</v>
      </c>
      <c r="E173" s="30">
        <f t="shared" si="2"/>
        <v>5.5000000000000018</v>
      </c>
      <c r="F173" s="38">
        <v>0.5</v>
      </c>
    </row>
    <row r="174" spans="1:6" x14ac:dyDescent="0.25">
      <c r="A174" s="44">
        <v>45381</v>
      </c>
      <c r="B174" s="11" t="s">
        <v>58</v>
      </c>
      <c r="C174" s="31">
        <v>0.5</v>
      </c>
      <c r="D174" s="31">
        <v>0.91666666666666663</v>
      </c>
      <c r="E174" s="30">
        <f t="shared" si="2"/>
        <v>9</v>
      </c>
      <c r="F174" s="38">
        <v>1</v>
      </c>
    </row>
    <row r="175" spans="1:6" x14ac:dyDescent="0.25">
      <c r="A175" s="44">
        <v>45384</v>
      </c>
      <c r="B175" s="11" t="s">
        <v>56</v>
      </c>
      <c r="C175" s="31">
        <v>0.375</v>
      </c>
      <c r="D175" s="31">
        <v>0.5625</v>
      </c>
      <c r="E175" s="30">
        <f t="shared" ref="E175:E233" si="3">MOD((D175-C175),1) *24 - F175</f>
        <v>4.5</v>
      </c>
      <c r="F175" s="38"/>
    </row>
    <row r="176" spans="1:6" x14ac:dyDescent="0.25">
      <c r="A176" s="44">
        <v>45385</v>
      </c>
      <c r="B176" s="11" t="s">
        <v>56</v>
      </c>
      <c r="C176" s="31">
        <v>0.33333333333333331</v>
      </c>
      <c r="D176" s="31">
        <v>0.58333333333333337</v>
      </c>
      <c r="E176" s="30">
        <f t="shared" si="3"/>
        <v>5.5000000000000018</v>
      </c>
      <c r="F176" s="38">
        <v>0.5</v>
      </c>
    </row>
    <row r="177" spans="1:6" x14ac:dyDescent="0.25">
      <c r="A177" s="44">
        <v>45385</v>
      </c>
      <c r="B177" s="11" t="s">
        <v>56</v>
      </c>
      <c r="C177" s="31">
        <v>0.66666666666666663</v>
      </c>
      <c r="D177" s="31">
        <v>0.875</v>
      </c>
      <c r="E177" s="30">
        <f t="shared" si="3"/>
        <v>5.0000000000000009</v>
      </c>
      <c r="F177" s="38"/>
    </row>
    <row r="178" spans="1:6" x14ac:dyDescent="0.25">
      <c r="A178" s="44">
        <v>45386</v>
      </c>
      <c r="B178" s="11" t="s">
        <v>56</v>
      </c>
      <c r="C178" s="31">
        <v>0.33333333333333331</v>
      </c>
      <c r="D178" s="31">
        <v>0.58333333333333337</v>
      </c>
      <c r="E178" s="30">
        <f t="shared" si="3"/>
        <v>5.5000000000000018</v>
      </c>
      <c r="F178" s="38">
        <v>0.5</v>
      </c>
    </row>
    <row r="179" spans="1:6" x14ac:dyDescent="0.25">
      <c r="A179" s="44">
        <v>45386</v>
      </c>
      <c r="B179" s="11" t="s">
        <v>56</v>
      </c>
      <c r="C179" s="31">
        <v>0.75</v>
      </c>
      <c r="D179" s="31">
        <v>0.9375</v>
      </c>
      <c r="E179" s="30">
        <f t="shared" si="3"/>
        <v>4.5</v>
      </c>
      <c r="F179" s="38"/>
    </row>
    <row r="180" spans="1:6" x14ac:dyDescent="0.25">
      <c r="A180" s="44">
        <v>45387</v>
      </c>
      <c r="B180" s="11" t="s">
        <v>56</v>
      </c>
      <c r="C180" s="31">
        <v>0.33333333333333331</v>
      </c>
      <c r="D180" s="31">
        <v>0.58333333333333337</v>
      </c>
      <c r="E180" s="30">
        <f t="shared" si="3"/>
        <v>5.5000000000000018</v>
      </c>
      <c r="F180" s="38">
        <v>0.5</v>
      </c>
    </row>
    <row r="181" spans="1:6" x14ac:dyDescent="0.25">
      <c r="A181" s="44">
        <v>45387</v>
      </c>
      <c r="B181" s="11" t="s">
        <v>53</v>
      </c>
      <c r="C181" s="31">
        <v>0.64583333333333337</v>
      </c>
      <c r="D181" s="31">
        <v>0.97916666666666663</v>
      </c>
      <c r="E181" s="30">
        <f t="shared" si="3"/>
        <v>7.4999999999999982</v>
      </c>
      <c r="F181" s="38">
        <v>0.5</v>
      </c>
    </row>
    <row r="182" spans="1:6" x14ac:dyDescent="0.25">
      <c r="A182" s="44">
        <v>45387</v>
      </c>
      <c r="B182" s="11" t="s">
        <v>58</v>
      </c>
      <c r="C182" s="31">
        <v>0.75</v>
      </c>
      <c r="D182" s="31">
        <v>0.95833333333333337</v>
      </c>
      <c r="E182" s="30">
        <f t="shared" si="3"/>
        <v>5.0000000000000009</v>
      </c>
      <c r="F182" s="38"/>
    </row>
    <row r="183" spans="1:6" x14ac:dyDescent="0.25">
      <c r="A183" s="44">
        <v>45388</v>
      </c>
      <c r="B183" s="11" t="s">
        <v>56</v>
      </c>
      <c r="C183" s="31">
        <v>0.33333333333333331</v>
      </c>
      <c r="D183" s="31">
        <v>0.52083333333333337</v>
      </c>
      <c r="E183" s="30">
        <f t="shared" si="3"/>
        <v>4.5000000000000018</v>
      </c>
      <c r="F183" s="38"/>
    </row>
    <row r="184" spans="1:6" x14ac:dyDescent="0.25">
      <c r="A184" s="44">
        <v>45388</v>
      </c>
      <c r="B184" s="11" t="s">
        <v>49</v>
      </c>
      <c r="C184" s="31">
        <v>0.33333333333333331</v>
      </c>
      <c r="D184" s="31">
        <v>0.45833333333333331</v>
      </c>
      <c r="E184" s="30">
        <f t="shared" si="3"/>
        <v>3</v>
      </c>
      <c r="F184" s="38"/>
    </row>
    <row r="185" spans="1:6" x14ac:dyDescent="0.25">
      <c r="A185" s="44">
        <v>45388</v>
      </c>
      <c r="B185" s="11" t="s">
        <v>58</v>
      </c>
      <c r="C185" s="31">
        <v>0.52083333333333337</v>
      </c>
      <c r="D185" s="31">
        <v>0.83333333333333337</v>
      </c>
      <c r="E185" s="30">
        <f t="shared" si="3"/>
        <v>7</v>
      </c>
      <c r="F185" s="38">
        <v>0.5</v>
      </c>
    </row>
    <row r="186" spans="1:6" x14ac:dyDescent="0.25">
      <c r="A186" s="44">
        <v>45388</v>
      </c>
      <c r="B186" s="11" t="s">
        <v>48</v>
      </c>
      <c r="C186" s="31">
        <v>0.58333333333333337</v>
      </c>
      <c r="D186" s="31">
        <v>0</v>
      </c>
      <c r="E186" s="30">
        <f t="shared" si="3"/>
        <v>9</v>
      </c>
      <c r="F186" s="38">
        <v>1</v>
      </c>
    </row>
    <row r="187" spans="1:6" x14ac:dyDescent="0.25">
      <c r="A187" s="44">
        <v>45388</v>
      </c>
      <c r="B187" s="11" t="s">
        <v>53</v>
      </c>
      <c r="C187" s="31">
        <v>0.625</v>
      </c>
      <c r="D187" s="31">
        <v>2.0833333333333332E-2</v>
      </c>
      <c r="E187" s="30">
        <f t="shared" si="3"/>
        <v>8.5</v>
      </c>
      <c r="F187" s="38">
        <v>1</v>
      </c>
    </row>
    <row r="188" spans="1:6" x14ac:dyDescent="0.25">
      <c r="A188" s="44">
        <v>45389</v>
      </c>
      <c r="B188" s="11" t="s">
        <v>46</v>
      </c>
      <c r="C188" s="31">
        <v>0.66666666666666663</v>
      </c>
      <c r="D188" s="31">
        <v>0.91666666666666663</v>
      </c>
      <c r="E188" s="30">
        <f t="shared" si="3"/>
        <v>5.5</v>
      </c>
      <c r="F188" s="38">
        <v>0.5</v>
      </c>
    </row>
    <row r="189" spans="1:6" x14ac:dyDescent="0.25">
      <c r="A189" s="44">
        <v>45390</v>
      </c>
      <c r="B189" s="11" t="s">
        <v>56</v>
      </c>
      <c r="C189" s="31">
        <v>0.33333333333333331</v>
      </c>
      <c r="D189" s="31">
        <v>0.58333333333333337</v>
      </c>
      <c r="E189" s="30">
        <f t="shared" si="3"/>
        <v>5.5000000000000018</v>
      </c>
      <c r="F189" s="38">
        <v>0.5</v>
      </c>
    </row>
    <row r="190" spans="1:6" x14ac:dyDescent="0.25">
      <c r="A190" s="44">
        <v>45391</v>
      </c>
      <c r="B190" s="11" t="s">
        <v>56</v>
      </c>
      <c r="C190" s="31">
        <v>0.33333333333333331</v>
      </c>
      <c r="D190" s="31">
        <v>0.5625</v>
      </c>
      <c r="E190" s="30">
        <f t="shared" si="3"/>
        <v>5.5</v>
      </c>
      <c r="F190" s="38"/>
    </row>
    <row r="191" spans="1:6" x14ac:dyDescent="0.25">
      <c r="A191" s="44">
        <v>45392</v>
      </c>
      <c r="B191" s="11" t="s">
        <v>56</v>
      </c>
      <c r="C191" s="31">
        <v>0.33333333333333331</v>
      </c>
      <c r="D191" s="31">
        <v>0.58333333333333337</v>
      </c>
      <c r="E191" s="30">
        <f t="shared" si="3"/>
        <v>5.5000000000000018</v>
      </c>
      <c r="F191" s="38">
        <v>0.5</v>
      </c>
    </row>
    <row r="192" spans="1:6" x14ac:dyDescent="0.25">
      <c r="A192" s="44">
        <v>45392</v>
      </c>
      <c r="B192" s="11" t="s">
        <v>49</v>
      </c>
      <c r="C192" s="31">
        <v>0.6875</v>
      </c>
      <c r="D192" s="31">
        <v>0.89583333333333337</v>
      </c>
      <c r="E192" s="30">
        <f t="shared" si="3"/>
        <v>5.0000000000000009</v>
      </c>
      <c r="F192" s="38"/>
    </row>
    <row r="193" spans="1:6" x14ac:dyDescent="0.25">
      <c r="A193" s="44">
        <v>45393</v>
      </c>
      <c r="B193" s="11" t="s">
        <v>56</v>
      </c>
      <c r="C193" s="31">
        <v>0.33333333333333331</v>
      </c>
      <c r="D193" s="31">
        <v>0.58333333333333337</v>
      </c>
      <c r="E193" s="30">
        <f t="shared" si="3"/>
        <v>5.5000000000000018</v>
      </c>
      <c r="F193" s="38">
        <v>0.5</v>
      </c>
    </row>
    <row r="194" spans="1:6" x14ac:dyDescent="0.25">
      <c r="A194" s="44">
        <v>45393</v>
      </c>
      <c r="B194" s="11" t="s">
        <v>91</v>
      </c>
      <c r="C194" s="31">
        <v>0.75</v>
      </c>
      <c r="D194" s="31">
        <v>0.9375</v>
      </c>
      <c r="E194" s="30">
        <f t="shared" si="3"/>
        <v>4.5</v>
      </c>
      <c r="F194" s="38"/>
    </row>
    <row r="195" spans="1:6" x14ac:dyDescent="0.25">
      <c r="A195" s="44">
        <v>45394</v>
      </c>
      <c r="B195" s="11" t="s">
        <v>56</v>
      </c>
      <c r="C195" s="31">
        <v>0.33333333333333331</v>
      </c>
      <c r="D195" s="31">
        <v>0.58333333333333337</v>
      </c>
      <c r="E195" s="30">
        <f t="shared" si="3"/>
        <v>5.5000000000000018</v>
      </c>
      <c r="F195" s="38">
        <v>0.5</v>
      </c>
    </row>
    <row r="196" spans="1:6" x14ac:dyDescent="0.25">
      <c r="A196" s="44">
        <v>45394</v>
      </c>
      <c r="B196" s="11" t="s">
        <v>53</v>
      </c>
      <c r="C196" s="31">
        <v>0.70833333333333337</v>
      </c>
      <c r="D196" s="31">
        <v>4.1666666666666664E-2</v>
      </c>
      <c r="E196" s="30">
        <f t="shared" si="3"/>
        <v>7.4999999999999982</v>
      </c>
      <c r="F196" s="38">
        <v>0.5</v>
      </c>
    </row>
    <row r="197" spans="1:6" x14ac:dyDescent="0.25">
      <c r="A197" s="44">
        <v>45394</v>
      </c>
      <c r="B197" s="11" t="s">
        <v>58</v>
      </c>
      <c r="C197" s="31">
        <v>0.75</v>
      </c>
      <c r="D197" s="31">
        <v>0.95833333333333337</v>
      </c>
      <c r="E197" s="30">
        <f t="shared" si="3"/>
        <v>5.0000000000000009</v>
      </c>
      <c r="F197" s="38"/>
    </row>
    <row r="198" spans="1:6" x14ac:dyDescent="0.25">
      <c r="A198" s="44">
        <v>45395</v>
      </c>
      <c r="B198" s="11" t="s">
        <v>58</v>
      </c>
      <c r="C198" s="31">
        <v>0.25</v>
      </c>
      <c r="D198" s="31">
        <v>0.52083333333333337</v>
      </c>
      <c r="E198" s="30">
        <f t="shared" si="3"/>
        <v>6.0000000000000009</v>
      </c>
      <c r="F198" s="38">
        <v>0.5</v>
      </c>
    </row>
    <row r="199" spans="1:6" x14ac:dyDescent="0.25">
      <c r="A199" s="44">
        <v>45395</v>
      </c>
      <c r="B199" s="11" t="s">
        <v>56</v>
      </c>
      <c r="C199" s="31">
        <v>0.52083333333333337</v>
      </c>
      <c r="D199" s="31">
        <v>0.77083333333333337</v>
      </c>
      <c r="E199" s="30">
        <f t="shared" si="3"/>
        <v>5.5</v>
      </c>
      <c r="F199" s="38">
        <v>0.5</v>
      </c>
    </row>
    <row r="200" spans="1:6" x14ac:dyDescent="0.25">
      <c r="A200" s="44">
        <v>45395</v>
      </c>
      <c r="B200" s="11" t="s">
        <v>46</v>
      </c>
      <c r="C200" s="31">
        <v>0.54166666666666663</v>
      </c>
      <c r="D200" s="31">
        <v>0.75</v>
      </c>
      <c r="E200" s="30">
        <f t="shared" si="3"/>
        <v>5.0000000000000009</v>
      </c>
      <c r="F200" s="38"/>
    </row>
    <row r="201" spans="1:6" x14ac:dyDescent="0.25">
      <c r="A201" s="44">
        <v>45395</v>
      </c>
      <c r="B201" s="11" t="s">
        <v>53</v>
      </c>
      <c r="C201" s="31">
        <v>0.54166666666666663</v>
      </c>
      <c r="D201" s="31">
        <v>0.79166666666666663</v>
      </c>
      <c r="E201" s="30">
        <f t="shared" si="3"/>
        <v>5.5</v>
      </c>
      <c r="F201" s="38">
        <v>0.5</v>
      </c>
    </row>
    <row r="202" spans="1:6" x14ac:dyDescent="0.25">
      <c r="A202" s="44">
        <v>45396</v>
      </c>
      <c r="B202" s="11" t="s">
        <v>53</v>
      </c>
      <c r="C202" s="31">
        <v>0.45833333333333331</v>
      </c>
      <c r="D202" s="31">
        <v>0.72916666666666663</v>
      </c>
      <c r="E202" s="30">
        <f t="shared" si="3"/>
        <v>6</v>
      </c>
      <c r="F202" s="38">
        <v>0.5</v>
      </c>
    </row>
    <row r="203" spans="1:6" x14ac:dyDescent="0.25">
      <c r="A203" s="44">
        <v>45398</v>
      </c>
      <c r="B203" s="11" t="s">
        <v>56</v>
      </c>
      <c r="C203" s="31">
        <v>0.33333333333333331</v>
      </c>
      <c r="D203" s="31">
        <v>0.58333333333333337</v>
      </c>
      <c r="E203" s="30">
        <f t="shared" si="3"/>
        <v>5.5000000000000018</v>
      </c>
      <c r="F203" s="38">
        <v>0.5</v>
      </c>
    </row>
    <row r="204" spans="1:6" x14ac:dyDescent="0.25">
      <c r="A204" s="44">
        <v>45399</v>
      </c>
      <c r="B204" s="11" t="s">
        <v>56</v>
      </c>
      <c r="C204" s="31">
        <v>0.33333333333333331</v>
      </c>
      <c r="D204" s="31">
        <v>0.58333333333333337</v>
      </c>
      <c r="E204" s="30">
        <f t="shared" si="3"/>
        <v>5.5000000000000018</v>
      </c>
      <c r="F204" s="38">
        <v>0.5</v>
      </c>
    </row>
    <row r="205" spans="1:6" x14ac:dyDescent="0.25">
      <c r="A205" s="44">
        <v>45399</v>
      </c>
      <c r="B205" s="11" t="s">
        <v>49</v>
      </c>
      <c r="C205" s="31">
        <v>0.6875</v>
      </c>
      <c r="D205" s="31">
        <v>0.875</v>
      </c>
      <c r="E205" s="30">
        <f t="shared" si="3"/>
        <v>4.5</v>
      </c>
      <c r="F205" s="38"/>
    </row>
    <row r="206" spans="1:6" x14ac:dyDescent="0.25">
      <c r="A206" s="44">
        <v>45399</v>
      </c>
      <c r="B206" s="11" t="s">
        <v>58</v>
      </c>
      <c r="C206" s="31">
        <v>0.70833333333333337</v>
      </c>
      <c r="D206" s="31">
        <v>0.875</v>
      </c>
      <c r="E206" s="30">
        <f t="shared" si="3"/>
        <v>3.9999999999999991</v>
      </c>
      <c r="F206" s="38"/>
    </row>
    <row r="207" spans="1:6" x14ac:dyDescent="0.25">
      <c r="A207" s="44">
        <v>45400</v>
      </c>
      <c r="B207" s="11" t="s">
        <v>56</v>
      </c>
      <c r="C207" s="31">
        <v>0.45833333333333331</v>
      </c>
      <c r="D207" s="31">
        <v>0.58333333333333337</v>
      </c>
      <c r="E207" s="30">
        <f t="shared" si="3"/>
        <v>3.0000000000000013</v>
      </c>
      <c r="F207" s="38"/>
    </row>
    <row r="208" spans="1:6" x14ac:dyDescent="0.25">
      <c r="A208" s="44">
        <v>45400</v>
      </c>
      <c r="B208" s="11" t="s">
        <v>56</v>
      </c>
      <c r="C208" s="31">
        <v>0.77083333333333337</v>
      </c>
      <c r="D208" s="31">
        <v>0.9375</v>
      </c>
      <c r="E208" s="30">
        <f t="shared" si="3"/>
        <v>3.9999999999999991</v>
      </c>
      <c r="F208" s="38"/>
    </row>
    <row r="209" spans="1:6" x14ac:dyDescent="0.25">
      <c r="A209" s="44">
        <v>45401</v>
      </c>
      <c r="B209" s="11" t="s">
        <v>56</v>
      </c>
      <c r="C209" s="31">
        <v>0.33333333333333331</v>
      </c>
      <c r="D209" s="31">
        <v>0.58333333333333337</v>
      </c>
      <c r="E209" s="30">
        <f t="shared" si="3"/>
        <v>5.5000000000000018</v>
      </c>
      <c r="F209" s="38">
        <v>0.5</v>
      </c>
    </row>
    <row r="210" spans="1:6" x14ac:dyDescent="0.25">
      <c r="A210" s="44">
        <v>45401</v>
      </c>
      <c r="B210" s="11" t="s">
        <v>56</v>
      </c>
      <c r="C210" s="31">
        <v>0.75</v>
      </c>
      <c r="D210" s="31">
        <v>0.95833333333333337</v>
      </c>
      <c r="E210" s="30">
        <f t="shared" si="3"/>
        <v>5.0000000000000009</v>
      </c>
      <c r="F210" s="38"/>
    </row>
    <row r="211" spans="1:6" x14ac:dyDescent="0.25">
      <c r="A211" s="44">
        <v>45402</v>
      </c>
      <c r="B211" s="11" t="s">
        <v>56</v>
      </c>
      <c r="C211" s="31">
        <v>0.33333333333333331</v>
      </c>
      <c r="D211" s="31">
        <v>0.5</v>
      </c>
      <c r="E211" s="30">
        <f t="shared" si="3"/>
        <v>4</v>
      </c>
      <c r="F211" s="38"/>
    </row>
    <row r="212" spans="1:6" x14ac:dyDescent="0.25">
      <c r="A212" s="44">
        <v>45402</v>
      </c>
      <c r="B212" s="11" t="s">
        <v>46</v>
      </c>
      <c r="C212" s="31">
        <v>0.41666666666666669</v>
      </c>
      <c r="D212" s="31">
        <v>0.66666666666666663</v>
      </c>
      <c r="E212" s="30">
        <f t="shared" si="3"/>
        <v>5.4999999999999982</v>
      </c>
      <c r="F212" s="38">
        <v>0.5</v>
      </c>
    </row>
    <row r="213" spans="1:6" x14ac:dyDescent="0.25">
      <c r="A213" s="44">
        <v>45402</v>
      </c>
      <c r="B213" s="11" t="s">
        <v>53</v>
      </c>
      <c r="C213" s="31">
        <v>0.52083333333333337</v>
      </c>
      <c r="D213" s="31">
        <v>0.75</v>
      </c>
      <c r="E213" s="30">
        <f t="shared" si="3"/>
        <v>5.4999999999999991</v>
      </c>
      <c r="F213" s="38"/>
    </row>
    <row r="214" spans="1:6" x14ac:dyDescent="0.25">
      <c r="A214" s="44">
        <v>45403</v>
      </c>
      <c r="B214" s="11" t="s">
        <v>53</v>
      </c>
      <c r="C214" s="31">
        <v>0.29166666666666669</v>
      </c>
      <c r="D214" s="31">
        <v>0.70833333333333337</v>
      </c>
      <c r="E214" s="30">
        <f t="shared" si="3"/>
        <v>9</v>
      </c>
      <c r="F214" s="38">
        <v>1</v>
      </c>
    </row>
    <row r="215" spans="1:6" x14ac:dyDescent="0.25">
      <c r="A215" s="44">
        <v>45403</v>
      </c>
      <c r="B215" s="11" t="s">
        <v>58</v>
      </c>
      <c r="C215" s="31">
        <v>0.41666666666666669</v>
      </c>
      <c r="D215" s="31">
        <v>0.625</v>
      </c>
      <c r="E215" s="30">
        <f t="shared" si="3"/>
        <v>5</v>
      </c>
      <c r="F215" s="38"/>
    </row>
    <row r="216" spans="1:6" x14ac:dyDescent="0.25">
      <c r="A216" s="44">
        <v>45404</v>
      </c>
      <c r="B216" s="11" t="s">
        <v>56</v>
      </c>
      <c r="C216" s="31">
        <v>0.33333333333333331</v>
      </c>
      <c r="D216" s="31">
        <v>0.58333333333333337</v>
      </c>
      <c r="E216" s="30">
        <f t="shared" si="3"/>
        <v>5.5000000000000018</v>
      </c>
      <c r="F216" s="38">
        <v>0.5</v>
      </c>
    </row>
    <row r="217" spans="1:6" x14ac:dyDescent="0.25">
      <c r="A217" s="44">
        <v>45405</v>
      </c>
      <c r="B217" s="11" t="s">
        <v>56</v>
      </c>
      <c r="C217" s="31">
        <v>0.33333333333333331</v>
      </c>
      <c r="D217" s="31">
        <v>0.58333333333333337</v>
      </c>
      <c r="E217" s="30">
        <f t="shared" si="3"/>
        <v>5.5000000000000018</v>
      </c>
      <c r="F217" s="38">
        <v>0.5</v>
      </c>
    </row>
    <row r="218" spans="1:6" x14ac:dyDescent="0.25">
      <c r="A218" s="44">
        <v>45406</v>
      </c>
      <c r="B218" s="11" t="s">
        <v>56</v>
      </c>
      <c r="C218" s="31">
        <v>0.33333333333333331</v>
      </c>
      <c r="D218" s="31">
        <v>0.58333333333333337</v>
      </c>
      <c r="E218" s="30">
        <f t="shared" si="3"/>
        <v>5.5000000000000018</v>
      </c>
      <c r="F218" s="38">
        <v>0.5</v>
      </c>
    </row>
    <row r="219" spans="1:6" x14ac:dyDescent="0.25">
      <c r="A219" s="44">
        <v>45406</v>
      </c>
      <c r="B219" s="11" t="s">
        <v>49</v>
      </c>
      <c r="C219" s="31">
        <v>0.6875</v>
      </c>
      <c r="D219" s="31">
        <v>0.875</v>
      </c>
      <c r="E219" s="30">
        <f t="shared" si="3"/>
        <v>4.5</v>
      </c>
      <c r="F219" s="38"/>
    </row>
    <row r="220" spans="1:6" x14ac:dyDescent="0.25">
      <c r="A220" s="44">
        <v>45407</v>
      </c>
      <c r="B220" s="11" t="s">
        <v>56</v>
      </c>
      <c r="C220" s="31">
        <v>0.33333333333333331</v>
      </c>
      <c r="D220" s="31">
        <v>0.58333333333333337</v>
      </c>
      <c r="E220" s="30">
        <f t="shared" si="3"/>
        <v>5.5000000000000018</v>
      </c>
      <c r="F220" s="38">
        <v>0.5</v>
      </c>
    </row>
    <row r="221" spans="1:6" x14ac:dyDescent="0.25">
      <c r="A221" s="44">
        <v>45407</v>
      </c>
      <c r="B221" s="11" t="s">
        <v>56</v>
      </c>
      <c r="C221" s="31">
        <v>0.77083333333333337</v>
      </c>
      <c r="D221" s="31">
        <v>0.9375</v>
      </c>
      <c r="E221" s="30">
        <f t="shared" si="3"/>
        <v>3.9999999999999991</v>
      </c>
      <c r="F221" s="38"/>
    </row>
    <row r="222" spans="1:6" x14ac:dyDescent="0.25">
      <c r="A222" s="44">
        <v>45408</v>
      </c>
      <c r="B222" s="11" t="s">
        <v>56</v>
      </c>
      <c r="C222" s="31">
        <v>0.375</v>
      </c>
      <c r="D222" s="31">
        <v>0.58333333333333337</v>
      </c>
      <c r="E222" s="30">
        <f t="shared" si="3"/>
        <v>5.0000000000000009</v>
      </c>
      <c r="F222" s="38"/>
    </row>
    <row r="223" spans="1:6" x14ac:dyDescent="0.25">
      <c r="A223" s="44">
        <v>45408</v>
      </c>
      <c r="B223" s="11" t="s">
        <v>56</v>
      </c>
      <c r="C223" s="31">
        <v>0.75</v>
      </c>
      <c r="D223" s="31">
        <v>0.95833333333333337</v>
      </c>
      <c r="E223" s="30">
        <f t="shared" si="3"/>
        <v>5.0000000000000009</v>
      </c>
      <c r="F223" s="38"/>
    </row>
    <row r="224" spans="1:6" x14ac:dyDescent="0.25">
      <c r="A224" s="44">
        <v>45409</v>
      </c>
      <c r="B224" s="11" t="s">
        <v>53</v>
      </c>
      <c r="C224" s="31">
        <v>0.35416666666666669</v>
      </c>
      <c r="D224" s="31">
        <v>0.625</v>
      </c>
      <c r="E224" s="30">
        <f t="shared" si="3"/>
        <v>6</v>
      </c>
      <c r="F224" s="38">
        <v>0.5</v>
      </c>
    </row>
    <row r="225" spans="1:7" x14ac:dyDescent="0.25">
      <c r="A225" s="44">
        <v>45409</v>
      </c>
      <c r="B225" s="11" t="s">
        <v>56</v>
      </c>
      <c r="C225" s="31">
        <v>0.375</v>
      </c>
      <c r="D225" s="31">
        <v>0.54166666666666663</v>
      </c>
      <c r="E225" s="30">
        <f t="shared" si="3"/>
        <v>3.9999999999999991</v>
      </c>
      <c r="F225" s="38"/>
    </row>
    <row r="226" spans="1:7" x14ac:dyDescent="0.25">
      <c r="A226" s="44">
        <v>45409</v>
      </c>
      <c r="B226" s="11" t="s">
        <v>46</v>
      </c>
      <c r="C226" s="31">
        <v>0.375</v>
      </c>
      <c r="D226" s="31">
        <v>0.70833333333333337</v>
      </c>
      <c r="E226" s="30">
        <f t="shared" si="3"/>
        <v>7.5</v>
      </c>
      <c r="F226" s="38">
        <v>0.5</v>
      </c>
    </row>
    <row r="227" spans="1:7" x14ac:dyDescent="0.25">
      <c r="A227" s="44">
        <v>45409</v>
      </c>
      <c r="B227" s="11" t="s">
        <v>56</v>
      </c>
      <c r="C227" s="31">
        <v>0.5</v>
      </c>
      <c r="D227" s="31">
        <v>0.75</v>
      </c>
      <c r="E227" s="30">
        <f t="shared" si="3"/>
        <v>5.5</v>
      </c>
      <c r="F227" s="38">
        <v>0.5</v>
      </c>
    </row>
    <row r="228" spans="1:7" x14ac:dyDescent="0.25">
      <c r="A228" s="44">
        <v>45409</v>
      </c>
      <c r="B228" s="11" t="s">
        <v>48</v>
      </c>
      <c r="C228" s="31">
        <v>0.625</v>
      </c>
      <c r="D228" s="31">
        <v>0.75</v>
      </c>
      <c r="E228" s="30">
        <f t="shared" si="3"/>
        <v>3</v>
      </c>
      <c r="F228" s="38"/>
    </row>
    <row r="229" spans="1:7" x14ac:dyDescent="0.25">
      <c r="A229" s="44">
        <v>45410</v>
      </c>
      <c r="B229" s="11" t="s">
        <v>53</v>
      </c>
      <c r="C229" s="31">
        <v>0.5</v>
      </c>
      <c r="D229" s="31">
        <v>0.79166666666666663</v>
      </c>
      <c r="E229" s="30">
        <f t="shared" si="3"/>
        <v>6.4999999999999991</v>
      </c>
      <c r="F229" s="38">
        <v>0.5</v>
      </c>
    </row>
    <row r="230" spans="1:7" x14ac:dyDescent="0.25">
      <c r="A230" s="44">
        <v>45410</v>
      </c>
      <c r="B230" s="11" t="s">
        <v>58</v>
      </c>
      <c r="C230" s="31">
        <v>0.625</v>
      </c>
      <c r="D230" s="31">
        <v>0.83333333333333337</v>
      </c>
      <c r="E230" s="30">
        <f t="shared" si="3"/>
        <v>5.0000000000000009</v>
      </c>
      <c r="F230" s="38"/>
    </row>
    <row r="231" spans="1:7" x14ac:dyDescent="0.25">
      <c r="A231" s="44">
        <v>45411</v>
      </c>
      <c r="B231" s="11" t="s">
        <v>56</v>
      </c>
      <c r="C231" s="31">
        <v>0.33333333333333331</v>
      </c>
      <c r="D231" s="31">
        <v>0.58333333333333337</v>
      </c>
      <c r="E231" s="30">
        <f t="shared" si="3"/>
        <v>5.5000000000000018</v>
      </c>
      <c r="F231" s="38">
        <v>0.5</v>
      </c>
    </row>
    <row r="232" spans="1:7" x14ac:dyDescent="0.25">
      <c r="A232" s="44">
        <v>45412</v>
      </c>
      <c r="B232" s="11" t="s">
        <v>56</v>
      </c>
      <c r="C232" s="31">
        <v>0.33333333333333331</v>
      </c>
      <c r="D232" s="31">
        <v>0.54166666666666663</v>
      </c>
      <c r="E232" s="30">
        <f t="shared" si="3"/>
        <v>5</v>
      </c>
      <c r="F232" s="38"/>
    </row>
    <row r="233" spans="1:7" x14ac:dyDescent="0.25">
      <c r="A233" s="44">
        <v>45413</v>
      </c>
      <c r="B233" s="11" t="s">
        <v>56</v>
      </c>
      <c r="C233" s="31">
        <v>0.33333333333333331</v>
      </c>
      <c r="D233" s="31">
        <v>0.58333333333333337</v>
      </c>
      <c r="E233" s="30">
        <f t="shared" si="3"/>
        <v>5.5000000000000018</v>
      </c>
      <c r="F233" s="38">
        <v>0.5</v>
      </c>
      <c r="G233" s="12">
        <f>SUM(E:E)</f>
        <v>4285.5</v>
      </c>
    </row>
    <row r="234" spans="1:7" x14ac:dyDescent="0.25">
      <c r="A234" s="44">
        <v>45413</v>
      </c>
      <c r="B234" s="11" t="s">
        <v>49</v>
      </c>
      <c r="C234" s="31">
        <v>0.6875</v>
      </c>
      <c r="D234" s="31">
        <v>0.875</v>
      </c>
      <c r="E234" s="30">
        <f t="shared" ref="E234:E295" si="4">MOD((D234-C234),1) *24 - F234</f>
        <v>4.5</v>
      </c>
      <c r="F234" s="38"/>
    </row>
    <row r="235" spans="1:7" x14ac:dyDescent="0.25">
      <c r="A235" s="44">
        <v>45414</v>
      </c>
      <c r="B235" s="11" t="s">
        <v>56</v>
      </c>
      <c r="C235" s="31">
        <v>0.77083333333333337</v>
      </c>
      <c r="D235" s="31">
        <v>0.9375</v>
      </c>
      <c r="E235" s="30">
        <f t="shared" si="4"/>
        <v>3.9999999999999991</v>
      </c>
      <c r="F235" s="38"/>
    </row>
    <row r="236" spans="1:7" x14ac:dyDescent="0.25">
      <c r="A236" s="44">
        <v>45414</v>
      </c>
      <c r="B236" s="11" t="s">
        <v>56</v>
      </c>
      <c r="C236" s="31">
        <v>0.33333333333333331</v>
      </c>
      <c r="D236" s="31">
        <v>0.58333333333333337</v>
      </c>
      <c r="E236" s="30">
        <f t="shared" si="4"/>
        <v>5.5000000000000018</v>
      </c>
      <c r="F236" s="38">
        <v>0.5</v>
      </c>
    </row>
    <row r="237" spans="1:7" x14ac:dyDescent="0.25">
      <c r="A237" s="44">
        <v>45415</v>
      </c>
      <c r="B237" s="11" t="s">
        <v>56</v>
      </c>
      <c r="C237" s="31">
        <v>0.33333333333333331</v>
      </c>
      <c r="D237" s="31">
        <v>0.58333333333333337</v>
      </c>
      <c r="E237" s="30">
        <f t="shared" si="4"/>
        <v>5.5000000000000018</v>
      </c>
      <c r="F237" s="38">
        <v>0.5</v>
      </c>
    </row>
    <row r="238" spans="1:7" x14ac:dyDescent="0.25">
      <c r="A238" s="44">
        <v>45416</v>
      </c>
      <c r="B238" s="11" t="s">
        <v>56</v>
      </c>
      <c r="C238" s="31">
        <v>0.52083333333333337</v>
      </c>
      <c r="D238" s="31">
        <v>0.75</v>
      </c>
      <c r="E238" s="30">
        <f t="shared" si="4"/>
        <v>5.4999999999999991</v>
      </c>
      <c r="F238" s="38"/>
    </row>
    <row r="239" spans="1:7" x14ac:dyDescent="0.25">
      <c r="A239" s="44">
        <v>45416</v>
      </c>
      <c r="B239" s="11" t="s">
        <v>58</v>
      </c>
      <c r="C239" s="31">
        <v>0.625</v>
      </c>
      <c r="D239" s="31">
        <v>0.875</v>
      </c>
      <c r="E239" s="30">
        <f t="shared" si="4"/>
        <v>5.5</v>
      </c>
      <c r="F239" s="38">
        <v>0.5</v>
      </c>
    </row>
    <row r="240" spans="1:7" x14ac:dyDescent="0.25">
      <c r="A240" s="44">
        <v>45416</v>
      </c>
      <c r="B240" s="11" t="s">
        <v>53</v>
      </c>
      <c r="C240" s="31">
        <v>0.625</v>
      </c>
      <c r="D240" s="31">
        <v>0.83333333333333337</v>
      </c>
      <c r="E240" s="30">
        <f t="shared" si="4"/>
        <v>5.0000000000000009</v>
      </c>
      <c r="F240" s="38"/>
    </row>
    <row r="241" spans="1:6" x14ac:dyDescent="0.25">
      <c r="A241" s="44">
        <v>45418</v>
      </c>
      <c r="B241" s="11" t="s">
        <v>56</v>
      </c>
      <c r="C241" s="31">
        <v>0.33333333333333331</v>
      </c>
      <c r="D241" s="31">
        <v>0.58333333333333337</v>
      </c>
      <c r="E241" s="30">
        <f t="shared" si="4"/>
        <v>5.5000000000000018</v>
      </c>
      <c r="F241" s="38">
        <v>0.5</v>
      </c>
    </row>
    <row r="242" spans="1:6" x14ac:dyDescent="0.25">
      <c r="A242" s="44">
        <v>45419</v>
      </c>
      <c r="B242" s="11" t="s">
        <v>56</v>
      </c>
      <c r="C242" s="31">
        <v>0.375</v>
      </c>
      <c r="D242" s="19">
        <v>0.5625</v>
      </c>
      <c r="E242" s="30">
        <f t="shared" si="4"/>
        <v>4.5</v>
      </c>
      <c r="F242" s="38"/>
    </row>
    <row r="243" spans="1:6" x14ac:dyDescent="0.25">
      <c r="A243" s="44">
        <v>45420</v>
      </c>
      <c r="B243" s="11" t="s">
        <v>56</v>
      </c>
      <c r="C243" s="31">
        <v>0.33333333333333331</v>
      </c>
      <c r="D243" s="31">
        <v>0.54166666666666663</v>
      </c>
      <c r="E243" s="30">
        <f t="shared" si="4"/>
        <v>5</v>
      </c>
      <c r="F243" s="38"/>
    </row>
    <row r="244" spans="1:6" x14ac:dyDescent="0.25">
      <c r="A244" s="44">
        <v>45420</v>
      </c>
      <c r="B244" s="11" t="s">
        <v>56</v>
      </c>
      <c r="C244" s="31">
        <v>0.66666666666666663</v>
      </c>
      <c r="D244" s="19">
        <v>0.72916666666666663</v>
      </c>
      <c r="E244" s="30">
        <f t="shared" si="4"/>
        <v>1.5</v>
      </c>
      <c r="F244" s="38"/>
    </row>
    <row r="245" spans="1:6" x14ac:dyDescent="0.25">
      <c r="A245" s="44">
        <v>45420</v>
      </c>
      <c r="B245" s="11" t="s">
        <v>49</v>
      </c>
      <c r="C245" s="31">
        <v>0.6875</v>
      </c>
      <c r="D245" s="31">
        <v>0.875</v>
      </c>
      <c r="E245" s="30">
        <f t="shared" si="4"/>
        <v>4.5</v>
      </c>
      <c r="F245" s="38"/>
    </row>
    <row r="246" spans="1:6" x14ac:dyDescent="0.25">
      <c r="A246" s="44">
        <v>45421</v>
      </c>
      <c r="B246" s="11" t="s">
        <v>49</v>
      </c>
      <c r="C246" s="31">
        <v>0.77083333333333337</v>
      </c>
      <c r="D246" s="31">
        <v>0.95833333333333337</v>
      </c>
      <c r="E246" s="30">
        <f t="shared" si="4"/>
        <v>4.5</v>
      </c>
      <c r="F246" s="38"/>
    </row>
    <row r="247" spans="1:6" x14ac:dyDescent="0.25">
      <c r="A247" s="44">
        <v>45421</v>
      </c>
      <c r="B247" s="11" t="s">
        <v>56</v>
      </c>
      <c r="C247" s="31">
        <v>0.33333333333333331</v>
      </c>
      <c r="D247" s="31">
        <v>0.58333333333333337</v>
      </c>
      <c r="E247" s="30">
        <f t="shared" si="4"/>
        <v>5.5000000000000018</v>
      </c>
      <c r="F247" s="38">
        <v>0.5</v>
      </c>
    </row>
    <row r="248" spans="1:6" x14ac:dyDescent="0.25">
      <c r="A248" s="44">
        <v>45421</v>
      </c>
      <c r="B248" s="11" t="s">
        <v>56</v>
      </c>
      <c r="C248" s="31">
        <v>0.77083333333333337</v>
      </c>
      <c r="D248" s="31">
        <v>0.9375</v>
      </c>
      <c r="E248" s="30">
        <f t="shared" si="4"/>
        <v>3.9999999999999991</v>
      </c>
      <c r="F248" s="38"/>
    </row>
    <row r="249" spans="1:6" x14ac:dyDescent="0.25">
      <c r="A249" s="44">
        <v>45422</v>
      </c>
      <c r="B249" s="11" t="s">
        <v>49</v>
      </c>
      <c r="C249" s="31">
        <v>0.75</v>
      </c>
      <c r="D249" s="31">
        <v>0.97916666666666663</v>
      </c>
      <c r="E249" s="30">
        <f t="shared" si="4"/>
        <v>4.9999999999999991</v>
      </c>
      <c r="F249" s="38">
        <v>0.5</v>
      </c>
    </row>
    <row r="250" spans="1:6" x14ac:dyDescent="0.25">
      <c r="A250" s="44">
        <v>45422</v>
      </c>
      <c r="B250" s="11" t="s">
        <v>56</v>
      </c>
      <c r="C250" s="31">
        <v>0.33333333333333331</v>
      </c>
      <c r="D250" s="31">
        <v>0.58333333333333337</v>
      </c>
      <c r="E250" s="30">
        <f t="shared" si="4"/>
        <v>5.5000000000000018</v>
      </c>
      <c r="F250" s="38">
        <v>0.5</v>
      </c>
    </row>
    <row r="251" spans="1:6" x14ac:dyDescent="0.25">
      <c r="A251" s="44">
        <v>45423</v>
      </c>
      <c r="B251" s="11" t="s">
        <v>53</v>
      </c>
      <c r="C251" s="31">
        <v>0.52083333333333337</v>
      </c>
      <c r="D251" s="31">
        <v>0.6875</v>
      </c>
      <c r="E251" s="30">
        <f t="shared" si="4"/>
        <v>3.9999999999999991</v>
      </c>
      <c r="F251" s="38"/>
    </row>
    <row r="252" spans="1:6" x14ac:dyDescent="0.25">
      <c r="A252" s="44">
        <v>45423</v>
      </c>
      <c r="B252" s="11" t="s">
        <v>58</v>
      </c>
      <c r="C252" s="31">
        <v>0.58333333333333337</v>
      </c>
      <c r="D252" s="31">
        <v>0.85416666666666663</v>
      </c>
      <c r="E252" s="30">
        <f t="shared" si="4"/>
        <v>5.9999999999999982</v>
      </c>
      <c r="F252" s="38">
        <v>0.5</v>
      </c>
    </row>
    <row r="253" spans="1:6" x14ac:dyDescent="0.25">
      <c r="A253" s="44">
        <v>45423</v>
      </c>
      <c r="B253" s="11" t="s">
        <v>53</v>
      </c>
      <c r="C253" s="31">
        <v>0.3125</v>
      </c>
      <c r="D253" s="31">
        <v>0.52083333333333337</v>
      </c>
      <c r="E253" s="30">
        <f t="shared" si="4"/>
        <v>5.0000000000000009</v>
      </c>
      <c r="F253" s="38"/>
    </row>
    <row r="254" spans="1:6" x14ac:dyDescent="0.25">
      <c r="A254" s="44">
        <v>45423</v>
      </c>
      <c r="B254" s="11" t="s">
        <v>46</v>
      </c>
      <c r="C254" s="31">
        <v>0.41666666666666669</v>
      </c>
      <c r="D254" s="31">
        <v>0.70833333333333337</v>
      </c>
      <c r="E254" s="30">
        <f t="shared" si="4"/>
        <v>6.5</v>
      </c>
      <c r="F254" s="38">
        <v>0.5</v>
      </c>
    </row>
    <row r="255" spans="1:6" x14ac:dyDescent="0.25">
      <c r="A255" s="44">
        <v>45424</v>
      </c>
      <c r="B255" s="11" t="s">
        <v>49</v>
      </c>
      <c r="C255" s="31">
        <v>0.625</v>
      </c>
      <c r="D255" s="31">
        <v>0.79166666666666663</v>
      </c>
      <c r="E255" s="30">
        <f t="shared" si="4"/>
        <v>3.9999999999999991</v>
      </c>
      <c r="F255" s="38"/>
    </row>
    <row r="256" spans="1:6" x14ac:dyDescent="0.25">
      <c r="A256" s="44">
        <v>45425</v>
      </c>
      <c r="B256" s="11" t="s">
        <v>56</v>
      </c>
      <c r="C256" s="31">
        <v>0.33333333333333331</v>
      </c>
      <c r="D256" s="31">
        <v>0.58333333333333337</v>
      </c>
      <c r="E256" s="30">
        <f t="shared" si="4"/>
        <v>5.5000000000000018</v>
      </c>
      <c r="F256" s="38">
        <v>0.5</v>
      </c>
    </row>
    <row r="257" spans="1:6" x14ac:dyDescent="0.25">
      <c r="A257" s="44">
        <v>45426</v>
      </c>
      <c r="B257" s="11" t="s">
        <v>56</v>
      </c>
      <c r="C257" s="31">
        <v>0.33333333333333331</v>
      </c>
      <c r="D257" s="31">
        <v>0.58333333333333337</v>
      </c>
      <c r="E257" s="30">
        <f t="shared" si="4"/>
        <v>5.5000000000000018</v>
      </c>
      <c r="F257" s="38">
        <v>0.5</v>
      </c>
    </row>
    <row r="258" spans="1:6" x14ac:dyDescent="0.25">
      <c r="A258" s="44">
        <v>45427</v>
      </c>
      <c r="B258" s="11" t="s">
        <v>56</v>
      </c>
      <c r="C258" s="31">
        <v>0.33333333333333331</v>
      </c>
      <c r="D258" s="31">
        <v>0.58333333333333337</v>
      </c>
      <c r="E258" s="30">
        <f t="shared" si="4"/>
        <v>5.5000000000000018</v>
      </c>
      <c r="F258" s="38">
        <v>0.5</v>
      </c>
    </row>
    <row r="259" spans="1:6" x14ac:dyDescent="0.25">
      <c r="A259" s="44">
        <v>45427</v>
      </c>
      <c r="B259" s="11" t="s">
        <v>56</v>
      </c>
      <c r="C259" s="31">
        <v>0.66666666666666663</v>
      </c>
      <c r="D259" s="31">
        <v>0.875</v>
      </c>
      <c r="E259" s="30">
        <f t="shared" si="4"/>
        <v>5.0000000000000009</v>
      </c>
      <c r="F259" s="38"/>
    </row>
    <row r="260" spans="1:6" x14ac:dyDescent="0.25">
      <c r="A260" s="44">
        <v>45427</v>
      </c>
      <c r="B260" s="11" t="s">
        <v>49</v>
      </c>
      <c r="C260" s="31">
        <v>0.6875</v>
      </c>
      <c r="D260" s="31">
        <v>0.875</v>
      </c>
      <c r="E260" s="30">
        <f t="shared" si="4"/>
        <v>4.5</v>
      </c>
      <c r="F260" s="38"/>
    </row>
    <row r="261" spans="1:6" x14ac:dyDescent="0.25">
      <c r="A261" s="44">
        <v>45428</v>
      </c>
      <c r="B261" s="11" t="s">
        <v>56</v>
      </c>
      <c r="C261" s="31">
        <v>0.33333333333333331</v>
      </c>
      <c r="D261" s="31">
        <v>0.58333333333333337</v>
      </c>
      <c r="E261" s="30">
        <f t="shared" si="4"/>
        <v>5.5000000000000018</v>
      </c>
      <c r="F261" s="38">
        <v>0.5</v>
      </c>
    </row>
    <row r="262" spans="1:6" x14ac:dyDescent="0.25">
      <c r="A262" s="44">
        <v>45428</v>
      </c>
      <c r="B262" s="11" t="s">
        <v>57</v>
      </c>
      <c r="C262" s="31">
        <v>0.29166666666666669</v>
      </c>
      <c r="D262" s="31">
        <v>0.45833333333333331</v>
      </c>
      <c r="E262" s="30">
        <f t="shared" si="4"/>
        <v>3.9999999999999991</v>
      </c>
      <c r="F262" s="38"/>
    </row>
    <row r="263" spans="1:6" x14ac:dyDescent="0.25">
      <c r="A263" s="44">
        <v>45428</v>
      </c>
      <c r="B263" s="11" t="s">
        <v>56</v>
      </c>
      <c r="C263" s="31">
        <v>0.75</v>
      </c>
      <c r="D263" s="31">
        <v>0.95833333333333337</v>
      </c>
      <c r="E263" s="30">
        <f t="shared" si="4"/>
        <v>5.0000000000000009</v>
      </c>
      <c r="F263" s="38"/>
    </row>
    <row r="264" spans="1:6" x14ac:dyDescent="0.25">
      <c r="A264" s="44">
        <v>45428</v>
      </c>
      <c r="B264" s="11" t="s">
        <v>44</v>
      </c>
      <c r="C264" s="31">
        <v>0.79166666666666663</v>
      </c>
      <c r="D264" s="31">
        <v>0.91666666666666663</v>
      </c>
      <c r="E264" s="30">
        <f t="shared" si="4"/>
        <v>3</v>
      </c>
      <c r="F264" s="38"/>
    </row>
    <row r="265" spans="1:6" x14ac:dyDescent="0.25">
      <c r="A265" s="44">
        <v>45429</v>
      </c>
      <c r="B265" s="11" t="s">
        <v>56</v>
      </c>
      <c r="C265" s="31">
        <v>0.375</v>
      </c>
      <c r="D265" s="31">
        <v>0.58333333333333337</v>
      </c>
      <c r="E265" s="30">
        <f t="shared" si="4"/>
        <v>5.0000000000000009</v>
      </c>
      <c r="F265" s="38"/>
    </row>
    <row r="266" spans="1:6" x14ac:dyDescent="0.25">
      <c r="A266" s="44">
        <v>45430</v>
      </c>
      <c r="B266" s="11" t="s">
        <v>58</v>
      </c>
      <c r="C266" s="28">
        <v>0.64583333333333337</v>
      </c>
      <c r="D266" s="31">
        <v>0.9375</v>
      </c>
      <c r="E266" s="30">
        <f t="shared" si="4"/>
        <v>6.4999999999999991</v>
      </c>
      <c r="F266" s="38">
        <v>0.5</v>
      </c>
    </row>
    <row r="267" spans="1:6" x14ac:dyDescent="0.25">
      <c r="A267" s="44">
        <v>45430</v>
      </c>
      <c r="B267" s="11" t="s">
        <v>56</v>
      </c>
      <c r="C267" s="28">
        <v>0.33333333333333331</v>
      </c>
      <c r="D267" s="31">
        <v>0.52083333333333337</v>
      </c>
      <c r="E267" s="30">
        <f t="shared" si="4"/>
        <v>4.5000000000000018</v>
      </c>
      <c r="F267" s="38"/>
    </row>
    <row r="268" spans="1:6" x14ac:dyDescent="0.25">
      <c r="A268" s="44">
        <v>45431</v>
      </c>
      <c r="B268" s="11" t="s">
        <v>48</v>
      </c>
      <c r="C268" s="28">
        <v>0.58333333333333337</v>
      </c>
      <c r="D268" s="31">
        <v>0.79166666666666663</v>
      </c>
      <c r="E268" s="30">
        <f t="shared" si="4"/>
        <v>4.9999999999999982</v>
      </c>
      <c r="F268" s="38"/>
    </row>
    <row r="269" spans="1:6" x14ac:dyDescent="0.25">
      <c r="A269" s="44">
        <v>45431</v>
      </c>
      <c r="B269" s="11" t="s">
        <v>58</v>
      </c>
      <c r="C269" s="28">
        <v>0.625</v>
      </c>
      <c r="D269" s="31">
        <v>0.9375</v>
      </c>
      <c r="E269" s="30">
        <f t="shared" si="4"/>
        <v>7</v>
      </c>
      <c r="F269" s="38">
        <v>0.5</v>
      </c>
    </row>
    <row r="270" spans="1:6" x14ac:dyDescent="0.25">
      <c r="A270" s="44">
        <v>45432</v>
      </c>
      <c r="B270" s="11" t="s">
        <v>56</v>
      </c>
      <c r="C270" s="28">
        <v>0.33333333333333331</v>
      </c>
      <c r="D270" s="31">
        <v>0.58333333333333337</v>
      </c>
      <c r="E270" s="30">
        <f t="shared" si="4"/>
        <v>5.5000000000000018</v>
      </c>
      <c r="F270" s="38">
        <v>0.5</v>
      </c>
    </row>
    <row r="271" spans="1:6" x14ac:dyDescent="0.25">
      <c r="A271" s="44">
        <v>45432</v>
      </c>
      <c r="B271" s="11" t="s">
        <v>58</v>
      </c>
      <c r="C271" s="28">
        <v>0.75</v>
      </c>
      <c r="D271" s="31">
        <v>0.89583333333333337</v>
      </c>
      <c r="E271" s="30">
        <f t="shared" si="4"/>
        <v>3.5000000000000009</v>
      </c>
      <c r="F271" s="38"/>
    </row>
    <row r="272" spans="1:6" x14ac:dyDescent="0.25">
      <c r="A272" s="44">
        <v>45433</v>
      </c>
      <c r="B272" s="11" t="s">
        <v>56</v>
      </c>
      <c r="C272" s="28">
        <v>0.33333333333333331</v>
      </c>
      <c r="D272" s="31">
        <v>0.58333333333333337</v>
      </c>
      <c r="E272" s="30">
        <f t="shared" si="4"/>
        <v>5.5000000000000018</v>
      </c>
      <c r="F272" s="38">
        <v>0.5</v>
      </c>
    </row>
    <row r="273" spans="1:6" x14ac:dyDescent="0.25">
      <c r="A273" s="44">
        <v>45434</v>
      </c>
      <c r="B273" s="11" t="s">
        <v>56</v>
      </c>
      <c r="C273" s="28">
        <v>0.6875</v>
      </c>
      <c r="D273" s="31">
        <v>0.875</v>
      </c>
      <c r="E273" s="30">
        <f t="shared" si="4"/>
        <v>4.5</v>
      </c>
      <c r="F273" s="38"/>
    </row>
    <row r="274" spans="1:6" x14ac:dyDescent="0.25">
      <c r="A274" s="44">
        <v>45434</v>
      </c>
      <c r="B274" s="11" t="s">
        <v>56</v>
      </c>
      <c r="C274" s="28">
        <v>0.33333333333333331</v>
      </c>
      <c r="D274" s="31">
        <v>0.54166666666666663</v>
      </c>
      <c r="E274" s="30">
        <f t="shared" si="4"/>
        <v>5</v>
      </c>
      <c r="F274" s="38"/>
    </row>
    <row r="275" spans="1:6" x14ac:dyDescent="0.25">
      <c r="A275" s="44">
        <v>45435</v>
      </c>
      <c r="B275" s="11" t="s">
        <v>56</v>
      </c>
      <c r="C275" s="28">
        <v>0.33333333333333331</v>
      </c>
      <c r="D275" s="31">
        <v>0.58333333333333337</v>
      </c>
      <c r="E275" s="30">
        <f t="shared" si="4"/>
        <v>5.5000000000000018</v>
      </c>
      <c r="F275" s="38">
        <v>0.5</v>
      </c>
    </row>
    <row r="276" spans="1:6" x14ac:dyDescent="0.25">
      <c r="A276" s="44">
        <v>45435</v>
      </c>
      <c r="B276" s="11" t="s">
        <v>56</v>
      </c>
      <c r="C276" s="28">
        <v>0.77083333333333337</v>
      </c>
      <c r="D276" s="31">
        <v>0.9375</v>
      </c>
      <c r="E276" s="30">
        <f t="shared" si="4"/>
        <v>3.9999999999999991</v>
      </c>
      <c r="F276" s="38"/>
    </row>
    <row r="277" spans="1:6" x14ac:dyDescent="0.25">
      <c r="A277" s="44">
        <v>45435</v>
      </c>
      <c r="B277" s="11" t="s">
        <v>51</v>
      </c>
      <c r="C277" s="28">
        <v>0.70833333333333337</v>
      </c>
      <c r="D277" s="31">
        <v>0.91666666666666663</v>
      </c>
      <c r="E277" s="30">
        <f t="shared" si="4"/>
        <v>4.4999999999999982</v>
      </c>
      <c r="F277" s="38">
        <v>0.5</v>
      </c>
    </row>
    <row r="278" spans="1:6" x14ac:dyDescent="0.25">
      <c r="A278" s="44">
        <v>45436</v>
      </c>
      <c r="B278" s="11" t="s">
        <v>56</v>
      </c>
      <c r="C278" s="28">
        <v>0.33333333333333331</v>
      </c>
      <c r="D278" s="31">
        <v>0.58333333333333337</v>
      </c>
      <c r="E278" s="30">
        <f t="shared" si="4"/>
        <v>5.5000000000000018</v>
      </c>
      <c r="F278" s="38">
        <v>0.5</v>
      </c>
    </row>
    <row r="279" spans="1:6" x14ac:dyDescent="0.25">
      <c r="A279" s="44">
        <v>45436</v>
      </c>
      <c r="B279" s="11" t="s">
        <v>51</v>
      </c>
      <c r="C279" s="28">
        <v>0.77083333333333337</v>
      </c>
      <c r="D279" s="31">
        <v>0.97916666666666663</v>
      </c>
      <c r="E279" s="30">
        <f t="shared" si="4"/>
        <v>4.9999999999999982</v>
      </c>
      <c r="F279" s="38"/>
    </row>
    <row r="280" spans="1:6" x14ac:dyDescent="0.25">
      <c r="A280" s="44">
        <v>45437</v>
      </c>
      <c r="B280" s="11" t="s">
        <v>58</v>
      </c>
      <c r="C280" s="28">
        <v>0.5</v>
      </c>
      <c r="D280" s="31">
        <v>0.89583333333333337</v>
      </c>
      <c r="E280" s="30">
        <f t="shared" si="4"/>
        <v>8.5</v>
      </c>
      <c r="F280" s="38">
        <v>1</v>
      </c>
    </row>
    <row r="281" spans="1:6" x14ac:dyDescent="0.25">
      <c r="A281" s="44">
        <v>45437</v>
      </c>
      <c r="B281" s="11" t="s">
        <v>53</v>
      </c>
      <c r="C281" s="28">
        <v>0.79166666666666663</v>
      </c>
      <c r="D281" s="31">
        <v>0.875</v>
      </c>
      <c r="E281" s="30">
        <f t="shared" si="4"/>
        <v>2.0000000000000009</v>
      </c>
      <c r="F281" s="38"/>
    </row>
    <row r="282" spans="1:6" x14ac:dyDescent="0.25">
      <c r="A282" s="44">
        <v>45437</v>
      </c>
      <c r="B282" s="11" t="s">
        <v>46</v>
      </c>
      <c r="C282" s="28">
        <v>0.52083333333333337</v>
      </c>
      <c r="D282" s="31">
        <v>0.79166666666666663</v>
      </c>
      <c r="E282" s="30">
        <f t="shared" si="4"/>
        <v>5.9999999999999982</v>
      </c>
      <c r="F282" s="38">
        <v>0.5</v>
      </c>
    </row>
    <row r="283" spans="1:6" x14ac:dyDescent="0.25">
      <c r="A283" s="44">
        <v>45438</v>
      </c>
      <c r="B283" s="11" t="s">
        <v>51</v>
      </c>
      <c r="C283" s="28">
        <v>0.66666666666666663</v>
      </c>
      <c r="D283" s="31">
        <v>0.95833333333333337</v>
      </c>
      <c r="E283" s="30">
        <f t="shared" si="4"/>
        <v>6.5000000000000018</v>
      </c>
      <c r="F283" s="38">
        <v>0.5</v>
      </c>
    </row>
    <row r="284" spans="1:6" x14ac:dyDescent="0.25">
      <c r="A284" s="44">
        <v>45440</v>
      </c>
      <c r="B284" s="11" t="s">
        <v>56</v>
      </c>
      <c r="C284" s="31">
        <v>0.33333333333333331</v>
      </c>
      <c r="D284" s="31">
        <v>0.58333333333333337</v>
      </c>
      <c r="E284" s="30">
        <f t="shared" si="4"/>
        <v>5.5000000000000018</v>
      </c>
      <c r="F284" s="38">
        <v>0.5</v>
      </c>
    </row>
    <row r="285" spans="1:6" x14ac:dyDescent="0.25">
      <c r="A285" s="44">
        <v>45441</v>
      </c>
      <c r="B285" s="11" t="s">
        <v>49</v>
      </c>
      <c r="C285" s="31">
        <v>0.6875</v>
      </c>
      <c r="D285" s="31">
        <v>0.875</v>
      </c>
      <c r="E285" s="30">
        <f t="shared" si="4"/>
        <v>4.5</v>
      </c>
      <c r="F285" s="38"/>
    </row>
    <row r="286" spans="1:6" x14ac:dyDescent="0.25">
      <c r="A286" s="44">
        <v>45442</v>
      </c>
      <c r="B286" s="11" t="s">
        <v>56</v>
      </c>
      <c r="C286" s="31">
        <v>0.75</v>
      </c>
      <c r="D286" s="31">
        <v>0.95833333333333337</v>
      </c>
      <c r="E286" s="30">
        <f t="shared" si="4"/>
        <v>5.0000000000000009</v>
      </c>
      <c r="F286" s="38"/>
    </row>
    <row r="287" spans="1:6" x14ac:dyDescent="0.25">
      <c r="A287" s="44">
        <v>45442</v>
      </c>
      <c r="B287" s="11" t="s">
        <v>44</v>
      </c>
      <c r="C287" s="31">
        <v>0.79166666666666663</v>
      </c>
      <c r="D287" s="31">
        <v>0.91666666666666663</v>
      </c>
      <c r="E287" s="30">
        <f t="shared" si="4"/>
        <v>3</v>
      </c>
      <c r="F287" s="38"/>
    </row>
    <row r="288" spans="1:6" x14ac:dyDescent="0.25">
      <c r="A288" s="44">
        <v>45442</v>
      </c>
      <c r="B288" s="11" t="s">
        <v>53</v>
      </c>
      <c r="C288" s="31">
        <v>0.64583333333333337</v>
      </c>
      <c r="D288" s="31">
        <v>0.91666666666666663</v>
      </c>
      <c r="E288" s="30">
        <f t="shared" si="4"/>
        <v>5.9999999999999982</v>
      </c>
      <c r="F288" s="38">
        <v>0.5</v>
      </c>
    </row>
    <row r="289" spans="1:7" x14ac:dyDescent="0.25">
      <c r="A289" s="44">
        <v>45442</v>
      </c>
      <c r="B289" s="11" t="s">
        <v>56</v>
      </c>
      <c r="C289" s="31">
        <v>0.375</v>
      </c>
      <c r="D289" s="31">
        <v>0.58333333333333337</v>
      </c>
      <c r="E289" s="30">
        <f t="shared" si="4"/>
        <v>5.0000000000000009</v>
      </c>
      <c r="F289" s="38"/>
    </row>
    <row r="290" spans="1:7" x14ac:dyDescent="0.25">
      <c r="A290" s="44">
        <v>45443</v>
      </c>
      <c r="B290" s="11" t="s">
        <v>56</v>
      </c>
      <c r="C290" s="31">
        <v>0.33333333333333331</v>
      </c>
      <c r="D290" s="31">
        <v>0.58333333333333337</v>
      </c>
      <c r="E290" s="30">
        <f t="shared" si="4"/>
        <v>5.5000000000000018</v>
      </c>
      <c r="F290" s="38">
        <v>0.5</v>
      </c>
    </row>
    <row r="291" spans="1:7" x14ac:dyDescent="0.25">
      <c r="A291" s="44">
        <v>45444</v>
      </c>
      <c r="B291" s="11" t="s">
        <v>53</v>
      </c>
      <c r="C291" s="31">
        <v>0.375</v>
      </c>
      <c r="D291" s="31">
        <v>0.54166666666666663</v>
      </c>
      <c r="E291" s="30">
        <f t="shared" si="4"/>
        <v>3.9999999999999991</v>
      </c>
      <c r="F291" s="38"/>
      <c r="G291" s="12">
        <f>SUM(E:E)</f>
        <v>4285.5</v>
      </c>
    </row>
    <row r="292" spans="1:7" x14ac:dyDescent="0.25">
      <c r="A292" s="44">
        <v>45444</v>
      </c>
      <c r="B292" s="11" t="s">
        <v>46</v>
      </c>
      <c r="C292" s="31">
        <v>0.375</v>
      </c>
      <c r="D292" s="31">
        <v>0.70833333333333337</v>
      </c>
      <c r="E292" s="30">
        <f t="shared" si="4"/>
        <v>7.5</v>
      </c>
      <c r="F292" s="38">
        <v>0.5</v>
      </c>
    </row>
    <row r="293" spans="1:7" x14ac:dyDescent="0.25">
      <c r="A293" s="44">
        <v>45444</v>
      </c>
      <c r="B293" s="11" t="s">
        <v>58</v>
      </c>
      <c r="C293" s="31">
        <v>0.54166666666666663</v>
      </c>
      <c r="D293" s="31">
        <v>0.875</v>
      </c>
      <c r="E293" s="30">
        <f t="shared" si="4"/>
        <v>7.5</v>
      </c>
      <c r="F293" s="38">
        <v>0.5</v>
      </c>
    </row>
    <row r="294" spans="1:7" x14ac:dyDescent="0.25">
      <c r="A294" s="44">
        <v>45444</v>
      </c>
      <c r="B294" s="11" t="s">
        <v>53</v>
      </c>
      <c r="C294" s="31">
        <v>0.66666666666666663</v>
      </c>
      <c r="D294" s="31">
        <v>0.875</v>
      </c>
      <c r="E294" s="30">
        <f t="shared" si="4"/>
        <v>5.0000000000000009</v>
      </c>
      <c r="F294" s="38"/>
    </row>
    <row r="295" spans="1:7" x14ac:dyDescent="0.25">
      <c r="A295" s="44">
        <v>45445</v>
      </c>
      <c r="B295" s="11" t="s">
        <v>53</v>
      </c>
      <c r="C295" s="31">
        <v>0.66666666666666663</v>
      </c>
      <c r="D295" s="31">
        <v>0.95833333333333337</v>
      </c>
      <c r="E295" s="30">
        <f t="shared" si="4"/>
        <v>6.5000000000000018</v>
      </c>
      <c r="F295" s="38">
        <v>0.5</v>
      </c>
    </row>
    <row r="296" spans="1:7" x14ac:dyDescent="0.25">
      <c r="A296" s="44">
        <v>45446</v>
      </c>
      <c r="B296" s="11" t="s">
        <v>56</v>
      </c>
      <c r="C296" s="31">
        <v>0.33333333333333331</v>
      </c>
      <c r="D296" s="31">
        <v>0.58333333333333337</v>
      </c>
      <c r="E296" s="30">
        <f t="shared" ref="E296:E359" si="5">MOD((D296-C296),1) *24 - F296</f>
        <v>5.5000000000000018</v>
      </c>
      <c r="F296" s="38">
        <v>0.5</v>
      </c>
    </row>
    <row r="297" spans="1:7" x14ac:dyDescent="0.25">
      <c r="A297" s="44">
        <v>45447</v>
      </c>
      <c r="B297" s="11" t="s">
        <v>56</v>
      </c>
      <c r="C297" s="31">
        <v>0.33333333333333331</v>
      </c>
      <c r="D297" s="31">
        <v>0.58333333333333337</v>
      </c>
      <c r="E297" s="30">
        <f t="shared" si="5"/>
        <v>5.5000000000000018</v>
      </c>
      <c r="F297" s="38">
        <v>0.5</v>
      </c>
    </row>
    <row r="298" spans="1:7" x14ac:dyDescent="0.25">
      <c r="A298" s="44">
        <v>45447</v>
      </c>
      <c r="B298" s="11" t="s">
        <v>53</v>
      </c>
      <c r="C298" s="31">
        <v>0.70833333333333337</v>
      </c>
      <c r="D298" s="31">
        <v>0.95833333333333337</v>
      </c>
      <c r="E298" s="30">
        <f t="shared" si="5"/>
        <v>5.5</v>
      </c>
      <c r="F298" s="38">
        <v>0.5</v>
      </c>
    </row>
    <row r="299" spans="1:7" x14ac:dyDescent="0.25">
      <c r="A299" s="44">
        <v>45448</v>
      </c>
      <c r="B299" s="11" t="s">
        <v>56</v>
      </c>
      <c r="C299" s="31">
        <v>0.33333333333333331</v>
      </c>
      <c r="D299" s="31">
        <v>0.58333333333333337</v>
      </c>
      <c r="E299" s="30">
        <f t="shared" si="5"/>
        <v>5.5000000000000018</v>
      </c>
      <c r="F299" s="38">
        <v>0.5</v>
      </c>
    </row>
    <row r="300" spans="1:7" x14ac:dyDescent="0.25">
      <c r="A300" s="44">
        <v>45448</v>
      </c>
      <c r="B300" s="11" t="s">
        <v>58</v>
      </c>
      <c r="C300" s="31">
        <v>0.66666666666666663</v>
      </c>
      <c r="D300" s="31">
        <v>0.875</v>
      </c>
      <c r="E300" s="30">
        <f t="shared" si="5"/>
        <v>5.0000000000000009</v>
      </c>
      <c r="F300" s="38"/>
    </row>
    <row r="301" spans="1:7" x14ac:dyDescent="0.25">
      <c r="A301" s="44">
        <v>45448</v>
      </c>
      <c r="B301" s="11" t="s">
        <v>49</v>
      </c>
      <c r="C301" s="31">
        <v>0.66666666666666663</v>
      </c>
      <c r="D301" s="31">
        <v>0.89583333333333337</v>
      </c>
      <c r="E301" s="30">
        <f t="shared" si="5"/>
        <v>5.5000000000000018</v>
      </c>
      <c r="F301" s="38"/>
    </row>
    <row r="302" spans="1:7" x14ac:dyDescent="0.25">
      <c r="A302" s="44">
        <v>45449</v>
      </c>
      <c r="B302" s="11" t="s">
        <v>53</v>
      </c>
      <c r="C302" s="31">
        <v>0.29166666666666669</v>
      </c>
      <c r="D302" s="31">
        <v>0.58333333333333337</v>
      </c>
      <c r="E302" s="30">
        <f t="shared" si="5"/>
        <v>6.5</v>
      </c>
      <c r="F302" s="38">
        <v>0.5</v>
      </c>
    </row>
    <row r="303" spans="1:7" x14ac:dyDescent="0.25">
      <c r="A303" s="44">
        <v>45449</v>
      </c>
      <c r="B303" s="11" t="s">
        <v>56</v>
      </c>
      <c r="C303" s="31">
        <v>0.33333333333333331</v>
      </c>
      <c r="D303" s="31">
        <v>0.58333333333333337</v>
      </c>
      <c r="E303" s="30">
        <f t="shared" si="5"/>
        <v>5.5000000000000018</v>
      </c>
      <c r="F303" s="38">
        <v>0.5</v>
      </c>
    </row>
    <row r="304" spans="1:7" x14ac:dyDescent="0.25">
      <c r="A304" s="44">
        <v>45449</v>
      </c>
      <c r="B304" s="11" t="s">
        <v>56</v>
      </c>
      <c r="C304" s="31">
        <v>0.75</v>
      </c>
      <c r="D304" s="31">
        <v>0.95833333333333337</v>
      </c>
      <c r="E304" s="30">
        <f t="shared" si="5"/>
        <v>5.0000000000000009</v>
      </c>
      <c r="F304" s="38"/>
    </row>
    <row r="305" spans="1:6" x14ac:dyDescent="0.25">
      <c r="A305" s="44">
        <v>45449</v>
      </c>
      <c r="B305" s="11" t="s">
        <v>49</v>
      </c>
      <c r="C305" s="31">
        <v>0.79166666666666663</v>
      </c>
      <c r="D305" s="31">
        <v>0.9375</v>
      </c>
      <c r="E305" s="30">
        <f t="shared" si="5"/>
        <v>3.5000000000000009</v>
      </c>
      <c r="F305" s="38"/>
    </row>
    <row r="306" spans="1:6" x14ac:dyDescent="0.25">
      <c r="A306" s="44">
        <v>45450</v>
      </c>
      <c r="B306" s="11" t="s">
        <v>56</v>
      </c>
      <c r="C306" s="31">
        <v>0.33333333333333331</v>
      </c>
      <c r="D306" s="31">
        <v>0.58333333333333337</v>
      </c>
      <c r="E306" s="30">
        <f t="shared" si="5"/>
        <v>5.5000000000000018</v>
      </c>
      <c r="F306" s="38">
        <v>0.5</v>
      </c>
    </row>
    <row r="307" spans="1:6" x14ac:dyDescent="0.25">
      <c r="A307" s="44">
        <v>45451</v>
      </c>
      <c r="B307" s="11" t="s">
        <v>56</v>
      </c>
      <c r="C307" s="31">
        <v>0.33333333333333331</v>
      </c>
      <c r="D307" s="31">
        <v>0.52083333333333337</v>
      </c>
      <c r="E307" s="30">
        <f t="shared" si="5"/>
        <v>4.5000000000000018</v>
      </c>
      <c r="F307" s="38"/>
    </row>
    <row r="308" spans="1:6" x14ac:dyDescent="0.25">
      <c r="A308" s="44">
        <v>45451</v>
      </c>
      <c r="B308" s="11" t="s">
        <v>53</v>
      </c>
      <c r="C308" s="31">
        <v>0.375</v>
      </c>
      <c r="D308" s="31">
        <v>0.83333333333333337</v>
      </c>
      <c r="E308" s="30">
        <f t="shared" si="5"/>
        <v>10</v>
      </c>
      <c r="F308" s="38">
        <v>1</v>
      </c>
    </row>
    <row r="309" spans="1:6" x14ac:dyDescent="0.25">
      <c r="A309" s="44">
        <v>45451</v>
      </c>
      <c r="B309" s="11" t="s">
        <v>58</v>
      </c>
      <c r="C309" s="31">
        <v>0.54166666666666663</v>
      </c>
      <c r="D309" s="31">
        <v>0.9375</v>
      </c>
      <c r="E309" s="30">
        <f t="shared" si="5"/>
        <v>8.5</v>
      </c>
      <c r="F309" s="38">
        <v>1</v>
      </c>
    </row>
    <row r="310" spans="1:6" x14ac:dyDescent="0.25">
      <c r="A310" s="44">
        <v>45452</v>
      </c>
      <c r="B310" s="11" t="s">
        <v>58</v>
      </c>
      <c r="C310" s="31">
        <v>0.47916666666666669</v>
      </c>
      <c r="D310" s="31">
        <v>0.77083333333333337</v>
      </c>
      <c r="E310" s="30">
        <f t="shared" si="5"/>
        <v>6.5</v>
      </c>
      <c r="F310" s="38">
        <v>0.5</v>
      </c>
    </row>
    <row r="311" spans="1:6" x14ac:dyDescent="0.25">
      <c r="A311" s="44">
        <v>45453</v>
      </c>
      <c r="B311" s="11" t="s">
        <v>56</v>
      </c>
      <c r="C311" s="31">
        <v>0.33333333333333331</v>
      </c>
      <c r="D311" s="31">
        <v>0.58333333333333337</v>
      </c>
      <c r="E311" s="30">
        <f t="shared" si="5"/>
        <v>5.5000000000000018</v>
      </c>
      <c r="F311" s="38">
        <v>0.5</v>
      </c>
    </row>
    <row r="312" spans="1:6" x14ac:dyDescent="0.25">
      <c r="A312" s="44">
        <v>45453</v>
      </c>
      <c r="B312" s="11" t="s">
        <v>44</v>
      </c>
      <c r="C312" s="31">
        <v>0.33333333333333331</v>
      </c>
      <c r="D312" s="31">
        <v>0.54166666666666663</v>
      </c>
      <c r="E312" s="30">
        <f t="shared" si="5"/>
        <v>5</v>
      </c>
      <c r="F312" s="38"/>
    </row>
    <row r="313" spans="1:6" x14ac:dyDescent="0.25">
      <c r="A313" s="44">
        <v>45453</v>
      </c>
      <c r="B313" s="11" t="s">
        <v>47</v>
      </c>
      <c r="C313" s="31">
        <v>0.52083333333333337</v>
      </c>
      <c r="D313" s="31">
        <v>0.6875</v>
      </c>
      <c r="E313" s="30">
        <f t="shared" si="5"/>
        <v>3.9999999999999991</v>
      </c>
      <c r="F313" s="38"/>
    </row>
    <row r="314" spans="1:6" x14ac:dyDescent="0.25">
      <c r="A314" s="44">
        <v>45454</v>
      </c>
      <c r="B314" s="11" t="s">
        <v>56</v>
      </c>
      <c r="C314" s="31">
        <v>0.33333333333333331</v>
      </c>
      <c r="D314" s="31">
        <v>0.58333333333333337</v>
      </c>
      <c r="E314" s="30">
        <f t="shared" si="5"/>
        <v>5.5000000000000018</v>
      </c>
      <c r="F314" s="38">
        <v>0.5</v>
      </c>
    </row>
    <row r="315" spans="1:6" x14ac:dyDescent="0.25">
      <c r="A315" s="44">
        <v>45454</v>
      </c>
      <c r="B315" s="11" t="s">
        <v>47</v>
      </c>
      <c r="C315" s="31">
        <v>0.52083333333333337</v>
      </c>
      <c r="D315" s="31">
        <v>0.6875</v>
      </c>
      <c r="E315" s="30">
        <f t="shared" si="5"/>
        <v>3.9999999999999991</v>
      </c>
      <c r="F315" s="38"/>
    </row>
    <row r="316" spans="1:6" x14ac:dyDescent="0.25">
      <c r="A316" s="44">
        <v>45455</v>
      </c>
      <c r="B316" s="11" t="s">
        <v>56</v>
      </c>
      <c r="C316" s="31">
        <v>0.33333333333333331</v>
      </c>
      <c r="D316" s="31">
        <v>0.58333333333333337</v>
      </c>
      <c r="E316" s="30">
        <f t="shared" si="5"/>
        <v>5.5000000000000018</v>
      </c>
      <c r="F316" s="38">
        <v>0.5</v>
      </c>
    </row>
    <row r="317" spans="1:6" x14ac:dyDescent="0.25">
      <c r="A317" s="44">
        <v>45455</v>
      </c>
      <c r="B317" s="11" t="s">
        <v>54</v>
      </c>
      <c r="C317" s="31">
        <v>0.5</v>
      </c>
      <c r="D317" s="31">
        <v>0.66666666666666663</v>
      </c>
      <c r="E317" s="30">
        <f t="shared" si="5"/>
        <v>3.9999999999999991</v>
      </c>
      <c r="F317" s="38"/>
    </row>
    <row r="318" spans="1:6" x14ac:dyDescent="0.25">
      <c r="A318" s="44">
        <v>45455</v>
      </c>
      <c r="B318" s="11" t="s">
        <v>47</v>
      </c>
      <c r="C318" s="31">
        <v>0.52083333333333337</v>
      </c>
      <c r="D318" s="31">
        <v>0.6875</v>
      </c>
      <c r="E318" s="30">
        <f t="shared" si="5"/>
        <v>3.9999999999999991</v>
      </c>
      <c r="F318" s="38"/>
    </row>
    <row r="319" spans="1:6" x14ac:dyDescent="0.25">
      <c r="A319" s="44">
        <v>45455</v>
      </c>
      <c r="B319" s="11" t="s">
        <v>49</v>
      </c>
      <c r="C319" s="31">
        <v>0.66666666666666663</v>
      </c>
      <c r="D319" s="31">
        <v>0.89583333333333337</v>
      </c>
      <c r="E319" s="30">
        <f t="shared" si="5"/>
        <v>5.5000000000000018</v>
      </c>
      <c r="F319" s="38"/>
    </row>
    <row r="320" spans="1:6" x14ac:dyDescent="0.25">
      <c r="A320" s="44">
        <v>45456</v>
      </c>
      <c r="B320" s="11" t="s">
        <v>56</v>
      </c>
      <c r="C320" s="31">
        <v>0.33333333333333331</v>
      </c>
      <c r="D320" s="31">
        <v>0.58333333333333337</v>
      </c>
      <c r="E320" s="30">
        <f t="shared" si="5"/>
        <v>5.5000000000000018</v>
      </c>
      <c r="F320" s="38">
        <v>0.5</v>
      </c>
    </row>
    <row r="321" spans="1:6" x14ac:dyDescent="0.25">
      <c r="A321" s="44">
        <v>45456</v>
      </c>
      <c r="B321" s="11" t="s">
        <v>47</v>
      </c>
      <c r="C321" s="31">
        <v>0.52083333333333337</v>
      </c>
      <c r="D321" s="31">
        <v>0.6875</v>
      </c>
      <c r="E321" s="30">
        <f t="shared" si="5"/>
        <v>3.9999999999999991</v>
      </c>
      <c r="F321" s="38"/>
    </row>
    <row r="322" spans="1:6" x14ac:dyDescent="0.25">
      <c r="A322" s="44">
        <v>45456</v>
      </c>
      <c r="B322" s="11" t="s">
        <v>49</v>
      </c>
      <c r="C322" s="31">
        <v>0.75</v>
      </c>
      <c r="D322" s="31">
        <v>0.9375</v>
      </c>
      <c r="E322" s="30">
        <f t="shared" si="5"/>
        <v>4.5</v>
      </c>
      <c r="F322" s="38"/>
    </row>
    <row r="323" spans="1:6" x14ac:dyDescent="0.25">
      <c r="A323" s="44">
        <v>45456</v>
      </c>
      <c r="B323" s="11" t="s">
        <v>56</v>
      </c>
      <c r="C323" s="31">
        <v>0.75</v>
      </c>
      <c r="D323" s="31">
        <v>0.95833333333333337</v>
      </c>
      <c r="E323" s="30">
        <f t="shared" si="5"/>
        <v>5.0000000000000009</v>
      </c>
      <c r="F323" s="38"/>
    </row>
    <row r="324" spans="1:6" x14ac:dyDescent="0.25">
      <c r="A324" s="44">
        <v>45457</v>
      </c>
      <c r="B324" s="11" t="s">
        <v>56</v>
      </c>
      <c r="C324" s="31">
        <v>0.33333333333333331</v>
      </c>
      <c r="D324" s="31">
        <v>0.58333333333333337</v>
      </c>
      <c r="E324" s="30">
        <f t="shared" si="5"/>
        <v>5.5000000000000018</v>
      </c>
      <c r="F324" s="38">
        <v>0.5</v>
      </c>
    </row>
    <row r="325" spans="1:6" x14ac:dyDescent="0.25">
      <c r="A325" s="44">
        <v>45457</v>
      </c>
      <c r="B325" s="11" t="s">
        <v>47</v>
      </c>
      <c r="C325" s="31">
        <v>0.52083333333333337</v>
      </c>
      <c r="D325" s="31">
        <v>0.6875</v>
      </c>
      <c r="E325" s="30">
        <f t="shared" si="5"/>
        <v>3.9999999999999991</v>
      </c>
      <c r="F325" s="38"/>
    </row>
    <row r="326" spans="1:6" x14ac:dyDescent="0.25">
      <c r="A326" s="44">
        <v>45457</v>
      </c>
      <c r="B326" s="11" t="s">
        <v>46</v>
      </c>
      <c r="C326" s="31">
        <v>0.58333333333333337</v>
      </c>
      <c r="D326" s="31">
        <v>0.95833333333333337</v>
      </c>
      <c r="E326" s="30">
        <f t="shared" si="5"/>
        <v>8</v>
      </c>
      <c r="F326" s="38">
        <v>1</v>
      </c>
    </row>
    <row r="327" spans="1:6" x14ac:dyDescent="0.25">
      <c r="A327" s="44">
        <v>45458</v>
      </c>
      <c r="B327" s="11" t="s">
        <v>56</v>
      </c>
      <c r="C327" s="31">
        <v>0.33333333333333331</v>
      </c>
      <c r="D327" s="31">
        <v>0.52083333333333337</v>
      </c>
      <c r="E327" s="30">
        <f t="shared" si="5"/>
        <v>4.5000000000000018</v>
      </c>
      <c r="F327" s="38"/>
    </row>
    <row r="328" spans="1:6" x14ac:dyDescent="0.25">
      <c r="A328" s="44">
        <v>45458</v>
      </c>
      <c r="B328" s="11" t="s">
        <v>50</v>
      </c>
      <c r="C328" s="31">
        <v>0.33333333333333331</v>
      </c>
      <c r="D328" s="31">
        <v>6.25E-2</v>
      </c>
      <c r="E328" s="30">
        <f t="shared" si="5"/>
        <v>16</v>
      </c>
      <c r="F328" s="38">
        <v>1.5</v>
      </c>
    </row>
    <row r="329" spans="1:6" x14ac:dyDescent="0.25">
      <c r="A329" s="44">
        <v>45458</v>
      </c>
      <c r="B329" s="11" t="s">
        <v>46</v>
      </c>
      <c r="C329" s="31">
        <v>0.58333333333333337</v>
      </c>
      <c r="D329" s="31">
        <v>0.95833333333333337</v>
      </c>
      <c r="E329" s="30">
        <f t="shared" si="5"/>
        <v>8</v>
      </c>
      <c r="F329" s="38">
        <v>1</v>
      </c>
    </row>
    <row r="330" spans="1:6" x14ac:dyDescent="0.25">
      <c r="A330" s="44">
        <v>45459</v>
      </c>
      <c r="B330" s="11" t="s">
        <v>46</v>
      </c>
      <c r="C330" s="31">
        <v>0.41666666666666669</v>
      </c>
      <c r="D330" s="31">
        <v>0.625</v>
      </c>
      <c r="E330" s="30">
        <f t="shared" si="5"/>
        <v>5</v>
      </c>
      <c r="F330" s="38"/>
    </row>
    <row r="331" spans="1:6" x14ac:dyDescent="0.25">
      <c r="A331" s="44">
        <v>45459</v>
      </c>
      <c r="B331" s="11" t="s">
        <v>53</v>
      </c>
      <c r="C331" s="31">
        <v>0.58333333333333337</v>
      </c>
      <c r="D331" s="31">
        <v>0.91666666666666663</v>
      </c>
      <c r="E331" s="30">
        <f t="shared" si="5"/>
        <v>7.4999999999999982</v>
      </c>
      <c r="F331" s="38">
        <v>0.5</v>
      </c>
    </row>
    <row r="332" spans="1:6" x14ac:dyDescent="0.25">
      <c r="A332" s="44">
        <v>45460</v>
      </c>
      <c r="B332" s="11" t="s">
        <v>56</v>
      </c>
      <c r="C332" s="31">
        <v>0.33333333333333331</v>
      </c>
      <c r="D332" s="31">
        <v>0.58333333333333337</v>
      </c>
      <c r="E332" s="30">
        <f t="shared" si="5"/>
        <v>5.5000000000000018</v>
      </c>
      <c r="F332" s="38">
        <v>0.5</v>
      </c>
    </row>
    <row r="333" spans="1:6" x14ac:dyDescent="0.25">
      <c r="A333" s="44">
        <v>45460</v>
      </c>
      <c r="B333" s="11" t="s">
        <v>47</v>
      </c>
      <c r="C333" s="31">
        <v>0.33333333333333331</v>
      </c>
      <c r="D333" s="31">
        <v>0.6875</v>
      </c>
      <c r="E333" s="30">
        <f t="shared" si="5"/>
        <v>8</v>
      </c>
      <c r="F333" s="38">
        <v>0.5</v>
      </c>
    </row>
    <row r="334" spans="1:6" x14ac:dyDescent="0.25">
      <c r="A334" s="44">
        <v>45461</v>
      </c>
      <c r="B334" s="11" t="s">
        <v>56</v>
      </c>
      <c r="C334" s="31">
        <v>0.33333333333333331</v>
      </c>
      <c r="D334" s="31">
        <v>0.58333333333333337</v>
      </c>
      <c r="E334" s="30">
        <f t="shared" si="5"/>
        <v>5.5000000000000018</v>
      </c>
      <c r="F334" s="38">
        <v>0.5</v>
      </c>
    </row>
    <row r="335" spans="1:6" x14ac:dyDescent="0.25">
      <c r="A335" s="44">
        <v>45461</v>
      </c>
      <c r="B335" s="11" t="s">
        <v>94</v>
      </c>
      <c r="C335" s="31">
        <v>0.5</v>
      </c>
      <c r="D335" s="31">
        <v>0.6875</v>
      </c>
      <c r="E335" s="30">
        <f t="shared" si="5"/>
        <v>4.5</v>
      </c>
      <c r="F335" s="38"/>
    </row>
    <row r="336" spans="1:6" x14ac:dyDescent="0.25">
      <c r="A336" s="44">
        <v>45462</v>
      </c>
      <c r="B336" s="11" t="s">
        <v>56</v>
      </c>
      <c r="C336" s="31">
        <v>0.33333333333333331</v>
      </c>
      <c r="D336" s="31">
        <v>0.58333333333333337</v>
      </c>
      <c r="E336" s="30">
        <f t="shared" si="5"/>
        <v>5.5000000000000018</v>
      </c>
      <c r="F336" s="38">
        <v>0.5</v>
      </c>
    </row>
    <row r="337" spans="1:6" x14ac:dyDescent="0.25">
      <c r="A337" s="44">
        <v>45462</v>
      </c>
      <c r="B337" s="11" t="s">
        <v>94</v>
      </c>
      <c r="C337" s="31">
        <v>0.5</v>
      </c>
      <c r="D337" s="31">
        <v>0.6875</v>
      </c>
      <c r="E337" s="30">
        <f t="shared" si="5"/>
        <v>4.5</v>
      </c>
      <c r="F337" s="38"/>
    </row>
    <row r="338" spans="1:6" x14ac:dyDescent="0.25">
      <c r="A338" s="44">
        <v>45462</v>
      </c>
      <c r="B338" s="11" t="s">
        <v>46</v>
      </c>
      <c r="C338" s="31">
        <v>0.66666666666666663</v>
      </c>
      <c r="D338" s="31">
        <v>0.91666666666666663</v>
      </c>
      <c r="E338" s="30">
        <f t="shared" si="5"/>
        <v>5.5</v>
      </c>
      <c r="F338" s="38">
        <v>0.5</v>
      </c>
    </row>
    <row r="339" spans="1:6" x14ac:dyDescent="0.25">
      <c r="A339" s="44">
        <v>45462</v>
      </c>
      <c r="B339" s="11" t="s">
        <v>58</v>
      </c>
      <c r="C339" s="31">
        <v>0.70833333333333337</v>
      </c>
      <c r="D339" s="31">
        <v>0.875</v>
      </c>
      <c r="E339" s="30">
        <f t="shared" si="5"/>
        <v>3.9999999999999991</v>
      </c>
      <c r="F339" s="38"/>
    </row>
    <row r="340" spans="1:6" x14ac:dyDescent="0.25">
      <c r="A340" s="44">
        <v>45463</v>
      </c>
      <c r="B340" s="11" t="s">
        <v>56</v>
      </c>
      <c r="C340" s="31">
        <v>0.33333333333333331</v>
      </c>
      <c r="D340" s="31">
        <v>0.58333333333333337</v>
      </c>
      <c r="E340" s="30">
        <f t="shared" si="5"/>
        <v>5.5000000000000018</v>
      </c>
      <c r="F340" s="38">
        <v>0.5</v>
      </c>
    </row>
    <row r="341" spans="1:6" x14ac:dyDescent="0.25">
      <c r="A341" s="44">
        <v>45463</v>
      </c>
      <c r="B341" s="11" t="s">
        <v>94</v>
      </c>
      <c r="C341" s="31">
        <v>0.5</v>
      </c>
      <c r="D341" s="31">
        <v>0.6875</v>
      </c>
      <c r="E341" s="30">
        <f t="shared" si="5"/>
        <v>4.5</v>
      </c>
      <c r="F341" s="38"/>
    </row>
    <row r="342" spans="1:6" x14ac:dyDescent="0.25">
      <c r="A342" s="44">
        <v>45463</v>
      </c>
      <c r="B342" s="11" t="s">
        <v>92</v>
      </c>
      <c r="C342" s="31">
        <v>0.75</v>
      </c>
      <c r="D342" s="31">
        <v>0.9375</v>
      </c>
      <c r="E342" s="30">
        <f t="shared" si="5"/>
        <v>4.5</v>
      </c>
      <c r="F342" s="38"/>
    </row>
    <row r="343" spans="1:6" x14ac:dyDescent="0.25">
      <c r="A343" s="44">
        <v>45463</v>
      </c>
      <c r="B343" s="11" t="s">
        <v>56</v>
      </c>
      <c r="C343" s="31">
        <v>0.75</v>
      </c>
      <c r="D343" s="31">
        <v>0.95833333333333337</v>
      </c>
      <c r="E343" s="30">
        <f t="shared" si="5"/>
        <v>5.0000000000000009</v>
      </c>
      <c r="F343" s="38"/>
    </row>
    <row r="344" spans="1:6" x14ac:dyDescent="0.25">
      <c r="A344" s="44">
        <v>45464</v>
      </c>
      <c r="B344" s="11" t="s">
        <v>56</v>
      </c>
      <c r="C344" s="31">
        <v>0.33333333333333331</v>
      </c>
      <c r="D344" s="31">
        <v>0.58333333333333337</v>
      </c>
      <c r="E344" s="30">
        <f t="shared" si="5"/>
        <v>5.5000000000000018</v>
      </c>
      <c r="F344" s="38">
        <v>0.5</v>
      </c>
    </row>
    <row r="345" spans="1:6" x14ac:dyDescent="0.25">
      <c r="A345" s="44">
        <v>45464</v>
      </c>
      <c r="B345" s="11" t="s">
        <v>94</v>
      </c>
      <c r="C345" s="31">
        <v>0.5</v>
      </c>
      <c r="D345" s="31">
        <v>0.6875</v>
      </c>
      <c r="E345" s="30">
        <f t="shared" si="5"/>
        <v>4.5</v>
      </c>
      <c r="F345" s="38"/>
    </row>
    <row r="346" spans="1:6" x14ac:dyDescent="0.25">
      <c r="A346" s="44">
        <v>45464</v>
      </c>
      <c r="B346" s="11" t="s">
        <v>53</v>
      </c>
      <c r="C346" s="31">
        <v>0.54166666666666663</v>
      </c>
      <c r="D346" s="31">
        <v>4.1666666666666664E-2</v>
      </c>
      <c r="E346" s="30">
        <f t="shared" si="5"/>
        <v>11</v>
      </c>
      <c r="F346" s="38">
        <v>1</v>
      </c>
    </row>
    <row r="347" spans="1:6" x14ac:dyDescent="0.25">
      <c r="A347" s="44">
        <v>45464</v>
      </c>
      <c r="B347" s="11" t="s">
        <v>58</v>
      </c>
      <c r="C347" s="31">
        <v>0.70833333333333337</v>
      </c>
      <c r="D347" s="31">
        <v>0.95833333333333337</v>
      </c>
      <c r="E347" s="30">
        <f t="shared" si="5"/>
        <v>5.5</v>
      </c>
      <c r="F347" s="38">
        <v>0.5</v>
      </c>
    </row>
    <row r="348" spans="1:6" x14ac:dyDescent="0.25">
      <c r="A348" s="44">
        <v>45465</v>
      </c>
      <c r="B348" s="11" t="s">
        <v>56</v>
      </c>
      <c r="C348" s="31">
        <v>0.33333333333333331</v>
      </c>
      <c r="D348" s="31">
        <v>0.52083333333333337</v>
      </c>
      <c r="E348" s="30">
        <f t="shared" si="5"/>
        <v>4.5000000000000018</v>
      </c>
      <c r="F348" s="38"/>
    </row>
    <row r="349" spans="1:6" x14ac:dyDescent="0.25">
      <c r="A349" s="44">
        <v>45465</v>
      </c>
      <c r="B349" s="11" t="s">
        <v>48</v>
      </c>
      <c r="C349" s="31">
        <v>0.35416666666666669</v>
      </c>
      <c r="D349" s="31">
        <v>0.70833333333333337</v>
      </c>
      <c r="E349" s="30">
        <f t="shared" si="5"/>
        <v>8</v>
      </c>
      <c r="F349" s="38">
        <v>0.5</v>
      </c>
    </row>
    <row r="350" spans="1:6" x14ac:dyDescent="0.25">
      <c r="A350" s="44">
        <v>45465</v>
      </c>
      <c r="B350" s="11" t="s">
        <v>50</v>
      </c>
      <c r="C350" s="31">
        <v>0.33333333333333331</v>
      </c>
      <c r="D350" s="31">
        <v>0.91666666666666663</v>
      </c>
      <c r="E350" s="30">
        <f t="shared" si="5"/>
        <v>12.999999999999998</v>
      </c>
      <c r="F350" s="38">
        <v>1</v>
      </c>
    </row>
    <row r="351" spans="1:6" x14ac:dyDescent="0.25">
      <c r="A351" s="44">
        <v>45465</v>
      </c>
      <c r="B351" s="11" t="s">
        <v>58</v>
      </c>
      <c r="C351" s="31">
        <v>0.58333333333333337</v>
      </c>
      <c r="D351" s="31">
        <v>0</v>
      </c>
      <c r="E351" s="30">
        <f t="shared" si="5"/>
        <v>9</v>
      </c>
      <c r="F351" s="38">
        <v>1</v>
      </c>
    </row>
    <row r="352" spans="1:6" x14ac:dyDescent="0.25">
      <c r="A352" s="44">
        <v>45465</v>
      </c>
      <c r="B352" s="11" t="s">
        <v>46</v>
      </c>
      <c r="C352" s="31">
        <v>0.45833333333333331</v>
      </c>
      <c r="D352" s="31">
        <v>0.875</v>
      </c>
      <c r="E352" s="30">
        <f t="shared" si="5"/>
        <v>9</v>
      </c>
      <c r="F352" s="38">
        <v>1</v>
      </c>
    </row>
    <row r="353" spans="1:6" x14ac:dyDescent="0.25">
      <c r="A353" s="44">
        <v>45466</v>
      </c>
      <c r="B353" s="11" t="s">
        <v>46</v>
      </c>
      <c r="C353" s="31">
        <v>0.45833333333333331</v>
      </c>
      <c r="D353" s="31">
        <v>0.75</v>
      </c>
      <c r="E353" s="30">
        <f t="shared" si="5"/>
        <v>6.5</v>
      </c>
      <c r="F353" s="38">
        <v>0.5</v>
      </c>
    </row>
    <row r="354" spans="1:6" x14ac:dyDescent="0.25">
      <c r="A354" s="44">
        <v>45466</v>
      </c>
      <c r="B354" s="11" t="s">
        <v>53</v>
      </c>
      <c r="C354" s="31">
        <v>0.58333333333333337</v>
      </c>
      <c r="D354" s="31">
        <v>0.91666666666666663</v>
      </c>
      <c r="E354" s="30">
        <f t="shared" si="5"/>
        <v>7.4999999999999982</v>
      </c>
      <c r="F354" s="38">
        <v>0.5</v>
      </c>
    </row>
    <row r="355" spans="1:6" x14ac:dyDescent="0.25">
      <c r="A355" s="44">
        <v>45467</v>
      </c>
      <c r="B355" s="11" t="s">
        <v>56</v>
      </c>
      <c r="C355" s="31">
        <v>0.33333333333333331</v>
      </c>
      <c r="D355" s="31">
        <v>0.58333333333333337</v>
      </c>
      <c r="E355" s="30">
        <f t="shared" si="5"/>
        <v>5.5000000000000018</v>
      </c>
      <c r="F355" s="38">
        <v>0.5</v>
      </c>
    </row>
    <row r="356" spans="1:6" x14ac:dyDescent="0.25">
      <c r="A356" s="44">
        <v>45467</v>
      </c>
      <c r="B356" s="11" t="s">
        <v>47</v>
      </c>
      <c r="C356" s="31">
        <v>0.33333333333333331</v>
      </c>
      <c r="D356" s="31">
        <v>0.6875</v>
      </c>
      <c r="E356" s="30">
        <f t="shared" si="5"/>
        <v>8</v>
      </c>
      <c r="F356" s="38">
        <v>0.5</v>
      </c>
    </row>
    <row r="357" spans="1:6" x14ac:dyDescent="0.25">
      <c r="A357" s="44">
        <v>45468</v>
      </c>
      <c r="B357" s="11" t="s">
        <v>56</v>
      </c>
      <c r="C357" s="31">
        <v>0.33333333333333331</v>
      </c>
      <c r="D357" s="31">
        <v>0.58333333333333337</v>
      </c>
      <c r="E357" s="30">
        <f t="shared" si="5"/>
        <v>5.5000000000000018</v>
      </c>
      <c r="F357" s="38">
        <v>0.5</v>
      </c>
    </row>
    <row r="358" spans="1:6" x14ac:dyDescent="0.25">
      <c r="A358" s="44">
        <v>45468</v>
      </c>
      <c r="B358" s="11" t="s">
        <v>47</v>
      </c>
      <c r="C358" s="31">
        <v>0.33333333333333331</v>
      </c>
      <c r="D358" s="31">
        <v>0.6875</v>
      </c>
      <c r="E358" s="30">
        <f t="shared" si="5"/>
        <v>8</v>
      </c>
      <c r="F358" s="38">
        <v>0.5</v>
      </c>
    </row>
    <row r="359" spans="1:6" x14ac:dyDescent="0.25">
      <c r="A359" s="44">
        <v>45469</v>
      </c>
      <c r="B359" s="11" t="s">
        <v>56</v>
      </c>
      <c r="C359" s="31">
        <v>0.33333333333333331</v>
      </c>
      <c r="D359" s="31">
        <v>0.58333333333333337</v>
      </c>
      <c r="E359" s="30">
        <f t="shared" si="5"/>
        <v>5.5000000000000018</v>
      </c>
      <c r="F359" s="38">
        <v>0.5</v>
      </c>
    </row>
    <row r="360" spans="1:6" x14ac:dyDescent="0.25">
      <c r="A360" s="44">
        <v>45469</v>
      </c>
      <c r="B360" s="11" t="s">
        <v>47</v>
      </c>
      <c r="C360" s="31">
        <v>0.33333333333333331</v>
      </c>
      <c r="D360" s="31">
        <v>0.6875</v>
      </c>
      <c r="E360" s="30">
        <f t="shared" ref="E360:E422" si="6">MOD((D360-C360),1) *24 - F360</f>
        <v>8</v>
      </c>
      <c r="F360" s="38">
        <v>0.5</v>
      </c>
    </row>
    <row r="361" spans="1:6" x14ac:dyDescent="0.25">
      <c r="A361" s="44">
        <v>45469</v>
      </c>
      <c r="B361" s="11" t="s">
        <v>49</v>
      </c>
      <c r="C361" s="31">
        <v>0.66666666666666663</v>
      </c>
      <c r="D361" s="31">
        <v>0.89583333333333337</v>
      </c>
      <c r="E361" s="30">
        <f t="shared" si="6"/>
        <v>5.5000000000000018</v>
      </c>
      <c r="F361" s="38"/>
    </row>
    <row r="362" spans="1:6" x14ac:dyDescent="0.25">
      <c r="A362" s="44">
        <v>45470</v>
      </c>
      <c r="B362" s="11" t="s">
        <v>56</v>
      </c>
      <c r="C362" s="31">
        <v>0.33333333333333331</v>
      </c>
      <c r="D362" s="31">
        <v>0.58333333333333337</v>
      </c>
      <c r="E362" s="30">
        <f t="shared" si="6"/>
        <v>5.5000000000000018</v>
      </c>
      <c r="F362" s="38">
        <v>0.5</v>
      </c>
    </row>
    <row r="363" spans="1:6" x14ac:dyDescent="0.25">
      <c r="A363" s="44">
        <v>45470</v>
      </c>
      <c r="B363" s="11" t="s">
        <v>94</v>
      </c>
      <c r="C363" s="31">
        <v>0.5</v>
      </c>
      <c r="D363" s="31">
        <v>0.6875</v>
      </c>
      <c r="E363" s="30">
        <f t="shared" si="6"/>
        <v>4.5</v>
      </c>
      <c r="F363" s="38"/>
    </row>
    <row r="364" spans="1:6" x14ac:dyDescent="0.25">
      <c r="A364" s="44">
        <v>45470</v>
      </c>
      <c r="B364" s="11" t="s">
        <v>49</v>
      </c>
      <c r="C364" s="31">
        <v>0.75</v>
      </c>
      <c r="D364" s="31">
        <v>0.9375</v>
      </c>
      <c r="E364" s="30">
        <f t="shared" si="6"/>
        <v>4.5</v>
      </c>
      <c r="F364" s="38"/>
    </row>
    <row r="365" spans="1:6" x14ac:dyDescent="0.25">
      <c r="A365" s="44">
        <v>45470</v>
      </c>
      <c r="B365" s="11" t="s">
        <v>56</v>
      </c>
      <c r="C365" s="31">
        <v>0.75</v>
      </c>
      <c r="D365" s="31">
        <v>0.95833333333333337</v>
      </c>
      <c r="E365" s="30">
        <f t="shared" si="6"/>
        <v>5.0000000000000009</v>
      </c>
      <c r="F365" s="38"/>
    </row>
    <row r="366" spans="1:6" x14ac:dyDescent="0.25">
      <c r="A366" s="44">
        <v>45471</v>
      </c>
      <c r="B366" s="11" t="s">
        <v>56</v>
      </c>
      <c r="C366" s="31">
        <v>0.33333333333333331</v>
      </c>
      <c r="D366" s="31">
        <v>0.58333333333333337</v>
      </c>
      <c r="E366" s="30">
        <f t="shared" si="6"/>
        <v>5.5000000000000018</v>
      </c>
      <c r="F366" s="38">
        <v>0.5</v>
      </c>
    </row>
    <row r="367" spans="1:6" x14ac:dyDescent="0.25">
      <c r="A367" s="44">
        <v>45471</v>
      </c>
      <c r="B367" s="11" t="s">
        <v>94</v>
      </c>
      <c r="C367" s="31">
        <v>0.5</v>
      </c>
      <c r="D367" s="31">
        <v>0.6875</v>
      </c>
      <c r="E367" s="30">
        <f t="shared" si="6"/>
        <v>4.5</v>
      </c>
      <c r="F367" s="38"/>
    </row>
    <row r="368" spans="1:6" x14ac:dyDescent="0.25">
      <c r="A368" s="44">
        <v>45472</v>
      </c>
      <c r="B368" s="11" t="s">
        <v>56</v>
      </c>
      <c r="C368" s="31">
        <v>0.33333333333333331</v>
      </c>
      <c r="D368" s="31">
        <v>0.52083333333333337</v>
      </c>
      <c r="E368" s="30">
        <f t="shared" si="6"/>
        <v>4.5000000000000018</v>
      </c>
      <c r="F368" s="38"/>
    </row>
    <row r="369" spans="1:7" x14ac:dyDescent="0.25">
      <c r="A369" s="44">
        <v>45472</v>
      </c>
      <c r="B369" s="11" t="s">
        <v>49</v>
      </c>
      <c r="C369" s="31">
        <v>0.33333333333333331</v>
      </c>
      <c r="D369" s="31">
        <v>0</v>
      </c>
      <c r="E369" s="30">
        <f t="shared" si="6"/>
        <v>15</v>
      </c>
      <c r="F369" s="38">
        <v>1</v>
      </c>
    </row>
    <row r="370" spans="1:7" x14ac:dyDescent="0.25">
      <c r="A370" s="44">
        <v>45472</v>
      </c>
      <c r="B370" s="11" t="s">
        <v>48</v>
      </c>
      <c r="C370" s="31">
        <v>0.35416666666666669</v>
      </c>
      <c r="D370" s="31">
        <v>0.6875</v>
      </c>
      <c r="E370" s="30">
        <f t="shared" si="6"/>
        <v>7.5</v>
      </c>
      <c r="F370" s="38">
        <v>0.5</v>
      </c>
    </row>
    <row r="371" spans="1:7" x14ac:dyDescent="0.25">
      <c r="A371" s="44">
        <v>45472</v>
      </c>
      <c r="B371" s="11" t="s">
        <v>58</v>
      </c>
      <c r="C371" s="31">
        <v>0.54166666666666663</v>
      </c>
      <c r="D371" s="31">
        <v>0.83333333333333337</v>
      </c>
      <c r="E371" s="30">
        <f t="shared" si="6"/>
        <v>6.5000000000000018</v>
      </c>
      <c r="F371" s="38">
        <v>0.5</v>
      </c>
    </row>
    <row r="372" spans="1:7" x14ac:dyDescent="0.25">
      <c r="A372" s="44">
        <v>45472</v>
      </c>
      <c r="B372" s="11" t="s">
        <v>46</v>
      </c>
      <c r="C372" s="31">
        <v>0.45833333333333331</v>
      </c>
      <c r="D372" s="31">
        <v>0.83333333333333337</v>
      </c>
      <c r="E372" s="30">
        <f t="shared" si="6"/>
        <v>8.0000000000000018</v>
      </c>
      <c r="F372" s="38">
        <v>1</v>
      </c>
    </row>
    <row r="373" spans="1:7" x14ac:dyDescent="0.25">
      <c r="A373" s="44">
        <v>45474</v>
      </c>
      <c r="B373" s="11" t="s">
        <v>56</v>
      </c>
      <c r="C373" s="31">
        <v>0.33333333333333331</v>
      </c>
      <c r="D373" s="31">
        <v>0.58333333333333337</v>
      </c>
      <c r="E373" s="30">
        <f t="shared" si="6"/>
        <v>5.5000000000000018</v>
      </c>
      <c r="F373" s="38">
        <v>0.5</v>
      </c>
      <c r="G373" s="12">
        <f>SUM(E:E)</f>
        <v>4285.5</v>
      </c>
    </row>
    <row r="374" spans="1:7" x14ac:dyDescent="0.25">
      <c r="A374" s="44">
        <v>45475</v>
      </c>
      <c r="B374" s="11" t="s">
        <v>56</v>
      </c>
      <c r="C374" s="31">
        <v>0.33333333333333331</v>
      </c>
      <c r="D374" s="31">
        <v>0.58333333333333337</v>
      </c>
      <c r="E374" s="30">
        <f t="shared" si="6"/>
        <v>5.5000000000000018</v>
      </c>
      <c r="F374" s="38">
        <v>0.5</v>
      </c>
    </row>
    <row r="375" spans="1:7" x14ac:dyDescent="0.25">
      <c r="A375" s="44">
        <v>45476</v>
      </c>
      <c r="B375" s="11" t="s">
        <v>49</v>
      </c>
      <c r="C375" s="31">
        <v>0.66666666666666663</v>
      </c>
      <c r="D375" s="31">
        <v>0.89583333333333337</v>
      </c>
      <c r="E375" s="30">
        <f t="shared" si="6"/>
        <v>5.0000000000000018</v>
      </c>
      <c r="F375" s="38">
        <v>0.5</v>
      </c>
    </row>
    <row r="376" spans="1:7" x14ac:dyDescent="0.25">
      <c r="A376" s="44">
        <v>45476</v>
      </c>
      <c r="B376" s="11" t="s">
        <v>56</v>
      </c>
      <c r="C376" s="31">
        <v>0.33333333333333331</v>
      </c>
      <c r="D376" s="31">
        <v>0.58333333333333337</v>
      </c>
      <c r="E376" s="30">
        <f t="shared" si="6"/>
        <v>5.5000000000000018</v>
      </c>
      <c r="F376" s="38">
        <v>0.5</v>
      </c>
    </row>
    <row r="377" spans="1:7" x14ac:dyDescent="0.25">
      <c r="A377" s="44">
        <v>45478</v>
      </c>
      <c r="B377" s="11" t="s">
        <v>56</v>
      </c>
      <c r="C377" s="31">
        <v>0.33333333333333331</v>
      </c>
      <c r="D377" s="31">
        <v>0.58333333333333337</v>
      </c>
      <c r="E377" s="30">
        <f t="shared" si="6"/>
        <v>5.5000000000000018</v>
      </c>
      <c r="F377" s="38">
        <v>0.5</v>
      </c>
    </row>
    <row r="378" spans="1:7" x14ac:dyDescent="0.25">
      <c r="A378" s="44">
        <v>45479</v>
      </c>
      <c r="B378" s="11" t="s">
        <v>53</v>
      </c>
      <c r="C378" s="31">
        <v>0.54166666666666663</v>
      </c>
      <c r="D378" s="31">
        <v>0.75</v>
      </c>
      <c r="E378" s="30">
        <f t="shared" si="6"/>
        <v>5.0000000000000009</v>
      </c>
      <c r="F378" s="38"/>
    </row>
    <row r="379" spans="1:7" x14ac:dyDescent="0.25">
      <c r="A379" s="44">
        <v>45479</v>
      </c>
      <c r="B379" s="11" t="s">
        <v>49</v>
      </c>
      <c r="C379" s="31">
        <v>0.32291666666666669</v>
      </c>
      <c r="D379" s="31">
        <v>0.54166666666666663</v>
      </c>
      <c r="E379" s="30">
        <f t="shared" si="6"/>
        <v>4.7499999999999982</v>
      </c>
      <c r="F379" s="38">
        <v>0.5</v>
      </c>
    </row>
    <row r="380" spans="1:7" x14ac:dyDescent="0.25">
      <c r="A380" s="44">
        <v>45479</v>
      </c>
      <c r="B380" s="11" t="s">
        <v>56</v>
      </c>
      <c r="C380" s="31">
        <v>0.33333333333333331</v>
      </c>
      <c r="D380" s="31">
        <v>0.54166666666666663</v>
      </c>
      <c r="E380" s="30">
        <f t="shared" si="6"/>
        <v>5</v>
      </c>
      <c r="F380" s="38"/>
    </row>
    <row r="381" spans="1:7" x14ac:dyDescent="0.25">
      <c r="A381" s="44">
        <v>45479</v>
      </c>
      <c r="B381" s="11" t="s">
        <v>53</v>
      </c>
      <c r="C381" s="31">
        <v>0.75</v>
      </c>
      <c r="D381" s="31">
        <v>0.9375</v>
      </c>
      <c r="E381" s="30">
        <f t="shared" si="6"/>
        <v>4.5</v>
      </c>
      <c r="F381" s="38"/>
    </row>
    <row r="382" spans="1:7" x14ac:dyDescent="0.25">
      <c r="A382" s="44">
        <v>45479</v>
      </c>
      <c r="B382" s="11" t="s">
        <v>58</v>
      </c>
      <c r="C382" s="31">
        <v>0.72916666666666663</v>
      </c>
      <c r="D382" s="19">
        <v>0.97916666666666663</v>
      </c>
      <c r="E382" s="30">
        <f t="shared" si="6"/>
        <v>5.5</v>
      </c>
      <c r="F382" s="38">
        <v>0.5</v>
      </c>
    </row>
    <row r="383" spans="1:7" x14ac:dyDescent="0.25">
      <c r="A383" s="44">
        <v>45480</v>
      </c>
      <c r="B383" s="11" t="s">
        <v>58</v>
      </c>
      <c r="C383" s="31">
        <v>0.5</v>
      </c>
      <c r="D383" s="19">
        <v>0.75</v>
      </c>
      <c r="E383" s="30">
        <f t="shared" si="6"/>
        <v>5.5</v>
      </c>
      <c r="F383" s="38">
        <v>0.5</v>
      </c>
    </row>
    <row r="384" spans="1:7" x14ac:dyDescent="0.25">
      <c r="A384" s="44">
        <v>45481</v>
      </c>
      <c r="B384" s="11" t="s">
        <v>56</v>
      </c>
      <c r="C384" s="31">
        <v>0.33333333333333331</v>
      </c>
      <c r="D384" s="31">
        <v>0.58333333333333337</v>
      </c>
      <c r="E384" s="30">
        <f t="shared" si="6"/>
        <v>5.5000000000000018</v>
      </c>
      <c r="F384" s="38">
        <v>0.5</v>
      </c>
    </row>
    <row r="385" spans="1:6" x14ac:dyDescent="0.25">
      <c r="A385" s="44">
        <v>45481</v>
      </c>
      <c r="B385" s="11" t="s">
        <v>49</v>
      </c>
      <c r="C385" s="31">
        <v>0.33333333333333331</v>
      </c>
      <c r="D385" s="31">
        <v>0.5</v>
      </c>
      <c r="E385" s="30">
        <f t="shared" si="6"/>
        <v>4</v>
      </c>
      <c r="F385" s="38"/>
    </row>
    <row r="386" spans="1:6" x14ac:dyDescent="0.25">
      <c r="A386" s="44">
        <v>45481</v>
      </c>
      <c r="B386" s="11" t="s">
        <v>47</v>
      </c>
      <c r="C386" s="31">
        <v>0.33333333333333331</v>
      </c>
      <c r="D386" s="19">
        <v>0.6875</v>
      </c>
      <c r="E386" s="30">
        <f t="shared" si="6"/>
        <v>8</v>
      </c>
      <c r="F386" s="38">
        <v>0.5</v>
      </c>
    </row>
    <row r="387" spans="1:6" x14ac:dyDescent="0.25">
      <c r="A387" s="44">
        <v>45482</v>
      </c>
      <c r="B387" s="11" t="s">
        <v>56</v>
      </c>
      <c r="C387" s="31">
        <v>0.33333333333333331</v>
      </c>
      <c r="D387" s="31">
        <v>0.58333333333333337</v>
      </c>
      <c r="E387" s="30">
        <f t="shared" si="6"/>
        <v>5.5000000000000018</v>
      </c>
      <c r="F387" s="38">
        <v>0.5</v>
      </c>
    </row>
    <row r="388" spans="1:6" x14ac:dyDescent="0.25">
      <c r="A388" s="44">
        <v>45483</v>
      </c>
      <c r="B388" s="11" t="s">
        <v>49</v>
      </c>
      <c r="C388" s="31">
        <v>0.66666666666666663</v>
      </c>
      <c r="D388" s="31">
        <v>0.89583333333333337</v>
      </c>
      <c r="E388" s="30">
        <f t="shared" si="6"/>
        <v>5.0000000000000018</v>
      </c>
      <c r="F388" s="38">
        <v>0.5</v>
      </c>
    </row>
    <row r="389" spans="1:6" x14ac:dyDescent="0.25">
      <c r="A389" s="44">
        <v>45483</v>
      </c>
      <c r="B389" s="11" t="s">
        <v>56</v>
      </c>
      <c r="C389" s="31">
        <v>0.33333333333333331</v>
      </c>
      <c r="D389" s="31">
        <v>0.58333333333333337</v>
      </c>
      <c r="E389" s="30">
        <f t="shared" si="6"/>
        <v>5.5000000000000018</v>
      </c>
      <c r="F389" s="38">
        <v>0.5</v>
      </c>
    </row>
    <row r="390" spans="1:6" x14ac:dyDescent="0.25">
      <c r="A390" s="44">
        <v>45484</v>
      </c>
      <c r="B390" s="11" t="s">
        <v>56</v>
      </c>
      <c r="C390" s="31">
        <v>0.33333333333333331</v>
      </c>
      <c r="D390" s="31">
        <v>0.58333333333333337</v>
      </c>
      <c r="E390" s="30">
        <f t="shared" si="6"/>
        <v>5.5000000000000018</v>
      </c>
      <c r="F390" s="38">
        <v>0.5</v>
      </c>
    </row>
    <row r="391" spans="1:6" x14ac:dyDescent="0.25">
      <c r="A391" s="44">
        <v>45484</v>
      </c>
      <c r="B391" s="11" t="s">
        <v>56</v>
      </c>
      <c r="C391" s="31">
        <v>0.75</v>
      </c>
      <c r="D391" s="31">
        <v>0.95833333333333337</v>
      </c>
      <c r="E391" s="30">
        <f t="shared" si="6"/>
        <v>5.0000000000000009</v>
      </c>
      <c r="F391" s="38"/>
    </row>
    <row r="392" spans="1:6" x14ac:dyDescent="0.25">
      <c r="A392" s="44">
        <v>45485</v>
      </c>
      <c r="B392" s="11" t="s">
        <v>56</v>
      </c>
      <c r="C392" s="31">
        <v>0.33333333333333331</v>
      </c>
      <c r="D392" s="31">
        <v>0.58333333333333337</v>
      </c>
      <c r="E392" s="30">
        <f t="shared" si="6"/>
        <v>5.5000000000000018</v>
      </c>
      <c r="F392" s="38">
        <v>0.5</v>
      </c>
    </row>
    <row r="393" spans="1:6" x14ac:dyDescent="0.25">
      <c r="A393" s="44">
        <v>45486</v>
      </c>
      <c r="B393" s="11" t="s">
        <v>48</v>
      </c>
      <c r="C393" s="31">
        <v>0.54166666666666663</v>
      </c>
      <c r="D393" s="31">
        <v>0.875</v>
      </c>
      <c r="E393" s="30">
        <f t="shared" si="6"/>
        <v>7.5</v>
      </c>
      <c r="F393" s="38">
        <v>0.5</v>
      </c>
    </row>
    <row r="394" spans="1:6" x14ac:dyDescent="0.25">
      <c r="A394" s="44">
        <v>45486</v>
      </c>
      <c r="B394" s="11" t="s">
        <v>49</v>
      </c>
      <c r="C394" s="31">
        <v>0.32291666666666669</v>
      </c>
      <c r="D394" s="31">
        <v>0.64583333333333337</v>
      </c>
      <c r="E394" s="30">
        <f t="shared" si="6"/>
        <v>7.25</v>
      </c>
      <c r="F394" s="38">
        <v>0.5</v>
      </c>
    </row>
    <row r="395" spans="1:6" x14ac:dyDescent="0.25">
      <c r="A395" s="44">
        <v>45486</v>
      </c>
      <c r="B395" s="11" t="s">
        <v>56</v>
      </c>
      <c r="C395" s="31">
        <v>0.33333333333333331</v>
      </c>
      <c r="D395" s="31">
        <v>0.54166666666666663</v>
      </c>
      <c r="E395" s="30">
        <f t="shared" si="6"/>
        <v>5</v>
      </c>
      <c r="F395" s="38"/>
    </row>
    <row r="396" spans="1:6" x14ac:dyDescent="0.25">
      <c r="A396" s="44">
        <v>45486</v>
      </c>
      <c r="B396" s="11" t="s">
        <v>53</v>
      </c>
      <c r="C396" s="31">
        <v>0.625</v>
      </c>
      <c r="D396" s="31">
        <v>0.79166666666666663</v>
      </c>
      <c r="E396" s="30">
        <f t="shared" si="6"/>
        <v>3.9999999999999991</v>
      </c>
      <c r="F396" s="38"/>
    </row>
    <row r="397" spans="1:6" x14ac:dyDescent="0.25">
      <c r="A397" s="44">
        <v>45486</v>
      </c>
      <c r="B397" s="11" t="s">
        <v>53</v>
      </c>
      <c r="C397" s="31">
        <v>0.79166666666666663</v>
      </c>
      <c r="D397" s="31">
        <v>0</v>
      </c>
      <c r="E397" s="30">
        <f t="shared" si="6"/>
        <v>5.0000000000000009</v>
      </c>
      <c r="F397" s="38"/>
    </row>
    <row r="398" spans="1:6" x14ac:dyDescent="0.25">
      <c r="A398" s="44">
        <v>45486</v>
      </c>
      <c r="B398" s="11" t="s">
        <v>46</v>
      </c>
      <c r="C398" s="31">
        <v>0.625</v>
      </c>
      <c r="D398" s="31">
        <v>0.91666666666666663</v>
      </c>
      <c r="E398" s="30">
        <f t="shared" si="6"/>
        <v>6.4999999999999991</v>
      </c>
      <c r="F398" s="38">
        <v>0.5</v>
      </c>
    </row>
    <row r="399" spans="1:6" x14ac:dyDescent="0.25">
      <c r="A399" s="44">
        <v>45486</v>
      </c>
      <c r="B399" s="11" t="s">
        <v>58</v>
      </c>
      <c r="C399" s="31">
        <v>0.54166666666666663</v>
      </c>
      <c r="D399" s="31">
        <v>0.875</v>
      </c>
      <c r="E399" s="30">
        <f t="shared" si="6"/>
        <v>7.5</v>
      </c>
      <c r="F399" s="38">
        <v>0.5</v>
      </c>
    </row>
    <row r="400" spans="1:6" x14ac:dyDescent="0.25">
      <c r="A400" s="44">
        <v>45487</v>
      </c>
      <c r="B400" s="11" t="s">
        <v>53</v>
      </c>
      <c r="C400" s="31">
        <v>0.29166666666666669</v>
      </c>
      <c r="D400" s="31">
        <v>0.45833333333333331</v>
      </c>
      <c r="E400" s="30">
        <f t="shared" si="6"/>
        <v>3.9999999999999991</v>
      </c>
      <c r="F400" s="38"/>
    </row>
    <row r="401" spans="1:6" x14ac:dyDescent="0.25">
      <c r="A401" s="44">
        <v>45487</v>
      </c>
      <c r="B401" s="11" t="s">
        <v>53</v>
      </c>
      <c r="C401" s="31">
        <v>0.45833333333333331</v>
      </c>
      <c r="D401" s="31">
        <v>0.75</v>
      </c>
      <c r="E401" s="30">
        <f t="shared" si="6"/>
        <v>6.5</v>
      </c>
      <c r="F401" s="38">
        <v>0.5</v>
      </c>
    </row>
    <row r="402" spans="1:6" x14ac:dyDescent="0.25">
      <c r="A402" s="44">
        <v>45487</v>
      </c>
      <c r="B402" s="11" t="s">
        <v>46</v>
      </c>
      <c r="C402" s="31">
        <v>0.29166666666666669</v>
      </c>
      <c r="D402" s="31">
        <v>0.66666666666666663</v>
      </c>
      <c r="E402" s="30">
        <f t="shared" si="6"/>
        <v>7.9999999999999982</v>
      </c>
      <c r="F402" s="38">
        <v>1</v>
      </c>
    </row>
    <row r="403" spans="1:6" x14ac:dyDescent="0.25">
      <c r="A403" s="44">
        <v>45488</v>
      </c>
      <c r="B403" s="11" t="s">
        <v>56</v>
      </c>
      <c r="C403" s="31">
        <v>0.33333333333333331</v>
      </c>
      <c r="D403" s="31">
        <v>0.58333333333333337</v>
      </c>
      <c r="E403" s="30">
        <f t="shared" si="6"/>
        <v>5.5000000000000018</v>
      </c>
      <c r="F403" s="38">
        <v>0.5</v>
      </c>
    </row>
    <row r="404" spans="1:6" x14ac:dyDescent="0.25">
      <c r="A404" s="44">
        <v>45489</v>
      </c>
      <c r="B404" s="11" t="s">
        <v>58</v>
      </c>
      <c r="C404" s="31">
        <v>0.70833333333333337</v>
      </c>
      <c r="D404" s="31">
        <v>0.91666666666666663</v>
      </c>
      <c r="E404" s="30">
        <f t="shared" si="6"/>
        <v>4.9999999999999982</v>
      </c>
      <c r="F404" s="38"/>
    </row>
    <row r="405" spans="1:6" x14ac:dyDescent="0.25">
      <c r="A405" s="44">
        <v>45489</v>
      </c>
      <c r="B405" s="11" t="s">
        <v>56</v>
      </c>
      <c r="C405" s="31">
        <v>0.33333333333333331</v>
      </c>
      <c r="D405" s="31">
        <v>0.58333333333333337</v>
      </c>
      <c r="E405" s="30">
        <f t="shared" si="6"/>
        <v>5.5000000000000018</v>
      </c>
      <c r="F405" s="38">
        <v>0.5</v>
      </c>
    </row>
    <row r="406" spans="1:6" x14ac:dyDescent="0.25">
      <c r="A406" s="44">
        <v>45490</v>
      </c>
      <c r="B406" s="11" t="s">
        <v>56</v>
      </c>
      <c r="C406" s="31">
        <v>0.33333333333333331</v>
      </c>
      <c r="D406" s="31">
        <v>0.58333333333333337</v>
      </c>
      <c r="E406" s="30">
        <f t="shared" si="6"/>
        <v>5.5000000000000018</v>
      </c>
      <c r="F406" s="38">
        <v>0.5</v>
      </c>
    </row>
    <row r="407" spans="1:6" x14ac:dyDescent="0.25">
      <c r="A407" s="44">
        <v>45490</v>
      </c>
      <c r="B407" s="11" t="s">
        <v>58</v>
      </c>
      <c r="C407" s="31">
        <v>0.70833333333333337</v>
      </c>
      <c r="D407" s="31">
        <v>0.875</v>
      </c>
      <c r="E407" s="30">
        <f t="shared" si="6"/>
        <v>3.9999999999999991</v>
      </c>
      <c r="F407" s="38"/>
    </row>
    <row r="408" spans="1:6" x14ac:dyDescent="0.25">
      <c r="A408" s="44">
        <v>45490</v>
      </c>
      <c r="B408" s="11" t="s">
        <v>49</v>
      </c>
      <c r="C408" s="31">
        <v>0.66666666666666663</v>
      </c>
      <c r="D408" s="31">
        <v>0.89583333333333337</v>
      </c>
      <c r="E408" s="30">
        <f t="shared" si="6"/>
        <v>5.0000000000000018</v>
      </c>
      <c r="F408" s="38">
        <v>0.5</v>
      </c>
    </row>
    <row r="409" spans="1:6" x14ac:dyDescent="0.25">
      <c r="A409" s="44">
        <v>45491</v>
      </c>
      <c r="B409" s="11" t="s">
        <v>56</v>
      </c>
      <c r="C409" s="31">
        <v>0.75</v>
      </c>
      <c r="D409" s="31">
        <v>0.95833333333333337</v>
      </c>
      <c r="E409" s="30">
        <f t="shared" si="6"/>
        <v>5.0000000000000009</v>
      </c>
      <c r="F409" s="38"/>
    </row>
    <row r="410" spans="1:6" x14ac:dyDescent="0.25">
      <c r="A410" s="44">
        <v>45491</v>
      </c>
      <c r="B410" s="11" t="s">
        <v>56</v>
      </c>
      <c r="C410" s="31">
        <v>0.33333333333333331</v>
      </c>
      <c r="D410" s="31">
        <v>0.58333333333333337</v>
      </c>
      <c r="E410" s="30">
        <f t="shared" si="6"/>
        <v>5.5000000000000018</v>
      </c>
      <c r="F410" s="38">
        <v>0.5</v>
      </c>
    </row>
    <row r="411" spans="1:6" x14ac:dyDescent="0.25">
      <c r="A411" s="44">
        <v>45492</v>
      </c>
      <c r="B411" s="11" t="s">
        <v>56</v>
      </c>
      <c r="C411" s="31">
        <v>0.33333333333333331</v>
      </c>
      <c r="D411" s="31">
        <v>0.58333333333333337</v>
      </c>
      <c r="E411" s="30">
        <f t="shared" si="6"/>
        <v>5.5000000000000018</v>
      </c>
      <c r="F411" s="38">
        <v>0.5</v>
      </c>
    </row>
    <row r="412" spans="1:6" x14ac:dyDescent="0.25">
      <c r="A412" s="44">
        <v>45492</v>
      </c>
      <c r="B412" s="11" t="s">
        <v>58</v>
      </c>
      <c r="C412" s="31">
        <v>0.66666666666666663</v>
      </c>
      <c r="D412" s="31">
        <v>0.95833333333333337</v>
      </c>
      <c r="E412" s="30">
        <f t="shared" si="6"/>
        <v>6.5000000000000018</v>
      </c>
      <c r="F412" s="38">
        <v>0.5</v>
      </c>
    </row>
    <row r="413" spans="1:6" x14ac:dyDescent="0.25">
      <c r="A413" s="44">
        <v>45493</v>
      </c>
      <c r="B413" s="11" t="s">
        <v>49</v>
      </c>
      <c r="C413" s="31">
        <v>0.28125</v>
      </c>
      <c r="D413" s="28">
        <v>0.60416666666666663</v>
      </c>
      <c r="E413" s="30">
        <f t="shared" si="6"/>
        <v>7.2499999999999991</v>
      </c>
      <c r="F413" s="38">
        <v>0.5</v>
      </c>
    </row>
    <row r="414" spans="1:6" x14ac:dyDescent="0.25">
      <c r="A414" s="44">
        <v>45493</v>
      </c>
      <c r="B414" s="11" t="s">
        <v>56</v>
      </c>
      <c r="C414" s="31">
        <v>0.33333333333333331</v>
      </c>
      <c r="D414" s="28">
        <v>0.54166666666666663</v>
      </c>
      <c r="E414" s="30">
        <f t="shared" si="6"/>
        <v>5</v>
      </c>
      <c r="F414" s="38"/>
    </row>
    <row r="415" spans="1:6" x14ac:dyDescent="0.25">
      <c r="A415" s="44">
        <v>45493</v>
      </c>
      <c r="B415" s="11" t="s">
        <v>53</v>
      </c>
      <c r="C415" s="31">
        <v>0.60416666666666663</v>
      </c>
      <c r="D415" s="28">
        <v>0.97916666666666663</v>
      </c>
      <c r="E415" s="30">
        <f t="shared" si="6"/>
        <v>8</v>
      </c>
      <c r="F415" s="38">
        <v>1</v>
      </c>
    </row>
    <row r="416" spans="1:6" x14ac:dyDescent="0.25">
      <c r="A416" s="44">
        <v>45493</v>
      </c>
      <c r="B416" s="11" t="s">
        <v>58</v>
      </c>
      <c r="C416" s="31">
        <v>0.625</v>
      </c>
      <c r="D416" s="28">
        <v>0.95833333333333337</v>
      </c>
      <c r="E416" s="30">
        <f t="shared" si="6"/>
        <v>7.5</v>
      </c>
      <c r="F416" s="38">
        <v>0.5</v>
      </c>
    </row>
    <row r="417" spans="1:6" x14ac:dyDescent="0.25">
      <c r="A417" s="44">
        <v>45493</v>
      </c>
      <c r="B417" s="11" t="s">
        <v>46</v>
      </c>
      <c r="C417" s="31">
        <v>0.45833333333333331</v>
      </c>
      <c r="D417" s="28">
        <v>0.79166666666666663</v>
      </c>
      <c r="E417" s="30">
        <f t="shared" si="6"/>
        <v>7.5</v>
      </c>
      <c r="F417" s="38">
        <v>0.5</v>
      </c>
    </row>
    <row r="418" spans="1:6" x14ac:dyDescent="0.25">
      <c r="A418" s="44">
        <v>45494</v>
      </c>
      <c r="B418" s="11" t="s">
        <v>53</v>
      </c>
      <c r="C418" s="31">
        <v>0.66666666666666663</v>
      </c>
      <c r="D418" s="31">
        <v>0.875</v>
      </c>
      <c r="E418" s="30">
        <f t="shared" si="6"/>
        <v>5.0000000000000009</v>
      </c>
      <c r="F418" s="38"/>
    </row>
    <row r="419" spans="1:6" x14ac:dyDescent="0.25">
      <c r="A419" s="44">
        <v>45494</v>
      </c>
      <c r="B419" s="11" t="s">
        <v>53</v>
      </c>
      <c r="C419" s="31">
        <v>0.33333333333333331</v>
      </c>
      <c r="D419" s="31">
        <v>0.66666666666666663</v>
      </c>
      <c r="E419" s="30">
        <f t="shared" si="6"/>
        <v>7.5</v>
      </c>
      <c r="F419" s="38">
        <v>0.5</v>
      </c>
    </row>
    <row r="420" spans="1:6" x14ac:dyDescent="0.25">
      <c r="A420" s="44">
        <v>45494</v>
      </c>
      <c r="B420" s="11" t="s">
        <v>58</v>
      </c>
      <c r="C420" s="31">
        <v>0.35416666666666669</v>
      </c>
      <c r="D420" s="28">
        <v>0.625</v>
      </c>
      <c r="E420" s="30">
        <f t="shared" si="6"/>
        <v>6</v>
      </c>
      <c r="F420" s="38">
        <v>0.5</v>
      </c>
    </row>
    <row r="421" spans="1:6" x14ac:dyDescent="0.25">
      <c r="A421" s="44">
        <v>45495</v>
      </c>
      <c r="B421" s="11" t="s">
        <v>56</v>
      </c>
      <c r="C421" s="31">
        <v>0.33333333333333331</v>
      </c>
      <c r="D421" s="31">
        <v>0.58333333333333337</v>
      </c>
      <c r="E421" s="30">
        <f t="shared" si="6"/>
        <v>5.5000000000000018</v>
      </c>
      <c r="F421" s="38">
        <v>0.5</v>
      </c>
    </row>
    <row r="422" spans="1:6" x14ac:dyDescent="0.25">
      <c r="A422" s="44">
        <v>45496</v>
      </c>
      <c r="B422" s="11" t="s">
        <v>56</v>
      </c>
      <c r="C422" s="31">
        <v>0.33333333333333331</v>
      </c>
      <c r="D422" s="31">
        <v>0.58333333333333337</v>
      </c>
      <c r="E422" s="30">
        <f t="shared" si="6"/>
        <v>5.5000000000000018</v>
      </c>
      <c r="F422" s="38">
        <v>0.5</v>
      </c>
    </row>
    <row r="423" spans="1:6" x14ac:dyDescent="0.25">
      <c r="A423" s="44">
        <v>45497</v>
      </c>
      <c r="B423" s="11" t="s">
        <v>56</v>
      </c>
      <c r="C423" s="31">
        <v>0.33333333333333331</v>
      </c>
      <c r="D423" s="31">
        <v>0.58333333333333337</v>
      </c>
      <c r="E423" s="30">
        <f t="shared" ref="E423:E484" si="7">MOD((D423-C423),1) *24 - F423</f>
        <v>5.5000000000000018</v>
      </c>
      <c r="F423" s="38">
        <v>0.5</v>
      </c>
    </row>
    <row r="424" spans="1:6" x14ac:dyDescent="0.25">
      <c r="A424" s="44">
        <v>45497</v>
      </c>
      <c r="B424" s="11" t="s">
        <v>49</v>
      </c>
      <c r="C424" s="31">
        <v>0.66666666666666663</v>
      </c>
      <c r="D424" s="31">
        <v>0.9375</v>
      </c>
      <c r="E424" s="30">
        <f t="shared" si="7"/>
        <v>6.0000000000000009</v>
      </c>
      <c r="F424" s="38">
        <v>0.5</v>
      </c>
    </row>
    <row r="425" spans="1:6" x14ac:dyDescent="0.25">
      <c r="A425" s="44">
        <v>45498</v>
      </c>
      <c r="B425" s="11" t="s">
        <v>56</v>
      </c>
      <c r="C425" s="31">
        <v>0.33333333333333331</v>
      </c>
      <c r="D425" s="31">
        <v>0.58333333333333337</v>
      </c>
      <c r="E425" s="30">
        <f t="shared" si="7"/>
        <v>5.5000000000000018</v>
      </c>
      <c r="F425" s="38">
        <v>0.5</v>
      </c>
    </row>
    <row r="426" spans="1:6" x14ac:dyDescent="0.25">
      <c r="A426" s="44">
        <v>45498</v>
      </c>
      <c r="B426" s="11" t="s">
        <v>56</v>
      </c>
      <c r="C426" s="31">
        <v>0.75</v>
      </c>
      <c r="D426" s="31">
        <v>0.95833333333333337</v>
      </c>
      <c r="E426" s="30">
        <f t="shared" si="7"/>
        <v>5.0000000000000009</v>
      </c>
      <c r="F426" s="38"/>
    </row>
    <row r="427" spans="1:6" x14ac:dyDescent="0.25">
      <c r="A427" s="44">
        <v>45499</v>
      </c>
      <c r="B427" s="11" t="s">
        <v>56</v>
      </c>
      <c r="C427" s="31">
        <v>0.33333333333333331</v>
      </c>
      <c r="D427" s="31">
        <v>0.58333333333333337</v>
      </c>
      <c r="E427" s="30">
        <f t="shared" si="7"/>
        <v>5.5000000000000018</v>
      </c>
      <c r="F427" s="38">
        <v>0.5</v>
      </c>
    </row>
    <row r="428" spans="1:6" x14ac:dyDescent="0.25">
      <c r="A428" s="44">
        <v>45500</v>
      </c>
      <c r="B428" s="11" t="s">
        <v>49</v>
      </c>
      <c r="C428" s="31">
        <v>0.29166666666666669</v>
      </c>
      <c r="D428" s="31">
        <v>0.64583333333333337</v>
      </c>
      <c r="E428" s="30">
        <f t="shared" si="7"/>
        <v>8</v>
      </c>
      <c r="F428" s="38">
        <v>0.5</v>
      </c>
    </row>
    <row r="429" spans="1:6" x14ac:dyDescent="0.25">
      <c r="A429" s="44">
        <v>45500</v>
      </c>
      <c r="B429" s="11" t="s">
        <v>56</v>
      </c>
      <c r="C429" s="31">
        <v>0.33333333333333331</v>
      </c>
      <c r="D429" s="31">
        <v>0.54166666666666663</v>
      </c>
      <c r="E429" s="30">
        <f t="shared" si="7"/>
        <v>5</v>
      </c>
      <c r="F429" s="38"/>
    </row>
    <row r="430" spans="1:6" x14ac:dyDescent="0.25">
      <c r="A430" s="44">
        <v>45500</v>
      </c>
      <c r="B430" s="11" t="s">
        <v>46</v>
      </c>
      <c r="C430" s="31">
        <v>0.54166666666666663</v>
      </c>
      <c r="D430" s="31">
        <v>0.75</v>
      </c>
      <c r="E430" s="30">
        <f t="shared" si="7"/>
        <v>4.5000000000000009</v>
      </c>
      <c r="F430" s="38">
        <v>0.5</v>
      </c>
    </row>
    <row r="431" spans="1:6" x14ac:dyDescent="0.25">
      <c r="A431" s="44">
        <v>45500</v>
      </c>
      <c r="B431" s="11" t="s">
        <v>58</v>
      </c>
      <c r="C431" s="31">
        <v>0.64583333333333337</v>
      </c>
      <c r="D431" s="31">
        <v>0.89583333333333337</v>
      </c>
      <c r="E431" s="30">
        <f t="shared" si="7"/>
        <v>5.5</v>
      </c>
      <c r="F431" s="38">
        <v>0.5</v>
      </c>
    </row>
    <row r="432" spans="1:6" x14ac:dyDescent="0.25">
      <c r="A432" s="44">
        <v>45501</v>
      </c>
      <c r="B432" s="11" t="s">
        <v>53</v>
      </c>
      <c r="C432" s="31">
        <v>0.41666666666666669</v>
      </c>
      <c r="D432" s="31">
        <v>0.625</v>
      </c>
      <c r="E432" s="30">
        <f t="shared" si="7"/>
        <v>5</v>
      </c>
      <c r="F432" s="38"/>
    </row>
    <row r="433" spans="1:7" x14ac:dyDescent="0.25">
      <c r="A433" s="44">
        <v>45502</v>
      </c>
      <c r="B433" s="11" t="s">
        <v>58</v>
      </c>
      <c r="C433" s="31">
        <v>0.6875</v>
      </c>
      <c r="D433" s="31">
        <v>0.89583333333333337</v>
      </c>
      <c r="E433" s="30">
        <f t="shared" si="7"/>
        <v>5.0000000000000009</v>
      </c>
      <c r="F433" s="38"/>
    </row>
    <row r="434" spans="1:7" x14ac:dyDescent="0.25">
      <c r="A434" s="44">
        <v>45502</v>
      </c>
      <c r="B434" s="11" t="s">
        <v>56</v>
      </c>
      <c r="C434" s="31">
        <v>0.33333333333333331</v>
      </c>
      <c r="D434" s="31">
        <v>0.58333333333333337</v>
      </c>
      <c r="E434" s="30">
        <f t="shared" si="7"/>
        <v>5.5000000000000018</v>
      </c>
      <c r="F434" s="38">
        <v>0.5</v>
      </c>
    </row>
    <row r="435" spans="1:7" x14ac:dyDescent="0.25">
      <c r="A435" s="44">
        <v>45503</v>
      </c>
      <c r="B435" s="11" t="s">
        <v>56</v>
      </c>
      <c r="C435" s="31">
        <v>0.33333333333333331</v>
      </c>
      <c r="D435" s="31">
        <v>0.58333333333333337</v>
      </c>
      <c r="E435" s="30">
        <f t="shared" si="7"/>
        <v>5.5000000000000018</v>
      </c>
      <c r="F435" s="38">
        <v>0.5</v>
      </c>
    </row>
    <row r="436" spans="1:7" x14ac:dyDescent="0.25">
      <c r="A436" s="44">
        <v>45504</v>
      </c>
      <c r="B436" s="11" t="s">
        <v>56</v>
      </c>
      <c r="C436" s="31">
        <v>0.33333333333333331</v>
      </c>
      <c r="D436" s="31">
        <v>0.58333333333333337</v>
      </c>
      <c r="E436" s="30">
        <f t="shared" si="7"/>
        <v>5.5000000000000018</v>
      </c>
      <c r="F436" s="38">
        <v>0.5</v>
      </c>
    </row>
    <row r="437" spans="1:7" x14ac:dyDescent="0.25">
      <c r="A437" s="44">
        <v>45504</v>
      </c>
      <c r="B437" s="11" t="s">
        <v>56</v>
      </c>
      <c r="C437" s="31">
        <v>0.66666666666666663</v>
      </c>
      <c r="D437" s="31">
        <v>0.91666666666666663</v>
      </c>
      <c r="E437" s="30">
        <f t="shared" si="7"/>
        <v>5.5</v>
      </c>
      <c r="F437" s="38">
        <v>0.5</v>
      </c>
    </row>
    <row r="438" spans="1:7" x14ac:dyDescent="0.25">
      <c r="A438" s="48">
        <v>45505</v>
      </c>
      <c r="B438" s="23" t="s">
        <v>56</v>
      </c>
      <c r="C438" s="33">
        <v>0.33333333333333331</v>
      </c>
      <c r="D438" s="33">
        <v>0.58333333333333337</v>
      </c>
      <c r="E438" s="34">
        <f t="shared" si="7"/>
        <v>5.5000000000000018</v>
      </c>
      <c r="F438" s="41">
        <v>0.5</v>
      </c>
      <c r="G438" s="12">
        <f>SUM(E:E)</f>
        <v>4285.5</v>
      </c>
    </row>
    <row r="439" spans="1:7" x14ac:dyDescent="0.25">
      <c r="A439" s="44">
        <v>45505</v>
      </c>
      <c r="B439" s="25" t="s">
        <v>56</v>
      </c>
      <c r="C439" s="31">
        <v>0.75</v>
      </c>
      <c r="D439" s="31">
        <v>0.95833333333333337</v>
      </c>
      <c r="E439" s="30">
        <f t="shared" si="7"/>
        <v>5.0000000000000009</v>
      </c>
      <c r="F439" s="38"/>
    </row>
    <row r="440" spans="1:7" x14ac:dyDescent="0.25">
      <c r="A440" s="44">
        <v>45506</v>
      </c>
      <c r="B440" s="11" t="s">
        <v>56</v>
      </c>
      <c r="C440" s="31">
        <v>0.33333333333333331</v>
      </c>
      <c r="D440" s="31">
        <v>0.58333333333333337</v>
      </c>
      <c r="E440" s="30">
        <f t="shared" si="7"/>
        <v>5.5000000000000018</v>
      </c>
      <c r="F440" s="38">
        <v>0.5</v>
      </c>
    </row>
    <row r="441" spans="1:7" x14ac:dyDescent="0.25">
      <c r="A441" s="44">
        <v>45507</v>
      </c>
      <c r="B441" s="11" t="s">
        <v>49</v>
      </c>
      <c r="C441" s="31">
        <v>0.3125</v>
      </c>
      <c r="D441" s="31">
        <v>0.41666666666666669</v>
      </c>
      <c r="E441" s="30">
        <f t="shared" si="7"/>
        <v>2.5000000000000004</v>
      </c>
      <c r="F441" s="38"/>
    </row>
    <row r="442" spans="1:7" x14ac:dyDescent="0.25">
      <c r="A442" s="44">
        <v>45507</v>
      </c>
      <c r="B442" s="11" t="s">
        <v>56</v>
      </c>
      <c r="C442" s="31">
        <v>0.33333333333333331</v>
      </c>
      <c r="D442" s="31">
        <v>0.54166666666666663</v>
      </c>
      <c r="E442" s="30">
        <f t="shared" si="7"/>
        <v>5</v>
      </c>
      <c r="F442" s="38"/>
    </row>
    <row r="443" spans="1:7" x14ac:dyDescent="0.25">
      <c r="A443" s="44">
        <v>45507</v>
      </c>
      <c r="B443" s="11" t="s">
        <v>46</v>
      </c>
      <c r="C443" s="31">
        <v>0.625</v>
      </c>
      <c r="D443" s="31">
        <v>0.83333333333333337</v>
      </c>
      <c r="E443" s="30">
        <f t="shared" si="7"/>
        <v>5.0000000000000009</v>
      </c>
      <c r="F443" s="38"/>
    </row>
    <row r="444" spans="1:7" x14ac:dyDescent="0.25">
      <c r="A444" s="44">
        <v>45509</v>
      </c>
      <c r="B444" s="11" t="s">
        <v>49</v>
      </c>
      <c r="C444" s="31">
        <v>0.375</v>
      </c>
      <c r="D444" s="31">
        <v>0.625</v>
      </c>
      <c r="E444" s="30">
        <f t="shared" si="7"/>
        <v>5.5</v>
      </c>
      <c r="F444" s="38">
        <v>0.5</v>
      </c>
    </row>
    <row r="445" spans="1:7" x14ac:dyDescent="0.25">
      <c r="A445" s="44">
        <v>45509</v>
      </c>
      <c r="B445" s="11" t="s">
        <v>56</v>
      </c>
      <c r="C445" s="31">
        <v>0.33333333333333331</v>
      </c>
      <c r="D445" s="31">
        <v>0.58333333333333337</v>
      </c>
      <c r="E445" s="30">
        <f t="shared" si="7"/>
        <v>5.5000000000000018</v>
      </c>
      <c r="F445" s="38">
        <v>0.5</v>
      </c>
    </row>
    <row r="446" spans="1:7" x14ac:dyDescent="0.25">
      <c r="A446" s="44">
        <v>45510</v>
      </c>
      <c r="B446" s="11" t="s">
        <v>56</v>
      </c>
      <c r="C446" s="31">
        <v>0.33333333333333331</v>
      </c>
      <c r="D446" s="31">
        <v>0.58333333333333337</v>
      </c>
      <c r="E446" s="30">
        <f t="shared" si="7"/>
        <v>5.5000000000000018</v>
      </c>
      <c r="F446" s="38">
        <v>0.5</v>
      </c>
    </row>
    <row r="447" spans="1:7" x14ac:dyDescent="0.25">
      <c r="A447" s="44">
        <v>45511</v>
      </c>
      <c r="B447" s="11" t="s">
        <v>56</v>
      </c>
      <c r="C447" s="31">
        <v>0.33333333333333331</v>
      </c>
      <c r="D447" s="31">
        <v>0.58333333333333337</v>
      </c>
      <c r="E447" s="30">
        <f t="shared" si="7"/>
        <v>5.5000000000000018</v>
      </c>
      <c r="F447" s="38">
        <v>0.5</v>
      </c>
    </row>
    <row r="448" spans="1:7" x14ac:dyDescent="0.25">
      <c r="A448" s="44">
        <v>45511</v>
      </c>
      <c r="B448" s="11" t="s">
        <v>49</v>
      </c>
      <c r="C448" s="31">
        <v>0.75</v>
      </c>
      <c r="D448" s="31">
        <v>0.91666666666666663</v>
      </c>
      <c r="E448" s="30">
        <f t="shared" si="7"/>
        <v>3.9999999999999991</v>
      </c>
      <c r="F448" s="38"/>
    </row>
    <row r="449" spans="1:6" x14ac:dyDescent="0.25">
      <c r="A449" s="44">
        <v>45511</v>
      </c>
      <c r="B449" s="11" t="s">
        <v>56</v>
      </c>
      <c r="C449" s="31">
        <v>0.66666666666666663</v>
      </c>
      <c r="D449" s="31">
        <v>0.875</v>
      </c>
      <c r="E449" s="30">
        <f t="shared" si="7"/>
        <v>5.0000000000000009</v>
      </c>
      <c r="F449" s="38"/>
    </row>
    <row r="450" spans="1:6" x14ac:dyDescent="0.25">
      <c r="A450" s="44">
        <v>45512</v>
      </c>
      <c r="B450" s="11" t="s">
        <v>56</v>
      </c>
      <c r="C450" s="31">
        <v>0.33333333333333331</v>
      </c>
      <c r="D450" s="31">
        <v>0.58333333333333337</v>
      </c>
      <c r="E450" s="30">
        <f t="shared" si="7"/>
        <v>5.5000000000000018</v>
      </c>
      <c r="F450" s="38">
        <v>0.5</v>
      </c>
    </row>
    <row r="451" spans="1:6" x14ac:dyDescent="0.25">
      <c r="A451" s="44">
        <v>45512</v>
      </c>
      <c r="B451" s="11" t="s">
        <v>53</v>
      </c>
      <c r="C451" s="31">
        <v>0.66666666666666663</v>
      </c>
      <c r="D451" s="31">
        <v>0.91666666666666663</v>
      </c>
      <c r="E451" s="30">
        <f t="shared" si="7"/>
        <v>5.5</v>
      </c>
      <c r="F451" s="38">
        <v>0.5</v>
      </c>
    </row>
    <row r="452" spans="1:6" x14ac:dyDescent="0.25">
      <c r="A452" s="44">
        <v>45513</v>
      </c>
      <c r="B452" s="11" t="s">
        <v>56</v>
      </c>
      <c r="C452" s="31">
        <v>0.375</v>
      </c>
      <c r="D452" s="31">
        <v>0.58333333333333337</v>
      </c>
      <c r="E452" s="30">
        <f t="shared" si="7"/>
        <v>5.0000000000000009</v>
      </c>
      <c r="F452" s="38"/>
    </row>
    <row r="453" spans="1:6" x14ac:dyDescent="0.25">
      <c r="A453" s="44">
        <v>45513</v>
      </c>
      <c r="B453" s="11" t="s">
        <v>53</v>
      </c>
      <c r="C453" s="31">
        <v>0.66666666666666663</v>
      </c>
      <c r="D453" s="31">
        <v>0.95833333333333337</v>
      </c>
      <c r="E453" s="30">
        <f t="shared" si="7"/>
        <v>6.5000000000000018</v>
      </c>
      <c r="F453" s="38">
        <v>0.5</v>
      </c>
    </row>
    <row r="454" spans="1:6" x14ac:dyDescent="0.25">
      <c r="A454" s="44">
        <v>45514</v>
      </c>
      <c r="B454" s="11" t="s">
        <v>56</v>
      </c>
      <c r="C454" s="31">
        <v>0.33333333333333331</v>
      </c>
      <c r="D454" s="31">
        <v>0.54166666666666663</v>
      </c>
      <c r="E454" s="30">
        <f t="shared" si="7"/>
        <v>5</v>
      </c>
      <c r="F454" s="38"/>
    </row>
    <row r="455" spans="1:6" x14ac:dyDescent="0.25">
      <c r="A455" s="44">
        <v>45514</v>
      </c>
      <c r="B455" s="11" t="s">
        <v>58</v>
      </c>
      <c r="C455" s="31">
        <v>0.77083333333333337</v>
      </c>
      <c r="D455" s="31">
        <v>4.1666666666666664E-2</v>
      </c>
      <c r="E455" s="30">
        <f t="shared" si="7"/>
        <v>5.9999999999999982</v>
      </c>
      <c r="F455" s="38">
        <v>0.5</v>
      </c>
    </row>
    <row r="456" spans="1:6" x14ac:dyDescent="0.25">
      <c r="A456" s="44">
        <v>45514</v>
      </c>
      <c r="B456" s="11" t="s">
        <v>49</v>
      </c>
      <c r="C456" s="31">
        <v>0.27083333333333331</v>
      </c>
      <c r="D456" s="31">
        <v>0.52083333333333337</v>
      </c>
      <c r="E456" s="30">
        <f t="shared" si="7"/>
        <v>5.5000000000000018</v>
      </c>
      <c r="F456" s="38">
        <v>0.5</v>
      </c>
    </row>
    <row r="457" spans="1:6" x14ac:dyDescent="0.25">
      <c r="A457" s="44">
        <v>45514</v>
      </c>
      <c r="B457" s="11" t="s">
        <v>46</v>
      </c>
      <c r="C457" s="31">
        <v>0.47916666666666669</v>
      </c>
      <c r="D457" s="31">
        <v>0.77083333333333337</v>
      </c>
      <c r="E457" s="30">
        <f t="shared" si="7"/>
        <v>6.5</v>
      </c>
      <c r="F457" s="38">
        <v>0.5</v>
      </c>
    </row>
    <row r="458" spans="1:6" x14ac:dyDescent="0.25">
      <c r="A458" s="44">
        <v>45514</v>
      </c>
      <c r="B458" s="11" t="s">
        <v>58</v>
      </c>
      <c r="C458" s="31">
        <v>0.54166666666666663</v>
      </c>
      <c r="D458" s="31">
        <v>0.77083333333333337</v>
      </c>
      <c r="E458" s="30">
        <f t="shared" si="7"/>
        <v>5.0000000000000018</v>
      </c>
      <c r="F458" s="38">
        <v>0.5</v>
      </c>
    </row>
    <row r="459" spans="1:6" x14ac:dyDescent="0.25">
      <c r="A459" s="44">
        <v>45516</v>
      </c>
      <c r="B459" s="11" t="s">
        <v>56</v>
      </c>
      <c r="C459" s="31">
        <v>0.33333333333333331</v>
      </c>
      <c r="D459" s="31">
        <v>0.58333333333333337</v>
      </c>
      <c r="E459" s="30">
        <f t="shared" si="7"/>
        <v>5.5000000000000018</v>
      </c>
      <c r="F459" s="38">
        <v>0.5</v>
      </c>
    </row>
    <row r="460" spans="1:6" x14ac:dyDescent="0.25">
      <c r="A460" s="44">
        <v>45517</v>
      </c>
      <c r="B460" s="11" t="s">
        <v>56</v>
      </c>
      <c r="C460" s="31">
        <v>0.33333333333333331</v>
      </c>
      <c r="D460" s="31">
        <v>0.58333333333333337</v>
      </c>
      <c r="E460" s="30">
        <f t="shared" si="7"/>
        <v>5.5000000000000018</v>
      </c>
      <c r="F460" s="38">
        <v>0.5</v>
      </c>
    </row>
    <row r="461" spans="1:6" x14ac:dyDescent="0.25">
      <c r="A461" s="44">
        <v>45518</v>
      </c>
      <c r="B461" s="11" t="s">
        <v>56</v>
      </c>
      <c r="C461" s="31">
        <v>0.33333333333333331</v>
      </c>
      <c r="D461" s="31">
        <v>0.58333333333333337</v>
      </c>
      <c r="E461" s="30">
        <f t="shared" si="7"/>
        <v>5.5000000000000018</v>
      </c>
      <c r="F461" s="38">
        <v>0.5</v>
      </c>
    </row>
    <row r="462" spans="1:6" x14ac:dyDescent="0.25">
      <c r="A462" s="44">
        <v>45518</v>
      </c>
      <c r="B462" s="11" t="s">
        <v>49</v>
      </c>
      <c r="C462" s="31">
        <v>0.66666666666666663</v>
      </c>
      <c r="D462" s="31">
        <v>0.89583333333333337</v>
      </c>
      <c r="E462" s="30">
        <f t="shared" si="7"/>
        <v>5.0000000000000018</v>
      </c>
      <c r="F462" s="38">
        <v>0.5</v>
      </c>
    </row>
    <row r="463" spans="1:6" x14ac:dyDescent="0.25">
      <c r="A463" s="44">
        <v>45519</v>
      </c>
      <c r="B463" s="11" t="s">
        <v>56</v>
      </c>
      <c r="C463" s="31">
        <v>0.77083333333333337</v>
      </c>
      <c r="D463" s="31">
        <v>0.95833333333333337</v>
      </c>
      <c r="E463" s="30">
        <f t="shared" si="7"/>
        <v>4.5</v>
      </c>
      <c r="F463" s="38"/>
    </row>
    <row r="464" spans="1:6" x14ac:dyDescent="0.25">
      <c r="A464" s="44">
        <v>45519</v>
      </c>
      <c r="B464" s="11" t="s">
        <v>56</v>
      </c>
      <c r="C464" s="31">
        <v>0.33333333333333331</v>
      </c>
      <c r="D464" s="31">
        <v>0.58333333333333337</v>
      </c>
      <c r="E464" s="30">
        <f t="shared" si="7"/>
        <v>5.5000000000000018</v>
      </c>
      <c r="F464" s="38">
        <v>0.5</v>
      </c>
    </row>
    <row r="465" spans="1:6" x14ac:dyDescent="0.25">
      <c r="A465" s="44">
        <v>45520</v>
      </c>
      <c r="B465" s="11" t="s">
        <v>53</v>
      </c>
      <c r="C465" s="31">
        <v>0.6875</v>
      </c>
      <c r="D465" s="31">
        <v>0.95833333333333337</v>
      </c>
      <c r="E465" s="30">
        <f t="shared" si="7"/>
        <v>6.0000000000000009</v>
      </c>
      <c r="F465" s="38">
        <v>0.5</v>
      </c>
    </row>
    <row r="466" spans="1:6" x14ac:dyDescent="0.25">
      <c r="A466" s="44">
        <v>45520</v>
      </c>
      <c r="B466" s="11" t="s">
        <v>44</v>
      </c>
      <c r="C466" s="31">
        <v>0.33333333333333331</v>
      </c>
      <c r="D466" s="31">
        <v>0.66666666666666663</v>
      </c>
      <c r="E466" s="30">
        <f t="shared" si="7"/>
        <v>7.5</v>
      </c>
      <c r="F466" s="38">
        <v>0.5</v>
      </c>
    </row>
    <row r="467" spans="1:6" x14ac:dyDescent="0.25">
      <c r="A467" s="44">
        <v>45520</v>
      </c>
      <c r="B467" s="11" t="s">
        <v>56</v>
      </c>
      <c r="C467" s="31">
        <v>0.33333333333333331</v>
      </c>
      <c r="D467" s="31">
        <v>0.58333333333333337</v>
      </c>
      <c r="E467" s="30">
        <f t="shared" si="7"/>
        <v>5.5000000000000018</v>
      </c>
      <c r="F467" s="38">
        <v>0.5</v>
      </c>
    </row>
    <row r="468" spans="1:6" x14ac:dyDescent="0.25">
      <c r="A468" s="44">
        <v>45521</v>
      </c>
      <c r="B468" s="11" t="s">
        <v>95</v>
      </c>
      <c r="C468" s="31">
        <v>0.41666666666666669</v>
      </c>
      <c r="D468" s="31">
        <v>0.70833333333333337</v>
      </c>
      <c r="E468" s="30">
        <f t="shared" si="7"/>
        <v>6.5</v>
      </c>
      <c r="F468" s="38">
        <v>0.5</v>
      </c>
    </row>
    <row r="469" spans="1:6" x14ac:dyDescent="0.25">
      <c r="A469" s="44">
        <v>45521</v>
      </c>
      <c r="B469" s="11" t="s">
        <v>49</v>
      </c>
      <c r="C469" s="31">
        <v>0.27083333333333331</v>
      </c>
      <c r="D469" s="31">
        <v>0.52083333333333337</v>
      </c>
      <c r="E469" s="30">
        <f t="shared" si="7"/>
        <v>5.5000000000000018</v>
      </c>
      <c r="F469" s="38">
        <v>0.5</v>
      </c>
    </row>
    <row r="470" spans="1:6" x14ac:dyDescent="0.25">
      <c r="A470" s="44">
        <v>45521</v>
      </c>
      <c r="B470" s="11" t="s">
        <v>56</v>
      </c>
      <c r="C470" s="31">
        <v>0.33333333333333331</v>
      </c>
      <c r="D470" s="19">
        <v>0.52083333333333337</v>
      </c>
      <c r="E470" s="30">
        <f t="shared" si="7"/>
        <v>4.5000000000000018</v>
      </c>
      <c r="F470" s="38"/>
    </row>
    <row r="471" spans="1:6" x14ac:dyDescent="0.25">
      <c r="A471" s="44">
        <v>45521</v>
      </c>
      <c r="B471" s="11" t="s">
        <v>58</v>
      </c>
      <c r="C471" s="31">
        <v>0.52083333333333337</v>
      </c>
      <c r="D471" s="19">
        <v>0.8125</v>
      </c>
      <c r="E471" s="30">
        <f t="shared" si="7"/>
        <v>6.4999999999999991</v>
      </c>
      <c r="F471" s="38">
        <v>0.5</v>
      </c>
    </row>
    <row r="472" spans="1:6" x14ac:dyDescent="0.25">
      <c r="A472" s="44">
        <v>45521</v>
      </c>
      <c r="B472" s="11" t="s">
        <v>46</v>
      </c>
      <c r="C472" s="31">
        <v>0.5</v>
      </c>
      <c r="D472" s="19">
        <v>0.79166666666666663</v>
      </c>
      <c r="E472" s="30">
        <f t="shared" si="7"/>
        <v>6.4999999999999991</v>
      </c>
      <c r="F472" s="38">
        <v>0.5</v>
      </c>
    </row>
    <row r="473" spans="1:6" x14ac:dyDescent="0.25">
      <c r="A473" s="44">
        <v>45522</v>
      </c>
      <c r="B473" s="11" t="s">
        <v>58</v>
      </c>
      <c r="C473" s="31">
        <v>0.39583333333333331</v>
      </c>
      <c r="D473" s="31">
        <v>0.6875</v>
      </c>
      <c r="E473" s="30">
        <f t="shared" si="7"/>
        <v>6.5</v>
      </c>
      <c r="F473" s="38">
        <v>0.5</v>
      </c>
    </row>
    <row r="474" spans="1:6" x14ac:dyDescent="0.25">
      <c r="A474" s="44">
        <v>45522</v>
      </c>
      <c r="B474" s="11" t="s">
        <v>95</v>
      </c>
      <c r="C474" s="31">
        <v>0.41666666666666669</v>
      </c>
      <c r="D474" s="31">
        <v>0.6875</v>
      </c>
      <c r="E474" s="30">
        <f t="shared" si="7"/>
        <v>6</v>
      </c>
      <c r="F474" s="38">
        <v>0.5</v>
      </c>
    </row>
    <row r="475" spans="1:6" x14ac:dyDescent="0.25">
      <c r="A475" s="44">
        <v>45522</v>
      </c>
      <c r="B475" s="11" t="s">
        <v>53</v>
      </c>
      <c r="C475" s="31">
        <v>0.54166666666666663</v>
      </c>
      <c r="D475" s="31">
        <v>0.79166666666666663</v>
      </c>
      <c r="E475" s="30">
        <f t="shared" si="7"/>
        <v>5.5</v>
      </c>
      <c r="F475" s="38">
        <v>0.5</v>
      </c>
    </row>
    <row r="476" spans="1:6" x14ac:dyDescent="0.25">
      <c r="A476" s="44">
        <v>45522</v>
      </c>
      <c r="B476" s="11" t="s">
        <v>53</v>
      </c>
      <c r="C476" s="31">
        <v>0.33333333333333331</v>
      </c>
      <c r="D476" s="31">
        <v>0.54166666666666663</v>
      </c>
      <c r="E476" s="30">
        <f t="shared" si="7"/>
        <v>5</v>
      </c>
      <c r="F476" s="38"/>
    </row>
    <row r="477" spans="1:6" x14ac:dyDescent="0.25">
      <c r="A477" s="44">
        <v>45523</v>
      </c>
      <c r="B477" s="11" t="s">
        <v>56</v>
      </c>
      <c r="C477" s="31">
        <v>0.33333333333333331</v>
      </c>
      <c r="D477" s="31">
        <v>0.58333333333333337</v>
      </c>
      <c r="E477" s="30">
        <f t="shared" si="7"/>
        <v>5.5000000000000018</v>
      </c>
      <c r="F477" s="38">
        <v>0.5</v>
      </c>
    </row>
    <row r="478" spans="1:6" x14ac:dyDescent="0.25">
      <c r="A478" s="44">
        <v>45524</v>
      </c>
      <c r="B478" s="11" t="s">
        <v>56</v>
      </c>
      <c r="C478" s="31">
        <v>0.33333333333333331</v>
      </c>
      <c r="D478" s="31">
        <v>0.58333333333333337</v>
      </c>
      <c r="E478" s="30">
        <f t="shared" si="7"/>
        <v>5.5000000000000018</v>
      </c>
      <c r="F478" s="38">
        <v>0.5</v>
      </c>
    </row>
    <row r="479" spans="1:6" x14ac:dyDescent="0.25">
      <c r="A479" s="44">
        <v>45524</v>
      </c>
      <c r="B479" s="11" t="s">
        <v>51</v>
      </c>
      <c r="C479" s="31">
        <v>0.58333333333333337</v>
      </c>
      <c r="D479" s="31">
        <v>0.83333333333333337</v>
      </c>
      <c r="E479" s="30">
        <f t="shared" si="7"/>
        <v>5.5</v>
      </c>
      <c r="F479" s="38">
        <v>0.5</v>
      </c>
    </row>
    <row r="480" spans="1:6" x14ac:dyDescent="0.25">
      <c r="A480" s="44">
        <v>45524</v>
      </c>
      <c r="B480" s="11" t="s">
        <v>51</v>
      </c>
      <c r="C480" s="31">
        <v>0.83333333333333337</v>
      </c>
      <c r="D480" s="31">
        <v>0</v>
      </c>
      <c r="E480" s="30">
        <f t="shared" si="7"/>
        <v>3.9999999999999991</v>
      </c>
      <c r="F480" s="38"/>
    </row>
    <row r="481" spans="1:6" x14ac:dyDescent="0.25">
      <c r="A481" s="44">
        <v>45525</v>
      </c>
      <c r="B481" s="11" t="s">
        <v>56</v>
      </c>
      <c r="C481" s="31">
        <v>0.33333333333333331</v>
      </c>
      <c r="D481" s="31">
        <v>0.58333333333333337</v>
      </c>
      <c r="E481" s="30">
        <f t="shared" si="7"/>
        <v>5.5000000000000018</v>
      </c>
      <c r="F481" s="38">
        <v>0.5</v>
      </c>
    </row>
    <row r="482" spans="1:6" x14ac:dyDescent="0.25">
      <c r="A482" s="44">
        <v>45525</v>
      </c>
      <c r="B482" s="11" t="s">
        <v>49</v>
      </c>
      <c r="C482" s="31">
        <v>0.66666666666666663</v>
      </c>
      <c r="D482" s="31">
        <v>0.89583333333333337</v>
      </c>
      <c r="E482" s="30">
        <f t="shared" si="7"/>
        <v>5.0000000000000018</v>
      </c>
      <c r="F482" s="38">
        <v>0.5</v>
      </c>
    </row>
    <row r="483" spans="1:6" x14ac:dyDescent="0.25">
      <c r="A483" s="44">
        <v>45526</v>
      </c>
      <c r="B483" s="11" t="s">
        <v>53</v>
      </c>
      <c r="C483" s="31">
        <v>0.54166666666666663</v>
      </c>
      <c r="D483" s="31">
        <v>0.77083333333333337</v>
      </c>
      <c r="E483" s="30">
        <f t="shared" si="7"/>
        <v>5.0000000000000018</v>
      </c>
      <c r="F483" s="38">
        <v>0.5</v>
      </c>
    </row>
    <row r="484" spans="1:6" x14ac:dyDescent="0.25">
      <c r="A484" s="44">
        <v>45526</v>
      </c>
      <c r="B484" s="11" t="s">
        <v>53</v>
      </c>
      <c r="C484" s="31">
        <v>0.77083333333333337</v>
      </c>
      <c r="D484" s="31">
        <v>0.97916666666666663</v>
      </c>
      <c r="E484" s="30">
        <f t="shared" si="7"/>
        <v>4.9999999999999982</v>
      </c>
      <c r="F484" s="38"/>
    </row>
    <row r="485" spans="1:6" x14ac:dyDescent="0.25">
      <c r="A485" s="44">
        <v>45526</v>
      </c>
      <c r="B485" s="11" t="s">
        <v>56</v>
      </c>
      <c r="C485" s="31">
        <v>0.33333333333333331</v>
      </c>
      <c r="D485" s="31">
        <v>0.58333333333333337</v>
      </c>
      <c r="E485" s="30">
        <f t="shared" ref="E485:E546" si="8">MOD((D485-C485),1) *24 - F485</f>
        <v>5.5000000000000018</v>
      </c>
      <c r="F485" s="38">
        <v>0.5</v>
      </c>
    </row>
    <row r="486" spans="1:6" x14ac:dyDescent="0.25">
      <c r="A486" s="44">
        <v>45526</v>
      </c>
      <c r="B486" s="11" t="s">
        <v>56</v>
      </c>
      <c r="C486" s="31">
        <v>0.70833333333333337</v>
      </c>
      <c r="D486" s="31">
        <v>0.95833333333333337</v>
      </c>
      <c r="E486" s="30">
        <f t="shared" si="8"/>
        <v>5.5</v>
      </c>
      <c r="F486" s="38">
        <v>0.5</v>
      </c>
    </row>
    <row r="487" spans="1:6" x14ac:dyDescent="0.25">
      <c r="A487" s="44">
        <v>45527</v>
      </c>
      <c r="B487" s="11" t="s">
        <v>56</v>
      </c>
      <c r="C487" s="31">
        <v>0.33333333333333331</v>
      </c>
      <c r="D487" s="31">
        <v>0.58333333333333337</v>
      </c>
      <c r="E487" s="30">
        <f t="shared" si="8"/>
        <v>5.5000000000000018</v>
      </c>
      <c r="F487" s="38">
        <v>0.5</v>
      </c>
    </row>
    <row r="488" spans="1:6" x14ac:dyDescent="0.25">
      <c r="A488" s="44">
        <v>45528</v>
      </c>
      <c r="B488" s="11" t="s">
        <v>49</v>
      </c>
      <c r="C488" s="31">
        <v>0.27083333333333331</v>
      </c>
      <c r="D488" s="31">
        <v>0.52083333333333337</v>
      </c>
      <c r="E488" s="30">
        <f t="shared" si="8"/>
        <v>5.5000000000000018</v>
      </c>
      <c r="F488" s="38">
        <v>0.5</v>
      </c>
    </row>
    <row r="489" spans="1:6" x14ac:dyDescent="0.25">
      <c r="A489" s="44">
        <v>45528</v>
      </c>
      <c r="B489" s="11" t="s">
        <v>53</v>
      </c>
      <c r="C489" s="31">
        <v>0.5625</v>
      </c>
      <c r="D489" s="31">
        <v>0.8125</v>
      </c>
      <c r="E489" s="30">
        <f t="shared" si="8"/>
        <v>5.5</v>
      </c>
      <c r="F489" s="38">
        <v>0.5</v>
      </c>
    </row>
    <row r="490" spans="1:6" x14ac:dyDescent="0.25">
      <c r="A490" s="44">
        <v>45528</v>
      </c>
      <c r="B490" s="11" t="s">
        <v>56</v>
      </c>
      <c r="C490" s="31">
        <v>0.33333333333333331</v>
      </c>
      <c r="D490" s="31">
        <v>0.625</v>
      </c>
      <c r="E490" s="30">
        <f t="shared" si="8"/>
        <v>6.5</v>
      </c>
      <c r="F490" s="38">
        <v>0.5</v>
      </c>
    </row>
    <row r="491" spans="1:6" x14ac:dyDescent="0.25">
      <c r="A491" s="44">
        <v>45529</v>
      </c>
      <c r="B491" s="11" t="s">
        <v>56</v>
      </c>
      <c r="C491" s="31">
        <v>0.5625</v>
      </c>
      <c r="D491" s="31">
        <v>0.79166666666666663</v>
      </c>
      <c r="E491" s="30">
        <f t="shared" si="8"/>
        <v>4.9999999999999991</v>
      </c>
      <c r="F491" s="38">
        <v>0.5</v>
      </c>
    </row>
    <row r="492" spans="1:6" x14ac:dyDescent="0.25">
      <c r="A492" s="44">
        <v>45529</v>
      </c>
      <c r="B492" s="11" t="s">
        <v>58</v>
      </c>
      <c r="C492" s="31">
        <v>0.33333333333333331</v>
      </c>
      <c r="D492" s="31">
        <v>0.5625</v>
      </c>
      <c r="E492" s="30">
        <f t="shared" si="8"/>
        <v>5</v>
      </c>
      <c r="F492" s="38">
        <v>0.5</v>
      </c>
    </row>
    <row r="493" spans="1:6" x14ac:dyDescent="0.25">
      <c r="A493" s="44">
        <v>45529</v>
      </c>
      <c r="B493" s="11" t="s">
        <v>58</v>
      </c>
      <c r="C493" s="31">
        <v>0.79166666666666663</v>
      </c>
      <c r="D493" s="31">
        <v>0</v>
      </c>
      <c r="E493" s="30">
        <f t="shared" si="8"/>
        <v>5.0000000000000009</v>
      </c>
      <c r="F493" s="38"/>
    </row>
    <row r="494" spans="1:6" x14ac:dyDescent="0.25">
      <c r="A494" s="44">
        <v>45530</v>
      </c>
      <c r="B494" s="11" t="s">
        <v>56</v>
      </c>
      <c r="C494" s="31">
        <v>0.33333333333333331</v>
      </c>
      <c r="D494" s="31">
        <v>0.58333333333333337</v>
      </c>
      <c r="E494" s="30">
        <f t="shared" si="8"/>
        <v>5.5000000000000018</v>
      </c>
      <c r="F494" s="38">
        <v>0.5</v>
      </c>
    </row>
    <row r="495" spans="1:6" x14ac:dyDescent="0.25">
      <c r="A495" s="44">
        <v>45530</v>
      </c>
      <c r="B495" s="11" t="s">
        <v>56</v>
      </c>
      <c r="C495" s="31">
        <v>0.66666666666666663</v>
      </c>
      <c r="D495" s="31">
        <v>0.875</v>
      </c>
      <c r="E495" s="30">
        <f t="shared" si="8"/>
        <v>5.0000000000000009</v>
      </c>
      <c r="F495" s="38"/>
    </row>
    <row r="496" spans="1:6" x14ac:dyDescent="0.25">
      <c r="A496" s="44">
        <v>45531</v>
      </c>
      <c r="B496" s="11" t="s">
        <v>56</v>
      </c>
      <c r="C496" s="31">
        <v>0.33333333333333331</v>
      </c>
      <c r="D496" s="31">
        <v>0.58333333333333337</v>
      </c>
      <c r="E496" s="30">
        <f t="shared" si="8"/>
        <v>5.5000000000000018</v>
      </c>
      <c r="F496" s="38">
        <v>0.5</v>
      </c>
    </row>
    <row r="497" spans="1:6" x14ac:dyDescent="0.25">
      <c r="A497" s="44">
        <v>45532</v>
      </c>
      <c r="B497" s="11" t="s">
        <v>56</v>
      </c>
      <c r="C497" s="31">
        <v>0.33333333333333331</v>
      </c>
      <c r="D497" s="31">
        <v>0.58333333333333337</v>
      </c>
      <c r="E497" s="30">
        <f t="shared" si="8"/>
        <v>5.5000000000000018</v>
      </c>
      <c r="F497" s="38">
        <v>0.5</v>
      </c>
    </row>
    <row r="498" spans="1:6" x14ac:dyDescent="0.25">
      <c r="A498" s="44">
        <v>45532</v>
      </c>
      <c r="B498" s="11" t="s">
        <v>49</v>
      </c>
      <c r="C498" s="19">
        <v>0.66666666666666663</v>
      </c>
      <c r="D498" s="31">
        <v>0.89583333333333337</v>
      </c>
      <c r="E498" s="30">
        <f t="shared" si="8"/>
        <v>5.0000000000000018</v>
      </c>
      <c r="F498" s="38">
        <v>0.5</v>
      </c>
    </row>
    <row r="499" spans="1:6" x14ac:dyDescent="0.25">
      <c r="A499" s="44">
        <v>45533</v>
      </c>
      <c r="B499" s="11" t="s">
        <v>56</v>
      </c>
      <c r="C499" s="31">
        <v>0.33333333333333331</v>
      </c>
      <c r="D499" s="31">
        <v>0.58333333333333337</v>
      </c>
      <c r="E499" s="30">
        <f t="shared" si="8"/>
        <v>5.5000000000000018</v>
      </c>
      <c r="F499" s="38">
        <v>0.5</v>
      </c>
    </row>
    <row r="500" spans="1:6" x14ac:dyDescent="0.25">
      <c r="A500" s="44">
        <v>45533</v>
      </c>
      <c r="B500" s="11" t="s">
        <v>56</v>
      </c>
      <c r="C500" s="31">
        <v>0.77083333333333337</v>
      </c>
      <c r="D500" s="31">
        <v>0.95833333333333337</v>
      </c>
      <c r="E500" s="30">
        <f t="shared" si="8"/>
        <v>4.5</v>
      </c>
      <c r="F500" s="38"/>
    </row>
    <row r="501" spans="1:6" x14ac:dyDescent="0.25">
      <c r="A501" s="44">
        <v>45534</v>
      </c>
      <c r="B501" s="11" t="s">
        <v>56</v>
      </c>
      <c r="C501" s="31">
        <v>0.33333333333333331</v>
      </c>
      <c r="D501" s="31">
        <v>0.58333333333333337</v>
      </c>
      <c r="E501" s="30">
        <f t="shared" si="8"/>
        <v>5.5000000000000018</v>
      </c>
      <c r="F501" s="38">
        <v>0.5</v>
      </c>
    </row>
    <row r="502" spans="1:6" x14ac:dyDescent="0.25">
      <c r="A502" s="44">
        <v>45535</v>
      </c>
      <c r="B502" s="11" t="s">
        <v>56</v>
      </c>
      <c r="C502" s="31">
        <v>0.33333333333333331</v>
      </c>
      <c r="D502" s="31">
        <v>0.54166666666666663</v>
      </c>
      <c r="E502" s="30">
        <f t="shared" si="8"/>
        <v>5</v>
      </c>
      <c r="F502" s="38"/>
    </row>
    <row r="503" spans="1:6" x14ac:dyDescent="0.25">
      <c r="A503" s="44">
        <v>45535</v>
      </c>
      <c r="B503" s="11" t="s">
        <v>53</v>
      </c>
      <c r="C503" s="31">
        <v>0.58333333333333337</v>
      </c>
      <c r="D503" s="31">
        <v>0.8125</v>
      </c>
      <c r="E503" s="30">
        <f t="shared" si="8"/>
        <v>4.9999999999999991</v>
      </c>
      <c r="F503" s="38">
        <v>0.5</v>
      </c>
    </row>
    <row r="504" spans="1:6" x14ac:dyDescent="0.25">
      <c r="A504" s="44">
        <v>45535</v>
      </c>
      <c r="B504" s="11" t="s">
        <v>58</v>
      </c>
      <c r="C504" s="31">
        <v>0.83333333333333337</v>
      </c>
      <c r="D504" s="31">
        <v>4.1666666666666664E-2</v>
      </c>
      <c r="E504" s="30">
        <f t="shared" si="8"/>
        <v>4.9999999999999982</v>
      </c>
      <c r="F504" s="38"/>
    </row>
    <row r="505" spans="1:6" x14ac:dyDescent="0.25">
      <c r="A505" s="44">
        <v>45535</v>
      </c>
      <c r="B505" s="11" t="s">
        <v>58</v>
      </c>
      <c r="C505" s="31">
        <v>0.58333333333333337</v>
      </c>
      <c r="D505" s="31">
        <v>0.83333333333333337</v>
      </c>
      <c r="E505" s="30">
        <f t="shared" si="8"/>
        <v>5.5</v>
      </c>
      <c r="F505" s="38">
        <v>0.5</v>
      </c>
    </row>
    <row r="506" spans="1:6" x14ac:dyDescent="0.25">
      <c r="A506" s="44">
        <v>45535</v>
      </c>
      <c r="B506" s="11" t="s">
        <v>49</v>
      </c>
      <c r="C506" s="31">
        <v>0.33333333333333331</v>
      </c>
      <c r="D506" s="19">
        <v>0.52083333333333337</v>
      </c>
      <c r="E506" s="30">
        <f t="shared" si="8"/>
        <v>4.5000000000000018</v>
      </c>
      <c r="F506" s="38"/>
    </row>
    <row r="507" spans="1:6" x14ac:dyDescent="0.25">
      <c r="A507" s="49">
        <v>45535</v>
      </c>
      <c r="B507" s="16" t="s">
        <v>53</v>
      </c>
      <c r="C507" s="32">
        <v>0.8125</v>
      </c>
      <c r="D507" s="32">
        <v>0</v>
      </c>
      <c r="E507" s="30">
        <f t="shared" si="8"/>
        <v>4.5</v>
      </c>
      <c r="F507" s="39"/>
    </row>
    <row r="508" spans="1:6" x14ac:dyDescent="0.25">
      <c r="A508" s="44">
        <v>45538</v>
      </c>
      <c r="B508" s="11" t="s">
        <v>56</v>
      </c>
      <c r="C508" s="31">
        <v>0.33333333333333331</v>
      </c>
      <c r="D508" s="31">
        <v>0.58333333333333337</v>
      </c>
      <c r="E508" s="30">
        <f t="shared" si="8"/>
        <v>5.5000000000000018</v>
      </c>
      <c r="F508" s="38">
        <v>0.5</v>
      </c>
    </row>
    <row r="509" spans="1:6" x14ac:dyDescent="0.25">
      <c r="A509" s="44">
        <v>45538</v>
      </c>
      <c r="B509" s="11" t="s">
        <v>49</v>
      </c>
      <c r="C509" s="31">
        <v>0.6875</v>
      </c>
      <c r="D509" s="31">
        <v>0.89583333333333337</v>
      </c>
      <c r="E509" s="30">
        <f t="shared" si="8"/>
        <v>4.5000000000000009</v>
      </c>
      <c r="F509" s="38">
        <v>0.5</v>
      </c>
    </row>
    <row r="510" spans="1:6" x14ac:dyDescent="0.25">
      <c r="A510" s="44">
        <v>45539</v>
      </c>
      <c r="B510" s="11" t="s">
        <v>56</v>
      </c>
      <c r="C510" s="31">
        <v>0.33333333333333331</v>
      </c>
      <c r="D510" s="31">
        <v>0.58333333333333337</v>
      </c>
      <c r="E510" s="30">
        <f t="shared" si="8"/>
        <v>5.5000000000000018</v>
      </c>
      <c r="F510" s="38">
        <v>0.5</v>
      </c>
    </row>
    <row r="511" spans="1:6" x14ac:dyDescent="0.25">
      <c r="A511" s="44">
        <v>45539</v>
      </c>
      <c r="B511" s="11" t="s">
        <v>56</v>
      </c>
      <c r="C511" s="31">
        <v>0.66666666666666663</v>
      </c>
      <c r="D511" s="31">
        <v>0.89583333333333337</v>
      </c>
      <c r="E511" s="30">
        <f t="shared" si="8"/>
        <v>5.5000000000000018</v>
      </c>
      <c r="F511" s="38"/>
    </row>
    <row r="512" spans="1:6" x14ac:dyDescent="0.25">
      <c r="A512" s="44">
        <v>45540</v>
      </c>
      <c r="B512" s="11" t="s">
        <v>56</v>
      </c>
      <c r="C512" s="31">
        <v>0.75</v>
      </c>
      <c r="D512" s="31">
        <v>0.95833333333333337</v>
      </c>
      <c r="E512" s="30">
        <f t="shared" si="8"/>
        <v>5.0000000000000009</v>
      </c>
      <c r="F512" s="38"/>
    </row>
    <row r="513" spans="1:6" x14ac:dyDescent="0.25">
      <c r="A513" s="44">
        <v>45540</v>
      </c>
      <c r="B513" s="11" t="s">
        <v>56</v>
      </c>
      <c r="C513" s="31">
        <v>0.33333333333333331</v>
      </c>
      <c r="D513" s="31">
        <v>0.58333333333333337</v>
      </c>
      <c r="E513" s="30">
        <f t="shared" si="8"/>
        <v>5.5000000000000018</v>
      </c>
      <c r="F513" s="38">
        <v>0.5</v>
      </c>
    </row>
    <row r="514" spans="1:6" x14ac:dyDescent="0.25">
      <c r="A514" s="44">
        <v>45541</v>
      </c>
      <c r="B514" s="11" t="s">
        <v>56</v>
      </c>
      <c r="C514" s="31">
        <v>0.33333333333333331</v>
      </c>
      <c r="D514" s="31">
        <v>0.58333333333333337</v>
      </c>
      <c r="E514" s="30">
        <f t="shared" si="8"/>
        <v>5.5000000000000018</v>
      </c>
      <c r="F514" s="38">
        <v>0.5</v>
      </c>
    </row>
    <row r="515" spans="1:6" x14ac:dyDescent="0.25">
      <c r="A515" s="44">
        <v>45542</v>
      </c>
      <c r="B515" s="11" t="s">
        <v>56</v>
      </c>
      <c r="C515" s="31">
        <v>0.27083333333333331</v>
      </c>
      <c r="D515" s="31">
        <v>0.41666666666666669</v>
      </c>
      <c r="E515" s="30">
        <f t="shared" si="8"/>
        <v>3.5000000000000009</v>
      </c>
      <c r="F515" s="38"/>
    </row>
    <row r="516" spans="1:6" x14ac:dyDescent="0.25">
      <c r="A516" s="44">
        <v>45542</v>
      </c>
      <c r="B516" s="11" t="s">
        <v>56</v>
      </c>
      <c r="C516" s="31">
        <v>0.33333333333333331</v>
      </c>
      <c r="D516" s="31">
        <v>0.54166666666666663</v>
      </c>
      <c r="E516" s="30">
        <f t="shared" si="8"/>
        <v>5</v>
      </c>
      <c r="F516" s="38"/>
    </row>
    <row r="517" spans="1:6" x14ac:dyDescent="0.25">
      <c r="A517" s="44">
        <v>45542</v>
      </c>
      <c r="B517" s="11" t="s">
        <v>49</v>
      </c>
      <c r="C517" s="28">
        <v>0.33333333333333331</v>
      </c>
      <c r="D517" s="28">
        <v>0.52083333333333337</v>
      </c>
      <c r="E517" s="30">
        <f t="shared" si="8"/>
        <v>4.5000000000000018</v>
      </c>
      <c r="F517" s="38"/>
    </row>
    <row r="518" spans="1:6" x14ac:dyDescent="0.25">
      <c r="A518" s="44">
        <v>45542</v>
      </c>
      <c r="B518" s="11" t="s">
        <v>58</v>
      </c>
      <c r="C518" s="28">
        <v>0.54166666666666663</v>
      </c>
      <c r="D518" s="28">
        <v>0.875</v>
      </c>
      <c r="E518" s="30">
        <f t="shared" si="8"/>
        <v>7.5</v>
      </c>
      <c r="F518" s="38">
        <v>0.5</v>
      </c>
    </row>
    <row r="519" spans="1:6" x14ac:dyDescent="0.25">
      <c r="A519" s="44">
        <v>45542</v>
      </c>
      <c r="B519" s="11" t="s">
        <v>53</v>
      </c>
      <c r="C519" s="28">
        <v>0.47916666666666669</v>
      </c>
      <c r="D519" s="28">
        <v>0.75</v>
      </c>
      <c r="E519" s="30">
        <f t="shared" si="8"/>
        <v>6</v>
      </c>
      <c r="F519" s="38">
        <v>0.5</v>
      </c>
    </row>
    <row r="520" spans="1:6" x14ac:dyDescent="0.25">
      <c r="A520" s="44">
        <v>45542</v>
      </c>
      <c r="B520" s="11" t="s">
        <v>46</v>
      </c>
      <c r="C520" s="28">
        <v>0.5</v>
      </c>
      <c r="D520" s="28">
        <v>0.79166666666666663</v>
      </c>
      <c r="E520" s="30">
        <f t="shared" si="8"/>
        <v>6.4999999999999991</v>
      </c>
      <c r="F520" s="38">
        <v>0.5</v>
      </c>
    </row>
    <row r="521" spans="1:6" x14ac:dyDescent="0.25">
      <c r="A521" s="44">
        <v>45542</v>
      </c>
      <c r="B521" s="11" t="s">
        <v>53</v>
      </c>
      <c r="C521" s="28">
        <v>0.75</v>
      </c>
      <c r="D521" s="28">
        <v>2.0833333333333332E-2</v>
      </c>
      <c r="E521" s="30">
        <f t="shared" si="8"/>
        <v>6.0000000000000009</v>
      </c>
      <c r="F521" s="38">
        <v>0.5</v>
      </c>
    </row>
    <row r="522" spans="1:6" x14ac:dyDescent="0.25">
      <c r="A522" s="44">
        <v>45543</v>
      </c>
      <c r="B522" s="11" t="s">
        <v>46</v>
      </c>
      <c r="C522" s="31">
        <v>0.58333333333333337</v>
      </c>
      <c r="D522" s="31">
        <v>0.91666666666666663</v>
      </c>
      <c r="E522" s="30">
        <f t="shared" si="8"/>
        <v>7.4999999999999982</v>
      </c>
      <c r="F522" s="38">
        <v>0.5</v>
      </c>
    </row>
    <row r="523" spans="1:6" x14ac:dyDescent="0.25">
      <c r="A523" s="44">
        <v>45544</v>
      </c>
      <c r="B523" s="11" t="s">
        <v>56</v>
      </c>
      <c r="C523" s="31">
        <v>0.33333333333333331</v>
      </c>
      <c r="D523" s="31">
        <v>0.58333333333333337</v>
      </c>
      <c r="E523" s="30">
        <f t="shared" si="8"/>
        <v>5.5000000000000018</v>
      </c>
      <c r="F523" s="38">
        <v>0.5</v>
      </c>
    </row>
    <row r="524" spans="1:6" x14ac:dyDescent="0.25">
      <c r="A524" s="44">
        <v>45545</v>
      </c>
      <c r="B524" s="11" t="s">
        <v>53</v>
      </c>
      <c r="C524" s="31">
        <v>0.66666666666666663</v>
      </c>
      <c r="D524" s="31">
        <v>0.875</v>
      </c>
      <c r="E524" s="30">
        <f t="shared" si="8"/>
        <v>5.0000000000000009</v>
      </c>
      <c r="F524" s="38"/>
    </row>
    <row r="525" spans="1:6" x14ac:dyDescent="0.25">
      <c r="A525" s="44">
        <v>45545</v>
      </c>
      <c r="B525" s="11" t="s">
        <v>56</v>
      </c>
      <c r="C525" s="31">
        <v>0.33333333333333331</v>
      </c>
      <c r="D525" s="31">
        <v>0.58333333333333337</v>
      </c>
      <c r="E525" s="30">
        <f t="shared" si="8"/>
        <v>5.5000000000000018</v>
      </c>
      <c r="F525" s="38">
        <v>0.5</v>
      </c>
    </row>
    <row r="526" spans="1:6" x14ac:dyDescent="0.25">
      <c r="A526" s="44">
        <v>45546</v>
      </c>
      <c r="B526" s="11" t="s">
        <v>56</v>
      </c>
      <c r="C526" s="31">
        <v>0.33333333333333331</v>
      </c>
      <c r="D526" s="31">
        <v>0.58333333333333337</v>
      </c>
      <c r="E526" s="30">
        <f t="shared" si="8"/>
        <v>5.5000000000000018</v>
      </c>
      <c r="F526" s="38">
        <v>0.5</v>
      </c>
    </row>
    <row r="527" spans="1:6" x14ac:dyDescent="0.25">
      <c r="A527" s="44">
        <v>45547</v>
      </c>
      <c r="B527" s="11" t="s">
        <v>56</v>
      </c>
      <c r="C527" s="31">
        <v>0.33333333333333331</v>
      </c>
      <c r="D527" s="31">
        <v>0.58333333333333337</v>
      </c>
      <c r="E527" s="30">
        <f t="shared" si="8"/>
        <v>5.5000000000000018</v>
      </c>
      <c r="F527" s="38">
        <v>0.5</v>
      </c>
    </row>
    <row r="528" spans="1:6" x14ac:dyDescent="0.25">
      <c r="A528" s="44">
        <v>45547</v>
      </c>
      <c r="B528" s="11" t="s">
        <v>56</v>
      </c>
      <c r="C528" s="31">
        <v>0.77083333333333337</v>
      </c>
      <c r="D528" s="31">
        <v>0.95833333333333337</v>
      </c>
      <c r="E528" s="30">
        <f t="shared" si="8"/>
        <v>4.5</v>
      </c>
      <c r="F528" s="38"/>
    </row>
    <row r="529" spans="1:6" x14ac:dyDescent="0.25">
      <c r="A529" s="44">
        <v>45548</v>
      </c>
      <c r="B529" s="11" t="s">
        <v>45</v>
      </c>
      <c r="C529" s="31">
        <v>0.33333333333333331</v>
      </c>
      <c r="D529" s="31">
        <v>0.66666666666666663</v>
      </c>
      <c r="E529" s="30">
        <f t="shared" si="8"/>
        <v>7.5</v>
      </c>
      <c r="F529" s="38">
        <v>0.5</v>
      </c>
    </row>
    <row r="530" spans="1:6" x14ac:dyDescent="0.25">
      <c r="A530" s="44">
        <v>45548</v>
      </c>
      <c r="B530" s="11" t="s">
        <v>53</v>
      </c>
      <c r="C530" s="31">
        <v>0.625</v>
      </c>
      <c r="D530" s="31">
        <v>0.83333333333333337</v>
      </c>
      <c r="E530" s="30">
        <f t="shared" si="8"/>
        <v>5.0000000000000009</v>
      </c>
      <c r="F530" s="38"/>
    </row>
    <row r="531" spans="1:6" x14ac:dyDescent="0.25">
      <c r="A531" s="44">
        <v>45548</v>
      </c>
      <c r="B531" s="11" t="s">
        <v>56</v>
      </c>
      <c r="C531" s="31">
        <v>0.33333333333333331</v>
      </c>
      <c r="D531" s="31">
        <v>0.58333333333333337</v>
      </c>
      <c r="E531" s="30">
        <f t="shared" si="8"/>
        <v>5.5000000000000018</v>
      </c>
      <c r="F531" s="38">
        <v>0.5</v>
      </c>
    </row>
    <row r="532" spans="1:6" x14ac:dyDescent="0.25">
      <c r="A532" s="44">
        <v>45549</v>
      </c>
      <c r="B532" s="11" t="s">
        <v>49</v>
      </c>
      <c r="C532" s="31">
        <v>0.33333333333333331</v>
      </c>
      <c r="D532" s="31">
        <v>0.52083333333333337</v>
      </c>
      <c r="E532" s="30">
        <f t="shared" si="8"/>
        <v>4.5000000000000018</v>
      </c>
      <c r="F532" s="38"/>
    </row>
    <row r="533" spans="1:6" x14ac:dyDescent="0.25">
      <c r="A533" s="44">
        <v>45549</v>
      </c>
      <c r="B533" s="11" t="s">
        <v>53</v>
      </c>
      <c r="C533" s="31">
        <v>0.66666666666666663</v>
      </c>
      <c r="D533" s="31">
        <v>0.83333333333333337</v>
      </c>
      <c r="E533" s="30">
        <f t="shared" si="8"/>
        <v>4.0000000000000018</v>
      </c>
      <c r="F533" s="38"/>
    </row>
    <row r="534" spans="1:6" x14ac:dyDescent="0.25">
      <c r="A534" s="44">
        <v>45549</v>
      </c>
      <c r="B534" s="11" t="s">
        <v>58</v>
      </c>
      <c r="C534" s="31">
        <v>0.70833333333333337</v>
      </c>
      <c r="D534" s="31">
        <v>0.95833333333333337</v>
      </c>
      <c r="E534" s="30">
        <f t="shared" si="8"/>
        <v>5.5</v>
      </c>
      <c r="F534" s="38">
        <v>0.5</v>
      </c>
    </row>
    <row r="535" spans="1:6" x14ac:dyDescent="0.25">
      <c r="A535" s="44">
        <v>45549</v>
      </c>
      <c r="B535" s="11" t="s">
        <v>53</v>
      </c>
      <c r="C535" s="31">
        <v>0.83333333333333337</v>
      </c>
      <c r="D535" s="31">
        <v>4.1666666666666664E-2</v>
      </c>
      <c r="E535" s="30">
        <f t="shared" si="8"/>
        <v>4.9999999999999982</v>
      </c>
      <c r="F535" s="38"/>
    </row>
    <row r="536" spans="1:6" x14ac:dyDescent="0.25">
      <c r="A536" s="44">
        <v>45549</v>
      </c>
      <c r="B536" s="11" t="s">
        <v>58</v>
      </c>
      <c r="C536" s="31">
        <v>0.45833333333333331</v>
      </c>
      <c r="D536" s="31">
        <v>0.70833333333333337</v>
      </c>
      <c r="E536" s="30">
        <f t="shared" si="8"/>
        <v>5.5000000000000018</v>
      </c>
      <c r="F536" s="38">
        <v>0.5</v>
      </c>
    </row>
    <row r="537" spans="1:6" x14ac:dyDescent="0.25">
      <c r="A537" s="44">
        <v>45549</v>
      </c>
      <c r="B537" s="11" t="s">
        <v>58</v>
      </c>
      <c r="C537" s="31">
        <v>0.27083333333333331</v>
      </c>
      <c r="D537" s="31">
        <v>0.41666666666666669</v>
      </c>
      <c r="E537" s="30">
        <f t="shared" si="8"/>
        <v>3.5000000000000009</v>
      </c>
      <c r="F537" s="38"/>
    </row>
    <row r="538" spans="1:6" x14ac:dyDescent="0.25">
      <c r="A538" s="44">
        <v>45549</v>
      </c>
      <c r="B538" s="11" t="s">
        <v>56</v>
      </c>
      <c r="C538" s="31">
        <v>0.33333333333333331</v>
      </c>
      <c r="D538" s="31">
        <v>0.54166666666666663</v>
      </c>
      <c r="E538" s="30">
        <f t="shared" si="8"/>
        <v>5</v>
      </c>
      <c r="F538" s="38"/>
    </row>
    <row r="539" spans="1:6" x14ac:dyDescent="0.25">
      <c r="A539" s="44">
        <v>45550</v>
      </c>
      <c r="B539" s="11" t="s">
        <v>46</v>
      </c>
      <c r="C539" s="31">
        <v>0.375</v>
      </c>
      <c r="D539" s="31">
        <v>0.70833333333333337</v>
      </c>
      <c r="E539" s="30">
        <f t="shared" si="8"/>
        <v>7.5</v>
      </c>
      <c r="F539" s="38">
        <v>0.5</v>
      </c>
    </row>
    <row r="540" spans="1:6" x14ac:dyDescent="0.25">
      <c r="A540" s="44">
        <v>45550</v>
      </c>
      <c r="B540" s="11" t="s">
        <v>58</v>
      </c>
      <c r="C540" s="31">
        <v>0.45833333333333331</v>
      </c>
      <c r="D540" s="31">
        <v>0.70833333333333337</v>
      </c>
      <c r="E540" s="30">
        <f t="shared" si="8"/>
        <v>5.5000000000000018</v>
      </c>
      <c r="F540" s="38">
        <v>0.5</v>
      </c>
    </row>
    <row r="541" spans="1:6" x14ac:dyDescent="0.25">
      <c r="A541" s="44">
        <v>45551</v>
      </c>
      <c r="B541" s="11" t="s">
        <v>56</v>
      </c>
      <c r="C541" s="31">
        <v>0.33333333333333331</v>
      </c>
      <c r="D541" s="31">
        <v>0.58333333333333337</v>
      </c>
      <c r="E541" s="30">
        <f t="shared" si="8"/>
        <v>5.5000000000000018</v>
      </c>
      <c r="F541" s="38">
        <v>0.5</v>
      </c>
    </row>
    <row r="542" spans="1:6" x14ac:dyDescent="0.25">
      <c r="A542" s="44">
        <v>45552</v>
      </c>
      <c r="B542" s="11" t="s">
        <v>56</v>
      </c>
      <c r="C542" s="31">
        <v>0.33333333333333331</v>
      </c>
      <c r="D542" s="31">
        <v>0.58333333333333337</v>
      </c>
      <c r="E542" s="30">
        <f t="shared" si="8"/>
        <v>5.5000000000000018</v>
      </c>
      <c r="F542" s="38">
        <v>0.5</v>
      </c>
    </row>
    <row r="543" spans="1:6" x14ac:dyDescent="0.25">
      <c r="A543" s="44">
        <v>45553</v>
      </c>
      <c r="B543" s="11" t="s">
        <v>49</v>
      </c>
      <c r="C543" s="31">
        <v>0.6875</v>
      </c>
      <c r="D543" s="31">
        <v>0.89583333333333337</v>
      </c>
      <c r="E543" s="30">
        <f t="shared" si="8"/>
        <v>5.0000000000000009</v>
      </c>
      <c r="F543" s="38"/>
    </row>
    <row r="544" spans="1:6" x14ac:dyDescent="0.25">
      <c r="A544" s="44">
        <v>45553</v>
      </c>
      <c r="B544" s="11" t="s">
        <v>56</v>
      </c>
      <c r="C544" s="31">
        <v>0.33333333333333331</v>
      </c>
      <c r="D544" s="31">
        <v>0.58333333333333337</v>
      </c>
      <c r="E544" s="30">
        <f t="shared" si="8"/>
        <v>5.5000000000000018</v>
      </c>
      <c r="F544" s="38">
        <v>0.5</v>
      </c>
    </row>
    <row r="545" spans="1:6" x14ac:dyDescent="0.25">
      <c r="A545" s="44">
        <v>45553</v>
      </c>
      <c r="B545" s="11" t="s">
        <v>56</v>
      </c>
      <c r="C545" s="31">
        <v>0.70833333333333337</v>
      </c>
      <c r="D545" s="31">
        <v>0.875</v>
      </c>
      <c r="E545" s="30">
        <f t="shared" si="8"/>
        <v>3.9999999999999991</v>
      </c>
      <c r="F545" s="38"/>
    </row>
    <row r="546" spans="1:6" x14ac:dyDescent="0.25">
      <c r="A546" s="44">
        <v>45554</v>
      </c>
      <c r="B546" s="11" t="s">
        <v>56</v>
      </c>
      <c r="C546" s="31">
        <v>0.33333333333333331</v>
      </c>
      <c r="D546" s="31">
        <v>0.58333333333333337</v>
      </c>
      <c r="E546" s="30">
        <f t="shared" si="8"/>
        <v>5.5000000000000018</v>
      </c>
      <c r="F546" s="38">
        <v>0.5</v>
      </c>
    </row>
    <row r="547" spans="1:6" x14ac:dyDescent="0.25">
      <c r="A547" s="44">
        <v>45554</v>
      </c>
      <c r="B547" s="11" t="s">
        <v>56</v>
      </c>
      <c r="C547" s="31">
        <v>0.77083333333333337</v>
      </c>
      <c r="D547" s="31">
        <v>0.95833333333333337</v>
      </c>
      <c r="E547" s="30">
        <f t="shared" ref="E547:E610" si="9">MOD((D547-C547),1) *24 - F547</f>
        <v>4.5</v>
      </c>
      <c r="F547" s="38"/>
    </row>
    <row r="548" spans="1:6" x14ac:dyDescent="0.25">
      <c r="A548" s="44">
        <v>45555</v>
      </c>
      <c r="B548" s="11" t="s">
        <v>56</v>
      </c>
      <c r="C548" s="31">
        <v>0.33333333333333331</v>
      </c>
      <c r="D548" s="31">
        <v>0.58333333333333337</v>
      </c>
      <c r="E548" s="30">
        <f t="shared" si="9"/>
        <v>5.5000000000000018</v>
      </c>
      <c r="F548" s="38">
        <v>0.5</v>
      </c>
    </row>
    <row r="549" spans="1:6" x14ac:dyDescent="0.25">
      <c r="A549" s="44">
        <v>45556</v>
      </c>
      <c r="B549" s="11" t="s">
        <v>58</v>
      </c>
      <c r="C549" s="31">
        <v>0.27083333333333331</v>
      </c>
      <c r="D549" s="31">
        <v>0.41666666666666669</v>
      </c>
      <c r="E549" s="30">
        <f t="shared" si="9"/>
        <v>3.5000000000000009</v>
      </c>
      <c r="F549" s="38"/>
    </row>
    <row r="550" spans="1:6" x14ac:dyDescent="0.25">
      <c r="A550" s="44">
        <v>45556</v>
      </c>
      <c r="B550" s="11" t="s">
        <v>56</v>
      </c>
      <c r="C550" s="31">
        <v>0.33333333333333331</v>
      </c>
      <c r="D550" s="19">
        <v>0.64583333333333337</v>
      </c>
      <c r="E550" s="30">
        <f t="shared" si="9"/>
        <v>7.0000000000000018</v>
      </c>
      <c r="F550" s="38">
        <v>0.5</v>
      </c>
    </row>
    <row r="551" spans="1:6" x14ac:dyDescent="0.25">
      <c r="A551" s="44">
        <v>45556</v>
      </c>
      <c r="B551" s="11" t="s">
        <v>58</v>
      </c>
      <c r="C551" s="31">
        <v>0.625</v>
      </c>
      <c r="D551" s="31">
        <v>4.1666666666666664E-2</v>
      </c>
      <c r="E551" s="30">
        <f t="shared" si="9"/>
        <v>9</v>
      </c>
      <c r="F551" s="38">
        <v>1</v>
      </c>
    </row>
    <row r="552" spans="1:6" x14ac:dyDescent="0.25">
      <c r="A552" s="44">
        <v>45556</v>
      </c>
      <c r="B552" s="11" t="s">
        <v>53</v>
      </c>
      <c r="C552" s="31">
        <v>0.54166666666666663</v>
      </c>
      <c r="D552" s="31">
        <v>0.79166666666666663</v>
      </c>
      <c r="E552" s="30">
        <f t="shared" si="9"/>
        <v>5.5</v>
      </c>
      <c r="F552" s="38">
        <v>0.5</v>
      </c>
    </row>
    <row r="553" spans="1:6" x14ac:dyDescent="0.25">
      <c r="A553" s="44">
        <v>45556</v>
      </c>
      <c r="B553" s="11" t="s">
        <v>46</v>
      </c>
      <c r="C553" s="31">
        <v>0.72916666666666663</v>
      </c>
      <c r="D553" s="31">
        <v>0.91666666666666663</v>
      </c>
      <c r="E553" s="30">
        <f t="shared" si="9"/>
        <v>4.5</v>
      </c>
      <c r="F553" s="38"/>
    </row>
    <row r="554" spans="1:6" x14ac:dyDescent="0.25">
      <c r="A554" s="44">
        <v>45556</v>
      </c>
      <c r="B554" s="11" t="s">
        <v>47</v>
      </c>
      <c r="C554" s="31">
        <v>0.33333333333333331</v>
      </c>
      <c r="D554" s="31">
        <v>0.47916666666666669</v>
      </c>
      <c r="E554" s="30">
        <f t="shared" si="9"/>
        <v>3.5000000000000009</v>
      </c>
      <c r="F554" s="38"/>
    </row>
    <row r="555" spans="1:6" x14ac:dyDescent="0.25">
      <c r="A555" s="44">
        <v>45556</v>
      </c>
      <c r="B555" s="11" t="s">
        <v>49</v>
      </c>
      <c r="C555" s="31">
        <v>0.33333333333333331</v>
      </c>
      <c r="D555" s="31">
        <v>0.54166666666666663</v>
      </c>
      <c r="E555" s="30">
        <f t="shared" si="9"/>
        <v>5</v>
      </c>
      <c r="F555" s="38"/>
    </row>
    <row r="556" spans="1:6" x14ac:dyDescent="0.25">
      <c r="A556" s="44">
        <v>45556</v>
      </c>
      <c r="B556" s="11" t="s">
        <v>46</v>
      </c>
      <c r="C556" s="31">
        <v>0.5</v>
      </c>
      <c r="D556" s="31">
        <v>0.70833333333333337</v>
      </c>
      <c r="E556" s="30">
        <f t="shared" si="9"/>
        <v>4.5000000000000009</v>
      </c>
      <c r="F556" s="38">
        <v>0.5</v>
      </c>
    </row>
    <row r="557" spans="1:6" x14ac:dyDescent="0.25">
      <c r="A557" s="44">
        <v>45556</v>
      </c>
      <c r="B557" s="11" t="s">
        <v>48</v>
      </c>
      <c r="C557" s="31">
        <v>0.47916666666666669</v>
      </c>
      <c r="D557" s="31">
        <v>0.625</v>
      </c>
      <c r="E557" s="30">
        <f t="shared" si="9"/>
        <v>3.4999999999999996</v>
      </c>
      <c r="F557" s="38"/>
    </row>
    <row r="558" spans="1:6" x14ac:dyDescent="0.25">
      <c r="A558" s="44">
        <v>45557</v>
      </c>
      <c r="B558" s="11" t="s">
        <v>46</v>
      </c>
      <c r="C558" s="31">
        <v>0.54166666666666663</v>
      </c>
      <c r="D558" s="31">
        <v>0.75</v>
      </c>
      <c r="E558" s="30">
        <f t="shared" si="9"/>
        <v>5.0000000000000009</v>
      </c>
      <c r="F558" s="38"/>
    </row>
    <row r="559" spans="1:6" x14ac:dyDescent="0.25">
      <c r="A559" s="44">
        <v>45557</v>
      </c>
      <c r="B559" s="11" t="s">
        <v>49</v>
      </c>
      <c r="C559" s="31">
        <v>0.5625</v>
      </c>
      <c r="D559" s="31">
        <v>0.72916666666666663</v>
      </c>
      <c r="E559" s="30">
        <f t="shared" si="9"/>
        <v>3.9999999999999991</v>
      </c>
      <c r="F559" s="38"/>
    </row>
    <row r="560" spans="1:6" x14ac:dyDescent="0.25">
      <c r="A560" s="44">
        <v>45558</v>
      </c>
      <c r="B560" s="11" t="s">
        <v>56</v>
      </c>
      <c r="C560" s="31">
        <v>0.33333333333333331</v>
      </c>
      <c r="D560" s="31">
        <v>0.58333333333333337</v>
      </c>
      <c r="E560" s="30">
        <f t="shared" si="9"/>
        <v>5.5000000000000018</v>
      </c>
      <c r="F560" s="38">
        <v>0.5</v>
      </c>
    </row>
    <row r="561" spans="1:6" x14ac:dyDescent="0.25">
      <c r="A561" s="44">
        <v>45559</v>
      </c>
      <c r="B561" s="11" t="s">
        <v>56</v>
      </c>
      <c r="C561" s="31">
        <v>0.33333333333333331</v>
      </c>
      <c r="D561" s="31">
        <v>0.58333333333333337</v>
      </c>
      <c r="E561" s="30">
        <f t="shared" si="9"/>
        <v>5.5000000000000018</v>
      </c>
      <c r="F561" s="38">
        <v>0.5</v>
      </c>
    </row>
    <row r="562" spans="1:6" x14ac:dyDescent="0.25">
      <c r="A562" s="44">
        <v>45560</v>
      </c>
      <c r="B562" s="11" t="s">
        <v>49</v>
      </c>
      <c r="C562" s="31">
        <v>0.70833333333333337</v>
      </c>
      <c r="D562" s="31">
        <v>0.89583333333333337</v>
      </c>
      <c r="E562" s="30">
        <f t="shared" si="9"/>
        <v>4.5</v>
      </c>
      <c r="F562" s="38"/>
    </row>
    <row r="563" spans="1:6" x14ac:dyDescent="0.25">
      <c r="A563" s="44">
        <v>45560</v>
      </c>
      <c r="B563" s="11" t="s">
        <v>56</v>
      </c>
      <c r="C563" s="31">
        <v>0.33333333333333331</v>
      </c>
      <c r="D563" s="31">
        <v>0.58333333333333337</v>
      </c>
      <c r="E563" s="30">
        <f t="shared" si="9"/>
        <v>5.5000000000000018</v>
      </c>
      <c r="F563" s="38">
        <v>0.5</v>
      </c>
    </row>
    <row r="564" spans="1:6" x14ac:dyDescent="0.25">
      <c r="A564" s="44">
        <v>45561</v>
      </c>
      <c r="B564" s="11" t="s">
        <v>56</v>
      </c>
      <c r="C564" s="31">
        <v>0.72916666666666663</v>
      </c>
      <c r="D564" s="31">
        <v>0.95833333333333337</v>
      </c>
      <c r="E564" s="30">
        <f t="shared" si="9"/>
        <v>5.0000000000000018</v>
      </c>
      <c r="F564" s="38">
        <v>0.5</v>
      </c>
    </row>
    <row r="565" spans="1:6" x14ac:dyDescent="0.25">
      <c r="A565" s="44">
        <v>45561</v>
      </c>
      <c r="B565" s="11" t="s">
        <v>56</v>
      </c>
      <c r="C565" s="31">
        <v>0.33333333333333331</v>
      </c>
      <c r="D565" s="31">
        <v>0.58333333333333337</v>
      </c>
      <c r="E565" s="30">
        <f t="shared" si="9"/>
        <v>5.5000000000000018</v>
      </c>
      <c r="F565" s="38">
        <v>0.5</v>
      </c>
    </row>
    <row r="566" spans="1:6" x14ac:dyDescent="0.25">
      <c r="A566" s="44">
        <v>45562</v>
      </c>
      <c r="B566" s="11" t="s">
        <v>56</v>
      </c>
      <c r="C566" s="31">
        <v>0.33333333333333331</v>
      </c>
      <c r="D566" s="31">
        <v>0.58333333333333337</v>
      </c>
      <c r="E566" s="30">
        <f t="shared" si="9"/>
        <v>5.5000000000000018</v>
      </c>
      <c r="F566" s="38">
        <v>0.5</v>
      </c>
    </row>
    <row r="567" spans="1:6" x14ac:dyDescent="0.25">
      <c r="A567" s="44">
        <v>45562</v>
      </c>
      <c r="B567" s="11" t="s">
        <v>56</v>
      </c>
      <c r="C567" s="31">
        <v>0.625</v>
      </c>
      <c r="D567" s="31">
        <v>0.83333333333333337</v>
      </c>
      <c r="E567" s="30">
        <f t="shared" si="9"/>
        <v>5.0000000000000009</v>
      </c>
      <c r="F567" s="38"/>
    </row>
    <row r="568" spans="1:6" x14ac:dyDescent="0.25">
      <c r="A568" s="44">
        <v>45563</v>
      </c>
      <c r="B568" s="11" t="s">
        <v>56</v>
      </c>
      <c r="C568" s="31">
        <v>0.33333333333333331</v>
      </c>
      <c r="D568" s="31">
        <v>0.54166666666666663</v>
      </c>
      <c r="E568" s="30">
        <f t="shared" si="9"/>
        <v>5</v>
      </c>
      <c r="F568" s="38"/>
    </row>
    <row r="569" spans="1:6" x14ac:dyDescent="0.25">
      <c r="A569" s="44">
        <v>45563</v>
      </c>
      <c r="B569" s="11" t="s">
        <v>53</v>
      </c>
      <c r="C569" s="31">
        <v>0.70833333333333337</v>
      </c>
      <c r="D569" s="31">
        <v>0.91666666666666663</v>
      </c>
      <c r="E569" s="30">
        <f t="shared" si="9"/>
        <v>4.9999999999999982</v>
      </c>
      <c r="F569" s="38"/>
    </row>
    <row r="570" spans="1:6" x14ac:dyDescent="0.25">
      <c r="A570" s="44">
        <v>45563</v>
      </c>
      <c r="B570" s="11" t="s">
        <v>58</v>
      </c>
      <c r="C570" s="31">
        <v>0.54166666666666663</v>
      </c>
      <c r="D570" s="31">
        <v>0.875</v>
      </c>
      <c r="E570" s="30">
        <f t="shared" si="9"/>
        <v>7.5</v>
      </c>
      <c r="F570" s="38">
        <v>0.5</v>
      </c>
    </row>
    <row r="571" spans="1:6" x14ac:dyDescent="0.25">
      <c r="A571" s="44">
        <v>45563</v>
      </c>
      <c r="B571" s="11" t="s">
        <v>53</v>
      </c>
      <c r="C571" s="31">
        <v>0.5</v>
      </c>
      <c r="D571" s="31">
        <v>0.70833333333333337</v>
      </c>
      <c r="E571" s="30">
        <f t="shared" si="9"/>
        <v>5.0000000000000009</v>
      </c>
      <c r="F571" s="38"/>
    </row>
    <row r="572" spans="1:6" x14ac:dyDescent="0.25">
      <c r="A572" s="44">
        <v>45563</v>
      </c>
      <c r="B572" s="11" t="s">
        <v>53</v>
      </c>
      <c r="C572" s="31">
        <v>0.27083333333333331</v>
      </c>
      <c r="D572" s="31">
        <v>0.5</v>
      </c>
      <c r="E572" s="30">
        <f t="shared" si="9"/>
        <v>5</v>
      </c>
      <c r="F572" s="38">
        <v>0.5</v>
      </c>
    </row>
    <row r="573" spans="1:6" x14ac:dyDescent="0.25">
      <c r="A573" s="44">
        <v>45563</v>
      </c>
      <c r="B573" s="11" t="s">
        <v>58</v>
      </c>
      <c r="C573" s="31">
        <v>0.27083333333333331</v>
      </c>
      <c r="D573" s="31">
        <v>0.41666666666666669</v>
      </c>
      <c r="E573" s="30">
        <f t="shared" si="9"/>
        <v>3.5000000000000009</v>
      </c>
      <c r="F573" s="38"/>
    </row>
    <row r="574" spans="1:6" x14ac:dyDescent="0.25">
      <c r="A574" s="44">
        <v>45564</v>
      </c>
      <c r="B574" s="11" t="s">
        <v>49</v>
      </c>
      <c r="C574" s="31">
        <v>0.54166666666666663</v>
      </c>
      <c r="D574" s="31">
        <v>0.77083333333333337</v>
      </c>
      <c r="E574" s="30">
        <f t="shared" si="9"/>
        <v>5.0000000000000018</v>
      </c>
      <c r="F574" s="38">
        <v>0.5</v>
      </c>
    </row>
    <row r="575" spans="1:6" x14ac:dyDescent="0.25">
      <c r="A575" s="44">
        <v>45564</v>
      </c>
      <c r="B575" s="11" t="s">
        <v>53</v>
      </c>
      <c r="C575" s="31">
        <v>0.77083333333333337</v>
      </c>
      <c r="D575" s="31">
        <v>4.1666666666666664E-2</v>
      </c>
      <c r="E575" s="30">
        <f t="shared" si="9"/>
        <v>5.9999999999999982</v>
      </c>
      <c r="F575" s="38">
        <v>0.5</v>
      </c>
    </row>
    <row r="576" spans="1:6" x14ac:dyDescent="0.25">
      <c r="A576" s="44">
        <v>45564</v>
      </c>
      <c r="B576" s="11" t="s">
        <v>46</v>
      </c>
      <c r="C576" s="31">
        <v>0.625</v>
      </c>
      <c r="D576" s="31">
        <v>0.875</v>
      </c>
      <c r="E576" s="30">
        <f t="shared" si="9"/>
        <v>5.5</v>
      </c>
      <c r="F576" s="38">
        <v>0.5</v>
      </c>
    </row>
    <row r="577" spans="1:7" x14ac:dyDescent="0.25">
      <c r="A577" s="44">
        <v>45564</v>
      </c>
      <c r="B577" s="11" t="s">
        <v>58</v>
      </c>
      <c r="C577" s="31">
        <v>0.33333333333333331</v>
      </c>
      <c r="D577" s="31">
        <v>0.70833333333333337</v>
      </c>
      <c r="E577" s="30">
        <f t="shared" si="9"/>
        <v>8.0000000000000018</v>
      </c>
      <c r="F577" s="38">
        <v>1</v>
      </c>
    </row>
    <row r="578" spans="1:7" x14ac:dyDescent="0.25">
      <c r="A578" s="44">
        <v>45565</v>
      </c>
      <c r="B578" s="11" t="s">
        <v>56</v>
      </c>
      <c r="C578" s="31">
        <v>0.33333333333333331</v>
      </c>
      <c r="D578" s="31">
        <v>0.58333333333333337</v>
      </c>
      <c r="E578" s="30">
        <f t="shared" si="9"/>
        <v>5.5000000000000018</v>
      </c>
      <c r="F578" s="38">
        <v>0.5</v>
      </c>
    </row>
    <row r="579" spans="1:7" x14ac:dyDescent="0.25">
      <c r="A579" s="44">
        <v>45566</v>
      </c>
      <c r="B579" s="11" t="s">
        <v>56</v>
      </c>
      <c r="C579" s="31">
        <v>0.33333333333333331</v>
      </c>
      <c r="D579" s="31">
        <v>0.58333333333333337</v>
      </c>
      <c r="E579" s="30">
        <f t="shared" si="9"/>
        <v>5.5000000000000018</v>
      </c>
      <c r="F579" s="38">
        <v>0.5</v>
      </c>
      <c r="G579" s="12">
        <f>SUM(E:E)</f>
        <v>4285.5</v>
      </c>
    </row>
    <row r="580" spans="1:7" x14ac:dyDescent="0.25">
      <c r="A580" s="44">
        <v>45567</v>
      </c>
      <c r="B580" s="11" t="s">
        <v>56</v>
      </c>
      <c r="C580" s="31">
        <v>0.3125</v>
      </c>
      <c r="D580" s="31">
        <v>0.58333333333333337</v>
      </c>
      <c r="E580" s="30">
        <f t="shared" si="9"/>
        <v>6.0000000000000009</v>
      </c>
      <c r="F580" s="38">
        <v>0.5</v>
      </c>
    </row>
    <row r="581" spans="1:7" x14ac:dyDescent="0.25">
      <c r="A581" s="44">
        <v>45567</v>
      </c>
      <c r="B581" s="11" t="s">
        <v>49</v>
      </c>
      <c r="C581" s="31">
        <v>0.70833333333333337</v>
      </c>
      <c r="D581" s="31">
        <v>0.875</v>
      </c>
      <c r="E581" s="30">
        <f t="shared" si="9"/>
        <v>3.9999999999999991</v>
      </c>
      <c r="F581" s="38"/>
    </row>
    <row r="582" spans="1:7" x14ac:dyDescent="0.25">
      <c r="A582" s="44">
        <v>45567</v>
      </c>
      <c r="B582" s="11" t="s">
        <v>56</v>
      </c>
      <c r="C582" s="31">
        <v>0.66666666666666663</v>
      </c>
      <c r="D582" s="31">
        <v>0.875</v>
      </c>
      <c r="E582" s="30">
        <f t="shared" si="9"/>
        <v>5.0000000000000009</v>
      </c>
      <c r="F582" s="38"/>
    </row>
    <row r="583" spans="1:7" x14ac:dyDescent="0.25">
      <c r="A583" s="44">
        <v>45568</v>
      </c>
      <c r="B583" s="11" t="s">
        <v>56</v>
      </c>
      <c r="C583" s="31">
        <v>0.33333333333333331</v>
      </c>
      <c r="D583" s="31">
        <v>0.58333333333333337</v>
      </c>
      <c r="E583" s="30">
        <f t="shared" si="9"/>
        <v>5.5000000000000018</v>
      </c>
      <c r="F583" s="38">
        <v>0.5</v>
      </c>
    </row>
    <row r="584" spans="1:7" x14ac:dyDescent="0.25">
      <c r="A584" s="44">
        <v>45568</v>
      </c>
      <c r="B584" s="11" t="s">
        <v>56</v>
      </c>
      <c r="C584" s="31">
        <v>0.6875</v>
      </c>
      <c r="D584" s="31">
        <v>0.95833333333333337</v>
      </c>
      <c r="E584" s="30">
        <f t="shared" si="9"/>
        <v>6.0000000000000009</v>
      </c>
      <c r="F584" s="38">
        <v>0.5</v>
      </c>
    </row>
    <row r="585" spans="1:7" x14ac:dyDescent="0.25">
      <c r="A585" s="44">
        <v>45569</v>
      </c>
      <c r="B585" s="11" t="s">
        <v>56</v>
      </c>
      <c r="C585" s="31">
        <v>0.625</v>
      </c>
      <c r="D585" s="31">
        <v>0.79166666666666663</v>
      </c>
      <c r="E585" s="30">
        <f t="shared" si="9"/>
        <v>3.9999999999999991</v>
      </c>
      <c r="F585" s="38"/>
    </row>
    <row r="586" spans="1:7" x14ac:dyDescent="0.25">
      <c r="A586" s="44">
        <v>45569</v>
      </c>
      <c r="B586" s="11" t="s">
        <v>56</v>
      </c>
      <c r="C586" s="31">
        <v>0.33333333333333331</v>
      </c>
      <c r="D586" s="31">
        <v>0.58333333333333337</v>
      </c>
      <c r="E586" s="30">
        <f t="shared" si="9"/>
        <v>5.5000000000000018</v>
      </c>
      <c r="F586" s="38">
        <v>0.5</v>
      </c>
    </row>
    <row r="587" spans="1:7" x14ac:dyDescent="0.25">
      <c r="A587" s="44">
        <v>45570</v>
      </c>
      <c r="B587" s="11" t="s">
        <v>58</v>
      </c>
      <c r="C587" s="31">
        <v>0.72916666666666663</v>
      </c>
      <c r="D587" s="31">
        <v>0.91666666666666663</v>
      </c>
      <c r="E587" s="30">
        <f t="shared" si="9"/>
        <v>4.5</v>
      </c>
      <c r="F587" s="38"/>
    </row>
    <row r="588" spans="1:7" x14ac:dyDescent="0.25">
      <c r="A588" s="44">
        <v>45570</v>
      </c>
      <c r="B588" s="11" t="s">
        <v>53</v>
      </c>
      <c r="C588" s="31">
        <v>0.625</v>
      </c>
      <c r="D588" s="31">
        <v>0.875</v>
      </c>
      <c r="E588" s="30">
        <f t="shared" si="9"/>
        <v>5.5</v>
      </c>
      <c r="F588" s="38">
        <v>0.5</v>
      </c>
    </row>
    <row r="589" spans="1:7" x14ac:dyDescent="0.25">
      <c r="A589" s="44">
        <v>45570</v>
      </c>
      <c r="B589" s="11" t="s">
        <v>56</v>
      </c>
      <c r="C589" s="31">
        <v>0.33333333333333331</v>
      </c>
      <c r="D589" s="31">
        <v>0.54166666666666663</v>
      </c>
      <c r="E589" s="30">
        <f t="shared" si="9"/>
        <v>5</v>
      </c>
      <c r="F589" s="38"/>
    </row>
    <row r="590" spans="1:7" x14ac:dyDescent="0.25">
      <c r="A590" s="44">
        <v>45570</v>
      </c>
      <c r="B590" s="11" t="s">
        <v>58</v>
      </c>
      <c r="C590" s="31">
        <v>0.27083333333333331</v>
      </c>
      <c r="D590" s="31">
        <v>0.41666666666666669</v>
      </c>
      <c r="E590" s="30">
        <f t="shared" si="9"/>
        <v>3.5000000000000009</v>
      </c>
      <c r="F590" s="38"/>
    </row>
    <row r="591" spans="1:7" x14ac:dyDescent="0.25">
      <c r="A591" s="44">
        <v>45570</v>
      </c>
      <c r="B591" s="11" t="s">
        <v>49</v>
      </c>
      <c r="C591" s="31">
        <v>0.375</v>
      </c>
      <c r="D591" s="19">
        <v>0.5</v>
      </c>
      <c r="E591" s="30">
        <f t="shared" si="9"/>
        <v>3</v>
      </c>
      <c r="F591" s="38"/>
    </row>
    <row r="592" spans="1:7" x14ac:dyDescent="0.25">
      <c r="A592" s="44">
        <v>45570</v>
      </c>
      <c r="B592" s="11" t="s">
        <v>48</v>
      </c>
      <c r="C592" s="31">
        <v>0.33333333333333331</v>
      </c>
      <c r="D592" s="31">
        <v>0.5625</v>
      </c>
      <c r="E592" s="30">
        <f t="shared" si="9"/>
        <v>5</v>
      </c>
      <c r="F592" s="38">
        <v>0.5</v>
      </c>
    </row>
    <row r="593" spans="1:6" x14ac:dyDescent="0.25">
      <c r="A593" s="44">
        <v>45570</v>
      </c>
      <c r="B593" s="11" t="s">
        <v>48</v>
      </c>
      <c r="C593" s="31">
        <v>0.5625</v>
      </c>
      <c r="D593" s="19">
        <v>0.72916666666666663</v>
      </c>
      <c r="E593" s="30">
        <f t="shared" si="9"/>
        <v>3.9999999999999991</v>
      </c>
      <c r="F593" s="38"/>
    </row>
    <row r="594" spans="1:6" x14ac:dyDescent="0.25">
      <c r="A594" s="44">
        <v>45570</v>
      </c>
      <c r="B594" s="11" t="s">
        <v>58</v>
      </c>
      <c r="C594" s="31">
        <v>0.54166666666666663</v>
      </c>
      <c r="D594" s="19">
        <v>0.72916666666666663</v>
      </c>
      <c r="E594" s="30">
        <f t="shared" si="9"/>
        <v>4.5</v>
      </c>
      <c r="F594" s="38"/>
    </row>
    <row r="595" spans="1:6" x14ac:dyDescent="0.25">
      <c r="A595" s="44">
        <v>45571</v>
      </c>
      <c r="B595" s="11" t="s">
        <v>58</v>
      </c>
      <c r="C595" s="31">
        <v>0.45833333333333331</v>
      </c>
      <c r="D595" s="19">
        <v>0.75</v>
      </c>
      <c r="E595" s="30">
        <f t="shared" si="9"/>
        <v>6.5</v>
      </c>
      <c r="F595" s="38">
        <v>0.5</v>
      </c>
    </row>
    <row r="596" spans="1:6" x14ac:dyDescent="0.25">
      <c r="A596" s="44">
        <v>45571</v>
      </c>
      <c r="B596" s="11" t="s">
        <v>58</v>
      </c>
      <c r="C596" s="31">
        <v>0.75</v>
      </c>
      <c r="D596" s="31">
        <v>4.1666666666666664E-2</v>
      </c>
      <c r="E596" s="30">
        <f t="shared" si="9"/>
        <v>6.4999999999999991</v>
      </c>
      <c r="F596" s="38">
        <v>0.5</v>
      </c>
    </row>
    <row r="597" spans="1:6" x14ac:dyDescent="0.25">
      <c r="A597" s="44">
        <v>45571</v>
      </c>
      <c r="B597" s="11" t="s">
        <v>49</v>
      </c>
      <c r="C597" s="31">
        <v>0.5</v>
      </c>
      <c r="D597" s="31">
        <v>0.83333333333333337</v>
      </c>
      <c r="E597" s="30">
        <f t="shared" si="9"/>
        <v>7.5</v>
      </c>
      <c r="F597" s="38">
        <v>0.5</v>
      </c>
    </row>
    <row r="598" spans="1:6" x14ac:dyDescent="0.25">
      <c r="A598" s="44">
        <v>45572</v>
      </c>
      <c r="B598" s="11" t="s">
        <v>56</v>
      </c>
      <c r="C598" s="31">
        <v>0.33333333333333331</v>
      </c>
      <c r="D598" s="31">
        <v>0.58333333333333337</v>
      </c>
      <c r="E598" s="30">
        <f t="shared" si="9"/>
        <v>5.5000000000000018</v>
      </c>
      <c r="F598" s="38">
        <v>0.5</v>
      </c>
    </row>
    <row r="599" spans="1:6" x14ac:dyDescent="0.25">
      <c r="A599" s="44">
        <v>45572</v>
      </c>
      <c r="B599" s="11" t="s">
        <v>49</v>
      </c>
      <c r="C599" s="31">
        <v>0.70833333333333337</v>
      </c>
      <c r="D599" s="31">
        <v>0.91666666666666663</v>
      </c>
      <c r="E599" s="30">
        <f t="shared" si="9"/>
        <v>4.9999999999999982</v>
      </c>
      <c r="F599" s="38"/>
    </row>
    <row r="600" spans="1:6" x14ac:dyDescent="0.25">
      <c r="A600" s="44">
        <v>45573</v>
      </c>
      <c r="B600" s="11" t="s">
        <v>56</v>
      </c>
      <c r="C600" s="31">
        <v>0.33333333333333331</v>
      </c>
      <c r="D600" s="31">
        <v>0.58333333333333337</v>
      </c>
      <c r="E600" s="30">
        <f t="shared" si="9"/>
        <v>5.5000000000000018</v>
      </c>
      <c r="F600" s="38">
        <v>0.5</v>
      </c>
    </row>
    <row r="601" spans="1:6" x14ac:dyDescent="0.25">
      <c r="A601" s="44">
        <v>45573</v>
      </c>
      <c r="B601" s="11" t="s">
        <v>56</v>
      </c>
      <c r="C601" s="31">
        <v>0.625</v>
      </c>
      <c r="D601" s="31">
        <v>0.75</v>
      </c>
      <c r="E601" s="30">
        <f t="shared" si="9"/>
        <v>3</v>
      </c>
      <c r="F601" s="38"/>
    </row>
    <row r="602" spans="1:6" x14ac:dyDescent="0.25">
      <c r="A602" s="44">
        <v>45574</v>
      </c>
      <c r="B602" s="11" t="s">
        <v>56</v>
      </c>
      <c r="C602" s="31">
        <v>0.33333333333333331</v>
      </c>
      <c r="D602" s="31">
        <v>0.58333333333333337</v>
      </c>
      <c r="E602" s="30">
        <f t="shared" si="9"/>
        <v>5.5000000000000018</v>
      </c>
      <c r="F602" s="38">
        <v>0.5</v>
      </c>
    </row>
    <row r="603" spans="1:6" x14ac:dyDescent="0.25">
      <c r="A603" s="44">
        <v>45574</v>
      </c>
      <c r="B603" s="11" t="s">
        <v>49</v>
      </c>
      <c r="C603" s="19">
        <v>0.72916666666666663</v>
      </c>
      <c r="D603" s="31">
        <v>0.89583333333333337</v>
      </c>
      <c r="E603" s="30">
        <f t="shared" si="9"/>
        <v>4.0000000000000018</v>
      </c>
      <c r="F603" s="38"/>
    </row>
    <row r="604" spans="1:6" x14ac:dyDescent="0.25">
      <c r="A604" s="44">
        <v>45575</v>
      </c>
      <c r="B604" s="11" t="s">
        <v>56</v>
      </c>
      <c r="C604" s="31">
        <v>0.70833333333333337</v>
      </c>
      <c r="D604" s="31">
        <v>0.95833333333333337</v>
      </c>
      <c r="E604" s="30">
        <f t="shared" si="9"/>
        <v>5.5</v>
      </c>
      <c r="F604" s="38">
        <v>0.5</v>
      </c>
    </row>
    <row r="605" spans="1:6" x14ac:dyDescent="0.25">
      <c r="A605" s="44">
        <v>45575</v>
      </c>
      <c r="B605" s="11" t="s">
        <v>49</v>
      </c>
      <c r="C605" s="31">
        <v>0.70833333333333337</v>
      </c>
      <c r="D605" s="31">
        <v>0.85416666666666663</v>
      </c>
      <c r="E605" s="30">
        <f t="shared" si="9"/>
        <v>3.4999999999999982</v>
      </c>
      <c r="F605" s="38"/>
    </row>
    <row r="606" spans="1:6" x14ac:dyDescent="0.25">
      <c r="A606" s="44">
        <v>45575</v>
      </c>
      <c r="B606" s="11" t="s">
        <v>56</v>
      </c>
      <c r="C606" s="31">
        <v>0.33333333333333331</v>
      </c>
      <c r="D606" s="31">
        <v>0.58333333333333337</v>
      </c>
      <c r="E606" s="30">
        <f t="shared" si="9"/>
        <v>5.5000000000000018</v>
      </c>
      <c r="F606" s="38">
        <v>0.5</v>
      </c>
    </row>
    <row r="607" spans="1:6" x14ac:dyDescent="0.25">
      <c r="A607" s="44">
        <v>45576</v>
      </c>
      <c r="B607" s="11" t="s">
        <v>56</v>
      </c>
      <c r="C607" s="31">
        <v>0.33333333333333331</v>
      </c>
      <c r="D607" s="31">
        <v>0.58333333333333337</v>
      </c>
      <c r="E607" s="30">
        <f t="shared" si="9"/>
        <v>5.5000000000000018</v>
      </c>
      <c r="F607" s="38">
        <v>0.5</v>
      </c>
    </row>
    <row r="608" spans="1:6" x14ac:dyDescent="0.25">
      <c r="A608" s="44">
        <v>45576</v>
      </c>
      <c r="B608" s="11" t="s">
        <v>46</v>
      </c>
      <c r="C608" s="31">
        <v>0.45833333333333331</v>
      </c>
      <c r="D608" s="31">
        <v>0.79166666666666663</v>
      </c>
      <c r="E608" s="30">
        <f t="shared" si="9"/>
        <v>7.5</v>
      </c>
      <c r="F608" s="38">
        <v>0.5</v>
      </c>
    </row>
    <row r="609" spans="1:6" x14ac:dyDescent="0.25">
      <c r="A609" s="44">
        <v>45577</v>
      </c>
      <c r="B609" s="11" t="s">
        <v>53</v>
      </c>
      <c r="C609" s="31">
        <v>0.625</v>
      </c>
      <c r="D609" s="31">
        <v>4.1666666666666664E-2</v>
      </c>
      <c r="E609" s="30">
        <f>MOD((D609-C609),1) *24 - F609</f>
        <v>9</v>
      </c>
      <c r="F609" s="38">
        <v>1</v>
      </c>
    </row>
    <row r="610" spans="1:6" x14ac:dyDescent="0.25">
      <c r="A610" s="44">
        <v>45577</v>
      </c>
      <c r="B610" s="11" t="s">
        <v>49</v>
      </c>
      <c r="C610" s="31">
        <v>0.375</v>
      </c>
      <c r="D610" s="31">
        <v>0.5</v>
      </c>
      <c r="E610" s="30">
        <f t="shared" si="9"/>
        <v>3</v>
      </c>
      <c r="F610" s="38"/>
    </row>
    <row r="611" spans="1:6" x14ac:dyDescent="0.25">
      <c r="A611" s="44">
        <v>45577</v>
      </c>
      <c r="B611" s="11" t="s">
        <v>56</v>
      </c>
      <c r="C611" s="31">
        <v>0.27083333333333331</v>
      </c>
      <c r="D611" s="31">
        <v>0.54166666666666663</v>
      </c>
      <c r="E611" s="30">
        <f t="shared" ref="E611:E674" si="10">MOD((D611-C611),1) *24 - F611</f>
        <v>6</v>
      </c>
      <c r="F611" s="38">
        <v>0.5</v>
      </c>
    </row>
    <row r="612" spans="1:6" x14ac:dyDescent="0.25">
      <c r="A612" s="44">
        <v>45578</v>
      </c>
      <c r="B612" s="11" t="s">
        <v>49</v>
      </c>
      <c r="C612" s="31">
        <v>0.60416666666666663</v>
      </c>
      <c r="D612" s="31">
        <v>0.72916666666666663</v>
      </c>
      <c r="E612" s="30">
        <f t="shared" si="10"/>
        <v>3</v>
      </c>
      <c r="F612" s="38"/>
    </row>
    <row r="613" spans="1:6" x14ac:dyDescent="0.25">
      <c r="A613" s="44">
        <v>45579</v>
      </c>
      <c r="B613" s="11" t="s">
        <v>56</v>
      </c>
      <c r="C613" s="31">
        <v>0.33333333333333331</v>
      </c>
      <c r="D613" s="31">
        <v>0.58333333333333337</v>
      </c>
      <c r="E613" s="30">
        <f t="shared" si="10"/>
        <v>5.5000000000000018</v>
      </c>
      <c r="F613" s="38">
        <v>0.5</v>
      </c>
    </row>
    <row r="614" spans="1:6" x14ac:dyDescent="0.25">
      <c r="A614" s="44">
        <v>45580</v>
      </c>
      <c r="B614" s="11" t="s">
        <v>56</v>
      </c>
      <c r="C614" s="31">
        <v>0.33333333333333331</v>
      </c>
      <c r="D614" s="31">
        <v>0.58333333333333337</v>
      </c>
      <c r="E614" s="30">
        <f t="shared" si="10"/>
        <v>5.5000000000000018</v>
      </c>
      <c r="F614" s="38">
        <v>0.5</v>
      </c>
    </row>
    <row r="615" spans="1:6" x14ac:dyDescent="0.25">
      <c r="A615" s="44">
        <v>45581</v>
      </c>
      <c r="B615" s="11" t="s">
        <v>56</v>
      </c>
      <c r="C615" s="31">
        <v>0.33333333333333331</v>
      </c>
      <c r="D615" s="31">
        <v>0.45833333333333331</v>
      </c>
      <c r="E615" s="30">
        <f t="shared" si="10"/>
        <v>3</v>
      </c>
      <c r="F615" s="38"/>
    </row>
    <row r="616" spans="1:6" x14ac:dyDescent="0.25">
      <c r="A616" s="44">
        <v>45581</v>
      </c>
      <c r="B616" s="11" t="s">
        <v>56</v>
      </c>
      <c r="C616" s="31">
        <v>0.45833333333333331</v>
      </c>
      <c r="D616" s="31">
        <v>0.58333333333333337</v>
      </c>
      <c r="E616" s="30">
        <f t="shared" si="10"/>
        <v>3.0000000000000013</v>
      </c>
      <c r="F616" s="38"/>
    </row>
    <row r="617" spans="1:6" x14ac:dyDescent="0.25">
      <c r="A617" s="44">
        <v>45581</v>
      </c>
      <c r="B617" s="11" t="s">
        <v>56</v>
      </c>
      <c r="C617" s="31">
        <v>0.6875</v>
      </c>
      <c r="D617" s="31">
        <v>0.89583333333333337</v>
      </c>
      <c r="E617" s="30">
        <f t="shared" si="10"/>
        <v>5.0000000000000009</v>
      </c>
      <c r="F617" s="38"/>
    </row>
    <row r="618" spans="1:6" x14ac:dyDescent="0.25">
      <c r="A618" s="44">
        <v>45582</v>
      </c>
      <c r="B618" s="11" t="s">
        <v>56</v>
      </c>
      <c r="C618" s="31">
        <v>0.33333333333333331</v>
      </c>
      <c r="D618" s="31">
        <v>0.58333333333333337</v>
      </c>
      <c r="E618" s="30">
        <f t="shared" si="10"/>
        <v>5.5000000000000018</v>
      </c>
      <c r="F618" s="38">
        <v>0.5</v>
      </c>
    </row>
    <row r="619" spans="1:6" x14ac:dyDescent="0.25">
      <c r="A619" s="44">
        <v>45582</v>
      </c>
      <c r="B619" s="11" t="s">
        <v>56</v>
      </c>
      <c r="C619" s="31">
        <v>0.70833333333333337</v>
      </c>
      <c r="D619" s="31">
        <v>0.95833333333333337</v>
      </c>
      <c r="E619" s="30">
        <f t="shared" si="10"/>
        <v>5.5</v>
      </c>
      <c r="F619" s="38">
        <v>0.5</v>
      </c>
    </row>
    <row r="620" spans="1:6" x14ac:dyDescent="0.25">
      <c r="A620" s="44">
        <v>45583</v>
      </c>
      <c r="B620" s="11" t="s">
        <v>56</v>
      </c>
      <c r="C620" s="31">
        <v>0.33333333333333331</v>
      </c>
      <c r="D620" s="31">
        <v>0.58333333333333337</v>
      </c>
      <c r="E620" s="30">
        <f t="shared" si="10"/>
        <v>5.5000000000000018</v>
      </c>
      <c r="F620" s="38">
        <v>0.5</v>
      </c>
    </row>
    <row r="621" spans="1:6" x14ac:dyDescent="0.25">
      <c r="A621" s="44">
        <v>45583</v>
      </c>
      <c r="B621" s="11" t="s">
        <v>56</v>
      </c>
      <c r="C621" s="31">
        <v>0.625</v>
      </c>
      <c r="D621" s="31">
        <v>0.83333333333333337</v>
      </c>
      <c r="E621" s="30">
        <f t="shared" si="10"/>
        <v>5.0000000000000009</v>
      </c>
      <c r="F621" s="38"/>
    </row>
    <row r="622" spans="1:6" x14ac:dyDescent="0.25">
      <c r="A622" s="44">
        <v>45584</v>
      </c>
      <c r="B622" s="11" t="s">
        <v>48</v>
      </c>
      <c r="C622" s="31">
        <v>0.5</v>
      </c>
      <c r="D622" s="31">
        <v>0.75</v>
      </c>
      <c r="E622" s="30">
        <f t="shared" si="10"/>
        <v>5.5</v>
      </c>
      <c r="F622" s="38">
        <v>0.5</v>
      </c>
    </row>
    <row r="623" spans="1:6" x14ac:dyDescent="0.25">
      <c r="A623" s="44">
        <v>45584</v>
      </c>
      <c r="B623" s="11" t="s">
        <v>49</v>
      </c>
      <c r="C623" s="31">
        <v>0.375</v>
      </c>
      <c r="D623" s="31">
        <v>0.5</v>
      </c>
      <c r="E623" s="30">
        <f t="shared" si="10"/>
        <v>3</v>
      </c>
      <c r="F623" s="38"/>
    </row>
    <row r="624" spans="1:6" x14ac:dyDescent="0.25">
      <c r="A624" s="44">
        <v>45584</v>
      </c>
      <c r="B624" s="11" t="s">
        <v>58</v>
      </c>
      <c r="C624" s="31">
        <v>0.54166666666666663</v>
      </c>
      <c r="D624" s="31">
        <v>0.77083333333333337</v>
      </c>
      <c r="E624" s="30">
        <f t="shared" si="10"/>
        <v>5.0000000000000018</v>
      </c>
      <c r="F624" s="38">
        <v>0.5</v>
      </c>
    </row>
    <row r="625" spans="1:6" x14ac:dyDescent="0.25">
      <c r="A625" s="44">
        <v>45584</v>
      </c>
      <c r="B625" s="11" t="s">
        <v>58</v>
      </c>
      <c r="C625" s="31">
        <v>0.77083333333333337</v>
      </c>
      <c r="D625" s="31">
        <v>0</v>
      </c>
      <c r="E625" s="30">
        <f t="shared" si="10"/>
        <v>4.9999999999999991</v>
      </c>
      <c r="F625" s="38">
        <v>0.5</v>
      </c>
    </row>
    <row r="626" spans="1:6" x14ac:dyDescent="0.25">
      <c r="A626" s="44">
        <v>45584</v>
      </c>
      <c r="B626" s="11" t="s">
        <v>56</v>
      </c>
      <c r="C626" s="31">
        <v>0.27083333333333331</v>
      </c>
      <c r="D626" s="31">
        <v>0.41666666666666669</v>
      </c>
      <c r="E626" s="30">
        <f t="shared" si="10"/>
        <v>3.5000000000000009</v>
      </c>
      <c r="F626" s="38"/>
    </row>
    <row r="627" spans="1:6" x14ac:dyDescent="0.25">
      <c r="A627" s="44">
        <v>45584</v>
      </c>
      <c r="B627" s="11" t="s">
        <v>56</v>
      </c>
      <c r="C627" s="31">
        <v>0.33333333333333331</v>
      </c>
      <c r="D627" s="31">
        <v>0.54166666666666663</v>
      </c>
      <c r="E627" s="30">
        <f t="shared" si="10"/>
        <v>5</v>
      </c>
      <c r="F627" s="38"/>
    </row>
    <row r="628" spans="1:6" x14ac:dyDescent="0.25">
      <c r="A628" s="44">
        <v>45585</v>
      </c>
      <c r="B628" s="11" t="s">
        <v>58</v>
      </c>
      <c r="C628" s="31">
        <v>0.41666666666666669</v>
      </c>
      <c r="D628" s="31">
        <v>0.79166666666666663</v>
      </c>
      <c r="E628" s="30">
        <f t="shared" si="10"/>
        <v>7.9999999999999982</v>
      </c>
      <c r="F628" s="38">
        <v>1</v>
      </c>
    </row>
    <row r="629" spans="1:6" x14ac:dyDescent="0.25">
      <c r="A629" s="44">
        <v>45585</v>
      </c>
      <c r="B629" s="11" t="s">
        <v>49</v>
      </c>
      <c r="C629" s="31">
        <v>0.60416666666666663</v>
      </c>
      <c r="D629" s="19">
        <v>0.72916666666666663</v>
      </c>
      <c r="E629" s="30">
        <f t="shared" si="10"/>
        <v>3</v>
      </c>
      <c r="F629" s="38"/>
    </row>
    <row r="630" spans="1:6" x14ac:dyDescent="0.25">
      <c r="A630" s="44">
        <v>45586</v>
      </c>
      <c r="B630" s="11" t="s">
        <v>56</v>
      </c>
      <c r="C630" s="31">
        <v>0.33333333333333331</v>
      </c>
      <c r="D630" s="31">
        <v>0.58333333333333337</v>
      </c>
      <c r="E630" s="30">
        <f t="shared" si="10"/>
        <v>5.5000000000000018</v>
      </c>
      <c r="F630" s="38">
        <v>0.5</v>
      </c>
    </row>
    <row r="631" spans="1:6" x14ac:dyDescent="0.25">
      <c r="A631" s="44">
        <v>45587</v>
      </c>
      <c r="B631" s="11" t="s">
        <v>56</v>
      </c>
      <c r="C631" s="31">
        <v>0.33333333333333331</v>
      </c>
      <c r="D631" s="31">
        <v>0.58333333333333337</v>
      </c>
      <c r="E631" s="30">
        <f t="shared" si="10"/>
        <v>5.5000000000000018</v>
      </c>
      <c r="F631" s="38">
        <v>0.5</v>
      </c>
    </row>
    <row r="632" spans="1:6" x14ac:dyDescent="0.25">
      <c r="A632" s="44">
        <v>45588</v>
      </c>
      <c r="B632" s="11" t="s">
        <v>49</v>
      </c>
      <c r="C632" s="31">
        <v>0.70833333333333337</v>
      </c>
      <c r="D632" s="31">
        <v>0.89583333333333337</v>
      </c>
      <c r="E632" s="30">
        <f t="shared" si="10"/>
        <v>4.5</v>
      </c>
      <c r="F632" s="38"/>
    </row>
    <row r="633" spans="1:6" x14ac:dyDescent="0.25">
      <c r="A633" s="44">
        <v>45588</v>
      </c>
      <c r="B633" s="11" t="s">
        <v>56</v>
      </c>
      <c r="C633" s="31">
        <v>0.33333333333333331</v>
      </c>
      <c r="D633" s="31">
        <v>0.58333333333333337</v>
      </c>
      <c r="E633" s="30">
        <f t="shared" si="10"/>
        <v>5.5000000000000018</v>
      </c>
      <c r="F633" s="38">
        <v>0.5</v>
      </c>
    </row>
    <row r="634" spans="1:6" x14ac:dyDescent="0.25">
      <c r="A634" s="44">
        <v>45589</v>
      </c>
      <c r="B634" s="11" t="s">
        <v>49</v>
      </c>
      <c r="C634" s="31">
        <v>0.75</v>
      </c>
      <c r="D634" s="31">
        <v>0.97916666666666663</v>
      </c>
      <c r="E634" s="30">
        <f t="shared" si="10"/>
        <v>4.9999999999999991</v>
      </c>
      <c r="F634" s="38">
        <v>0.5</v>
      </c>
    </row>
    <row r="635" spans="1:6" x14ac:dyDescent="0.25">
      <c r="A635" s="44">
        <v>45589</v>
      </c>
      <c r="B635" s="11" t="s">
        <v>56</v>
      </c>
      <c r="C635" s="31">
        <v>0.33333333333333331</v>
      </c>
      <c r="D635" s="31">
        <v>0.58333333333333337</v>
      </c>
      <c r="E635" s="30">
        <f t="shared" si="10"/>
        <v>5.5000000000000018</v>
      </c>
      <c r="F635" s="38">
        <v>0.5</v>
      </c>
    </row>
    <row r="636" spans="1:6" x14ac:dyDescent="0.25">
      <c r="A636" s="44">
        <v>45589</v>
      </c>
      <c r="B636" s="11" t="s">
        <v>56</v>
      </c>
      <c r="C636" s="31">
        <v>0.70833333333333337</v>
      </c>
      <c r="D636" s="31">
        <v>0.95833333333333337</v>
      </c>
      <c r="E636" s="30">
        <f t="shared" si="10"/>
        <v>5.5</v>
      </c>
      <c r="F636" s="38">
        <v>0.5</v>
      </c>
    </row>
    <row r="637" spans="1:6" x14ac:dyDescent="0.25">
      <c r="A637" s="44">
        <v>45589</v>
      </c>
      <c r="B637" s="11" t="s">
        <v>53</v>
      </c>
      <c r="C637" s="31">
        <v>0.47916666666666669</v>
      </c>
      <c r="D637" s="31">
        <v>0.72916666666666663</v>
      </c>
      <c r="E637" s="30">
        <f t="shared" si="10"/>
        <v>5.4999999999999982</v>
      </c>
      <c r="F637" s="38">
        <v>0.5</v>
      </c>
    </row>
    <row r="638" spans="1:6" x14ac:dyDescent="0.25">
      <c r="A638" s="44">
        <v>45590</v>
      </c>
      <c r="B638" s="11" t="s">
        <v>49</v>
      </c>
      <c r="C638" s="19">
        <v>0.47916666666666669</v>
      </c>
      <c r="D638" s="31">
        <v>0.72916666666666663</v>
      </c>
      <c r="E638" s="30">
        <f t="shared" si="10"/>
        <v>5.4999999999999982</v>
      </c>
      <c r="F638" s="38">
        <v>0.5</v>
      </c>
    </row>
    <row r="639" spans="1:6" x14ac:dyDescent="0.25">
      <c r="A639" s="44">
        <v>45590</v>
      </c>
      <c r="B639" s="11" t="s">
        <v>56</v>
      </c>
      <c r="C639" s="31">
        <v>0.33333333333333331</v>
      </c>
      <c r="D639" s="31">
        <v>0.58333333333333337</v>
      </c>
      <c r="E639" s="30">
        <f t="shared" si="10"/>
        <v>5.5000000000000018</v>
      </c>
      <c r="F639" s="38">
        <v>0.5</v>
      </c>
    </row>
    <row r="640" spans="1:6" x14ac:dyDescent="0.25">
      <c r="A640" s="44">
        <v>45591</v>
      </c>
      <c r="B640" s="11" t="s">
        <v>58</v>
      </c>
      <c r="C640" s="31">
        <v>0.27083333333333331</v>
      </c>
      <c r="D640" s="31">
        <v>0.60416666666666663</v>
      </c>
      <c r="E640" s="30">
        <f t="shared" si="10"/>
        <v>7.5</v>
      </c>
      <c r="F640" s="38">
        <v>0.5</v>
      </c>
    </row>
    <row r="641" spans="1:7" x14ac:dyDescent="0.25">
      <c r="A641" s="44">
        <v>45591</v>
      </c>
      <c r="B641" s="11" t="s">
        <v>53</v>
      </c>
      <c r="C641" s="31">
        <v>0.33333333333333331</v>
      </c>
      <c r="D641" s="31">
        <v>0.58333333333333337</v>
      </c>
      <c r="E641" s="30">
        <f t="shared" si="10"/>
        <v>5.5000000000000018</v>
      </c>
      <c r="F641" s="38">
        <v>0.5</v>
      </c>
    </row>
    <row r="642" spans="1:7" x14ac:dyDescent="0.25">
      <c r="A642" s="44">
        <v>45591</v>
      </c>
      <c r="B642" s="11" t="s">
        <v>53</v>
      </c>
      <c r="C642" s="31">
        <v>0.58333333333333337</v>
      </c>
      <c r="D642" s="31">
        <v>0.77083333333333337</v>
      </c>
      <c r="E642" s="30">
        <f t="shared" si="10"/>
        <v>4.5</v>
      </c>
      <c r="F642" s="38"/>
    </row>
    <row r="643" spans="1:7" x14ac:dyDescent="0.25">
      <c r="A643" s="44">
        <v>45591</v>
      </c>
      <c r="B643" s="11" t="s">
        <v>58</v>
      </c>
      <c r="C643" s="31">
        <v>0.58333333333333337</v>
      </c>
      <c r="D643" s="31">
        <v>4.1666666666666664E-2</v>
      </c>
      <c r="E643" s="30">
        <f t="shared" si="10"/>
        <v>9.9999999999999982</v>
      </c>
      <c r="F643" s="38">
        <v>1</v>
      </c>
    </row>
    <row r="644" spans="1:7" x14ac:dyDescent="0.25">
      <c r="A644" s="44">
        <v>45591</v>
      </c>
      <c r="B644" s="11" t="s">
        <v>46</v>
      </c>
      <c r="C644" s="31">
        <v>0.60416666666666663</v>
      </c>
      <c r="D644" s="31">
        <v>0.85416666666666663</v>
      </c>
      <c r="E644" s="30">
        <f t="shared" si="10"/>
        <v>5.5</v>
      </c>
      <c r="F644" s="38">
        <v>0.5</v>
      </c>
    </row>
    <row r="645" spans="1:7" x14ac:dyDescent="0.25">
      <c r="A645" s="44">
        <v>45591</v>
      </c>
      <c r="B645" s="11" t="s">
        <v>55</v>
      </c>
      <c r="C645" s="31">
        <v>0.72916666666666663</v>
      </c>
      <c r="D645" s="31">
        <v>0.89583333333333337</v>
      </c>
      <c r="E645" s="30">
        <f t="shared" si="10"/>
        <v>4.0000000000000018</v>
      </c>
      <c r="F645" s="38"/>
    </row>
    <row r="646" spans="1:7" x14ac:dyDescent="0.25">
      <c r="A646" s="44">
        <v>45592</v>
      </c>
      <c r="B646" s="11" t="s">
        <v>53</v>
      </c>
      <c r="C646" s="31">
        <v>0.5</v>
      </c>
      <c r="D646" s="31">
        <v>0.75</v>
      </c>
      <c r="E646" s="30">
        <f t="shared" si="10"/>
        <v>5.5</v>
      </c>
      <c r="F646" s="38">
        <v>0.5</v>
      </c>
    </row>
    <row r="647" spans="1:7" x14ac:dyDescent="0.25">
      <c r="A647" s="44">
        <v>45592</v>
      </c>
      <c r="B647" s="11" t="s">
        <v>58</v>
      </c>
      <c r="C647" s="31">
        <v>0.5625</v>
      </c>
      <c r="D647" s="31">
        <v>0.77083333333333337</v>
      </c>
      <c r="E647" s="30">
        <f t="shared" si="10"/>
        <v>5.0000000000000009</v>
      </c>
      <c r="F647" s="38"/>
    </row>
    <row r="648" spans="1:7" x14ac:dyDescent="0.25">
      <c r="A648" s="44">
        <v>45593</v>
      </c>
      <c r="B648" s="11" t="s">
        <v>56</v>
      </c>
      <c r="C648" s="31">
        <v>0.33333333333333331</v>
      </c>
      <c r="D648" s="31">
        <v>0.58333333333333337</v>
      </c>
      <c r="E648" s="30">
        <f t="shared" si="10"/>
        <v>5.5000000000000018</v>
      </c>
      <c r="F648" s="38">
        <v>0.5</v>
      </c>
    </row>
    <row r="649" spans="1:7" x14ac:dyDescent="0.25">
      <c r="A649" s="44">
        <v>45594</v>
      </c>
      <c r="B649" s="11" t="s">
        <v>56</v>
      </c>
      <c r="C649" s="31">
        <v>0.33333333333333331</v>
      </c>
      <c r="D649" s="31">
        <v>0.58333333333333337</v>
      </c>
      <c r="E649" s="30">
        <f t="shared" si="10"/>
        <v>5.5000000000000018</v>
      </c>
      <c r="F649" s="38">
        <v>0.5</v>
      </c>
    </row>
    <row r="650" spans="1:7" x14ac:dyDescent="0.25">
      <c r="A650" s="44">
        <v>45595</v>
      </c>
      <c r="B650" s="11" t="s">
        <v>49</v>
      </c>
      <c r="C650" s="31">
        <v>0.70833333333333337</v>
      </c>
      <c r="D650" s="31">
        <v>0.89583333333333337</v>
      </c>
      <c r="E650" s="30">
        <f t="shared" si="10"/>
        <v>4.5</v>
      </c>
      <c r="F650" s="38"/>
    </row>
    <row r="651" spans="1:7" x14ac:dyDescent="0.25">
      <c r="A651" s="44">
        <v>45595</v>
      </c>
      <c r="B651" s="11" t="s">
        <v>56</v>
      </c>
      <c r="C651" s="31">
        <v>0.33333333333333331</v>
      </c>
      <c r="D651" s="31">
        <v>0.58333333333333337</v>
      </c>
      <c r="E651" s="30">
        <f t="shared" si="10"/>
        <v>5.5000000000000018</v>
      </c>
      <c r="F651" s="38">
        <v>0.5</v>
      </c>
    </row>
    <row r="652" spans="1:7" x14ac:dyDescent="0.25">
      <c r="A652" s="44">
        <v>45596</v>
      </c>
      <c r="B652" s="11" t="s">
        <v>56</v>
      </c>
      <c r="C652" s="31">
        <v>0.77083333333333337</v>
      </c>
      <c r="D652" s="31">
        <v>0.91666666666666663</v>
      </c>
      <c r="E652" s="30">
        <f t="shared" si="10"/>
        <v>3.4999999999999982</v>
      </c>
      <c r="F652" s="38"/>
    </row>
    <row r="653" spans="1:7" x14ac:dyDescent="0.25">
      <c r="A653" s="44">
        <v>45596</v>
      </c>
      <c r="B653" s="11" t="s">
        <v>56</v>
      </c>
      <c r="C653" s="31">
        <v>0.33333333333333331</v>
      </c>
      <c r="D653" s="31">
        <v>0.58333333333333337</v>
      </c>
      <c r="E653" s="30">
        <f t="shared" si="10"/>
        <v>5.5000000000000018</v>
      </c>
      <c r="F653" s="38">
        <v>0.5</v>
      </c>
    </row>
    <row r="654" spans="1:7" x14ac:dyDescent="0.25">
      <c r="A654" s="44">
        <v>45597</v>
      </c>
      <c r="B654" s="11" t="s">
        <v>56</v>
      </c>
      <c r="C654" s="31">
        <v>0.33333333333333331</v>
      </c>
      <c r="D654" s="31">
        <v>0.58333333333333337</v>
      </c>
      <c r="E654" s="30">
        <f t="shared" si="10"/>
        <v>5.5000000000000018</v>
      </c>
      <c r="F654" s="38">
        <v>0.5</v>
      </c>
      <c r="G654" s="12">
        <f>SUM(E:E)</f>
        <v>4285.5</v>
      </c>
    </row>
    <row r="655" spans="1:7" x14ac:dyDescent="0.25">
      <c r="A655" s="44">
        <v>45597</v>
      </c>
      <c r="B655" s="11" t="s">
        <v>53</v>
      </c>
      <c r="C655" s="31">
        <v>0.75</v>
      </c>
      <c r="D655" s="31">
        <v>0.95833333333333337</v>
      </c>
      <c r="E655" s="30">
        <f t="shared" si="10"/>
        <v>5.0000000000000009</v>
      </c>
      <c r="F655" s="38"/>
    </row>
    <row r="656" spans="1:7" x14ac:dyDescent="0.25">
      <c r="A656" s="44">
        <v>45597</v>
      </c>
      <c r="B656" s="11" t="s">
        <v>53</v>
      </c>
      <c r="C656" s="31">
        <v>0.45833333333333331</v>
      </c>
      <c r="D656" s="31">
        <v>0.66666666666666663</v>
      </c>
      <c r="E656" s="30">
        <f t="shared" si="10"/>
        <v>5</v>
      </c>
      <c r="F656" s="38"/>
    </row>
    <row r="657" spans="1:6" x14ac:dyDescent="0.25">
      <c r="A657" s="44">
        <v>45598</v>
      </c>
      <c r="B657" s="11" t="s">
        <v>48</v>
      </c>
      <c r="C657" s="31">
        <v>0.41666666666666669</v>
      </c>
      <c r="D657" s="31">
        <v>0.54166666666666663</v>
      </c>
      <c r="E657" s="30">
        <f t="shared" si="10"/>
        <v>2.9999999999999987</v>
      </c>
      <c r="F657" s="38"/>
    </row>
    <row r="658" spans="1:6" x14ac:dyDescent="0.25">
      <c r="A658" s="44">
        <v>45598</v>
      </c>
      <c r="B658" s="11" t="s">
        <v>49</v>
      </c>
      <c r="C658" s="31">
        <v>0.375</v>
      </c>
      <c r="D658" s="31">
        <v>0.45833333333333331</v>
      </c>
      <c r="E658" s="30">
        <f t="shared" si="10"/>
        <v>1.9999999999999996</v>
      </c>
      <c r="F658" s="38"/>
    </row>
    <row r="659" spans="1:6" x14ac:dyDescent="0.25">
      <c r="A659" s="44">
        <v>45598</v>
      </c>
      <c r="B659" s="11" t="s">
        <v>58</v>
      </c>
      <c r="C659" s="31">
        <v>0.27083333333333331</v>
      </c>
      <c r="D659" s="31">
        <v>0.54166666666666663</v>
      </c>
      <c r="E659" s="30">
        <f t="shared" si="10"/>
        <v>6</v>
      </c>
      <c r="F659" s="38">
        <v>0.5</v>
      </c>
    </row>
    <row r="660" spans="1:6" x14ac:dyDescent="0.25">
      <c r="A660" s="44">
        <v>45598</v>
      </c>
      <c r="B660" s="11" t="s">
        <v>53</v>
      </c>
      <c r="C660" s="31">
        <v>0.54166666666666663</v>
      </c>
      <c r="D660" s="31">
        <v>6.25E-2</v>
      </c>
      <c r="E660" s="30">
        <f t="shared" si="10"/>
        <v>11.5</v>
      </c>
      <c r="F660" s="38">
        <v>1</v>
      </c>
    </row>
    <row r="661" spans="1:6" x14ac:dyDescent="0.25">
      <c r="A661" s="44">
        <v>45598</v>
      </c>
      <c r="B661" s="11" t="s">
        <v>58</v>
      </c>
      <c r="C661" s="31">
        <v>0.54166666666666663</v>
      </c>
      <c r="D661" s="31">
        <v>0.91666666666666663</v>
      </c>
      <c r="E661" s="30">
        <f t="shared" si="10"/>
        <v>8</v>
      </c>
      <c r="F661" s="38">
        <v>1</v>
      </c>
    </row>
    <row r="662" spans="1:6" x14ac:dyDescent="0.25">
      <c r="A662" s="44">
        <v>45598</v>
      </c>
      <c r="B662" s="11" t="s">
        <v>48</v>
      </c>
      <c r="C662" s="31">
        <v>0.54166666666666663</v>
      </c>
      <c r="D662" s="31">
        <v>0.70833333333333337</v>
      </c>
      <c r="E662" s="30">
        <f t="shared" si="10"/>
        <v>4.0000000000000018</v>
      </c>
      <c r="F662" s="38"/>
    </row>
    <row r="663" spans="1:6" x14ac:dyDescent="0.25">
      <c r="A663" s="44">
        <v>45598</v>
      </c>
      <c r="B663" s="11" t="s">
        <v>46</v>
      </c>
      <c r="C663" s="31">
        <v>0.45833333333333331</v>
      </c>
      <c r="D663" s="31">
        <v>0.79166666666666663</v>
      </c>
      <c r="E663" s="30">
        <f t="shared" si="10"/>
        <v>7.5</v>
      </c>
      <c r="F663" s="38">
        <v>0.5</v>
      </c>
    </row>
    <row r="664" spans="1:6" x14ac:dyDescent="0.25">
      <c r="A664" s="44">
        <v>45599</v>
      </c>
      <c r="B664" s="11" t="s">
        <v>49</v>
      </c>
      <c r="C664" s="31">
        <v>0.625</v>
      </c>
      <c r="D664" s="31">
        <v>0.70833333333333337</v>
      </c>
      <c r="E664" s="30">
        <f t="shared" si="10"/>
        <v>2.0000000000000009</v>
      </c>
      <c r="F664" s="38"/>
    </row>
    <row r="665" spans="1:6" x14ac:dyDescent="0.25">
      <c r="A665" s="44">
        <v>45600</v>
      </c>
      <c r="B665" s="13" t="s">
        <v>56</v>
      </c>
      <c r="C665" s="31">
        <v>0.75</v>
      </c>
      <c r="D665" s="31">
        <v>0.95833333333333337</v>
      </c>
      <c r="E665" s="30">
        <f t="shared" si="10"/>
        <v>5.0000000000000009</v>
      </c>
      <c r="F665" s="38"/>
    </row>
    <row r="666" spans="1:6" x14ac:dyDescent="0.25">
      <c r="A666" s="44">
        <v>45600</v>
      </c>
      <c r="B666" s="13" t="s">
        <v>56</v>
      </c>
      <c r="C666" s="31">
        <v>0.33333333333333331</v>
      </c>
      <c r="D666" s="31">
        <v>0.58333333333333337</v>
      </c>
      <c r="E666" s="30">
        <f t="shared" si="10"/>
        <v>5.5000000000000018</v>
      </c>
      <c r="F666" s="38">
        <v>0.5</v>
      </c>
    </row>
    <row r="667" spans="1:6" x14ac:dyDescent="0.25">
      <c r="A667" s="44">
        <v>45601</v>
      </c>
      <c r="B667" s="11" t="s">
        <v>56</v>
      </c>
      <c r="C667" s="31">
        <v>0.33333333333333331</v>
      </c>
      <c r="D667" s="31">
        <v>0.58333333333333337</v>
      </c>
      <c r="E667" s="30">
        <f t="shared" si="10"/>
        <v>5.5000000000000018</v>
      </c>
      <c r="F667" s="38">
        <v>0.5</v>
      </c>
    </row>
    <row r="668" spans="1:6" x14ac:dyDescent="0.25">
      <c r="A668" s="44">
        <v>45601</v>
      </c>
      <c r="B668" s="11" t="s">
        <v>53</v>
      </c>
      <c r="C668" s="19">
        <v>0.70833333333333337</v>
      </c>
      <c r="D668" s="31">
        <v>0.9375</v>
      </c>
      <c r="E668" s="30">
        <f t="shared" si="10"/>
        <v>4.9999999999999991</v>
      </c>
      <c r="F668" s="38">
        <v>0.5</v>
      </c>
    </row>
    <row r="669" spans="1:6" x14ac:dyDescent="0.25">
      <c r="A669" s="44">
        <v>45602</v>
      </c>
      <c r="B669" s="11" t="s">
        <v>49</v>
      </c>
      <c r="C669" s="19">
        <v>0.625</v>
      </c>
      <c r="D669" s="31">
        <v>0.89583333333333337</v>
      </c>
      <c r="E669" s="30">
        <f t="shared" si="10"/>
        <v>6.0000000000000009</v>
      </c>
      <c r="F669" s="38">
        <v>0.5</v>
      </c>
    </row>
    <row r="670" spans="1:6" x14ac:dyDescent="0.25">
      <c r="A670" s="44">
        <v>45602</v>
      </c>
      <c r="B670" s="11" t="s">
        <v>56</v>
      </c>
      <c r="C670" s="31">
        <v>0.33333333333333331</v>
      </c>
      <c r="D670" s="31">
        <v>0.58333333333333337</v>
      </c>
      <c r="E670" s="30">
        <f t="shared" si="10"/>
        <v>5.5000000000000018</v>
      </c>
      <c r="F670" s="38">
        <v>0.5</v>
      </c>
    </row>
    <row r="671" spans="1:6" x14ac:dyDescent="0.25">
      <c r="A671" s="44">
        <v>45603</v>
      </c>
      <c r="B671" s="11" t="s">
        <v>56</v>
      </c>
      <c r="C671" s="31">
        <v>0.77083333333333337</v>
      </c>
      <c r="D671" s="31">
        <v>0.9375</v>
      </c>
      <c r="E671" s="30">
        <f t="shared" si="10"/>
        <v>3.9999999999999991</v>
      </c>
      <c r="F671" s="38"/>
    </row>
    <row r="672" spans="1:6" x14ac:dyDescent="0.25">
      <c r="A672" s="44">
        <v>45603</v>
      </c>
      <c r="B672" s="11" t="s">
        <v>53</v>
      </c>
      <c r="C672" s="31">
        <v>0.33333333333333331</v>
      </c>
      <c r="D672" s="31">
        <v>0.70833333333333337</v>
      </c>
      <c r="E672" s="30">
        <f t="shared" si="10"/>
        <v>8.0000000000000018</v>
      </c>
      <c r="F672" s="38">
        <v>1</v>
      </c>
    </row>
    <row r="673" spans="1:6" x14ac:dyDescent="0.25">
      <c r="A673" s="44">
        <v>45603</v>
      </c>
      <c r="B673" s="11" t="s">
        <v>56</v>
      </c>
      <c r="C673" s="31">
        <v>0.33333333333333331</v>
      </c>
      <c r="D673" s="31">
        <v>0.58333333333333337</v>
      </c>
      <c r="E673" s="30">
        <f t="shared" si="10"/>
        <v>5.5000000000000018</v>
      </c>
      <c r="F673" s="38">
        <v>0.5</v>
      </c>
    </row>
    <row r="674" spans="1:6" x14ac:dyDescent="0.25">
      <c r="A674" s="44">
        <v>45604</v>
      </c>
      <c r="B674" s="11" t="s">
        <v>56</v>
      </c>
      <c r="C674" s="31">
        <v>0.33333333333333331</v>
      </c>
      <c r="D674" s="31">
        <v>0.58333333333333337</v>
      </c>
      <c r="E674" s="30">
        <f t="shared" si="10"/>
        <v>5.5000000000000018</v>
      </c>
      <c r="F674" s="38">
        <v>0.5</v>
      </c>
    </row>
    <row r="675" spans="1:6" x14ac:dyDescent="0.25">
      <c r="A675" s="44">
        <v>45604</v>
      </c>
      <c r="B675" s="11" t="s">
        <v>56</v>
      </c>
      <c r="C675" s="31">
        <v>0.6875</v>
      </c>
      <c r="D675" s="31">
        <v>0.89583333333333337</v>
      </c>
      <c r="E675" s="30">
        <f t="shared" ref="E675:E734" si="11">MOD((D675-C675),1) *24 - F675</f>
        <v>5.0000000000000009</v>
      </c>
      <c r="F675" s="38"/>
    </row>
    <row r="676" spans="1:6" x14ac:dyDescent="0.25">
      <c r="A676" s="44">
        <v>45605</v>
      </c>
      <c r="B676" s="11" t="s">
        <v>56</v>
      </c>
      <c r="C676" s="31">
        <v>0.33333333333333331</v>
      </c>
      <c r="D676" s="31">
        <v>0.54166666666666663</v>
      </c>
      <c r="E676" s="30">
        <f t="shared" si="11"/>
        <v>5</v>
      </c>
      <c r="F676" s="38"/>
    </row>
    <row r="677" spans="1:6" x14ac:dyDescent="0.25">
      <c r="A677" s="44">
        <v>45605</v>
      </c>
      <c r="B677" s="11" t="s">
        <v>58</v>
      </c>
      <c r="C677" s="31">
        <v>0.27083333333333331</v>
      </c>
      <c r="D677" s="31">
        <v>0.41666666666666669</v>
      </c>
      <c r="E677" s="30">
        <f t="shared" si="11"/>
        <v>3.5000000000000009</v>
      </c>
      <c r="F677" s="38"/>
    </row>
    <row r="678" spans="1:6" x14ac:dyDescent="0.25">
      <c r="A678" s="44">
        <v>45605</v>
      </c>
      <c r="B678" s="11" t="s">
        <v>53</v>
      </c>
      <c r="C678" s="31">
        <v>0.29166666666666669</v>
      </c>
      <c r="D678" s="31">
        <v>0.5625</v>
      </c>
      <c r="E678" s="30">
        <f t="shared" si="11"/>
        <v>6</v>
      </c>
      <c r="F678" s="38">
        <v>0.5</v>
      </c>
    </row>
    <row r="679" spans="1:6" x14ac:dyDescent="0.25">
      <c r="A679" s="44">
        <v>45605</v>
      </c>
      <c r="B679" s="11" t="s">
        <v>48</v>
      </c>
      <c r="C679" s="31">
        <v>0.70833333333333337</v>
      </c>
      <c r="D679" s="31">
        <v>6.25E-2</v>
      </c>
      <c r="E679" s="30">
        <f t="shared" si="11"/>
        <v>7.5</v>
      </c>
      <c r="F679" s="38">
        <v>1</v>
      </c>
    </row>
    <row r="680" spans="1:6" x14ac:dyDescent="0.25">
      <c r="A680" s="44">
        <v>45605</v>
      </c>
      <c r="B680" s="11" t="s">
        <v>58</v>
      </c>
      <c r="C680" s="31">
        <v>0.58333333333333337</v>
      </c>
      <c r="D680" s="31">
        <v>0.75</v>
      </c>
      <c r="E680" s="30">
        <f t="shared" si="11"/>
        <v>3.9999999999999991</v>
      </c>
      <c r="F680" s="38"/>
    </row>
    <row r="681" spans="1:6" x14ac:dyDescent="0.25">
      <c r="A681" s="44">
        <v>45605</v>
      </c>
      <c r="B681" s="11" t="s">
        <v>53</v>
      </c>
      <c r="C681" s="31">
        <v>0.54166666666666663</v>
      </c>
      <c r="D681" s="31">
        <v>0.79166666666666663</v>
      </c>
      <c r="E681" s="30">
        <f t="shared" si="11"/>
        <v>5.5</v>
      </c>
      <c r="F681" s="38">
        <v>0.5</v>
      </c>
    </row>
    <row r="682" spans="1:6" x14ac:dyDescent="0.25">
      <c r="A682" s="44">
        <v>45605</v>
      </c>
      <c r="B682" s="11" t="s">
        <v>49</v>
      </c>
      <c r="C682" s="31">
        <v>0.375</v>
      </c>
      <c r="D682" s="31">
        <v>0.5</v>
      </c>
      <c r="E682" s="30">
        <f t="shared" si="11"/>
        <v>3</v>
      </c>
      <c r="F682" s="38"/>
    </row>
    <row r="683" spans="1:6" x14ac:dyDescent="0.25">
      <c r="A683" s="44">
        <v>45605</v>
      </c>
      <c r="B683" s="11" t="s">
        <v>46</v>
      </c>
      <c r="C683" s="31">
        <v>0.375</v>
      </c>
      <c r="D683" s="31">
        <v>0.64583333333333337</v>
      </c>
      <c r="E683" s="30">
        <f t="shared" si="11"/>
        <v>6.0000000000000009</v>
      </c>
      <c r="F683" s="38">
        <v>0.5</v>
      </c>
    </row>
    <row r="684" spans="1:6" x14ac:dyDescent="0.25">
      <c r="A684" s="44">
        <v>45605</v>
      </c>
      <c r="B684" s="11" t="s">
        <v>58</v>
      </c>
      <c r="C684" s="31">
        <v>0.77083333333333337</v>
      </c>
      <c r="D684" s="31">
        <v>0.95833333333333337</v>
      </c>
      <c r="E684" s="30">
        <f t="shared" si="11"/>
        <v>4.5</v>
      </c>
      <c r="F684" s="38"/>
    </row>
    <row r="685" spans="1:6" x14ac:dyDescent="0.25">
      <c r="A685" s="44">
        <v>45606</v>
      </c>
      <c r="B685" s="11" t="s">
        <v>53</v>
      </c>
      <c r="C685" s="31">
        <v>0.41666666666666669</v>
      </c>
      <c r="D685" s="31">
        <v>0.75</v>
      </c>
      <c r="E685" s="30">
        <f t="shared" si="11"/>
        <v>7</v>
      </c>
      <c r="F685" s="38">
        <v>1</v>
      </c>
    </row>
    <row r="686" spans="1:6" x14ac:dyDescent="0.25">
      <c r="A686" s="44">
        <v>45606</v>
      </c>
      <c r="B686" s="11" t="s">
        <v>48</v>
      </c>
      <c r="C686" s="31">
        <v>0.5625</v>
      </c>
      <c r="D686" s="31">
        <v>0.77083333333333337</v>
      </c>
      <c r="E686" s="30">
        <f t="shared" si="11"/>
        <v>5.0000000000000009</v>
      </c>
      <c r="F686" s="38"/>
    </row>
    <row r="687" spans="1:6" x14ac:dyDescent="0.25">
      <c r="A687" s="44">
        <v>45606</v>
      </c>
      <c r="B687" s="11" t="s">
        <v>58</v>
      </c>
      <c r="C687" s="31">
        <v>0.5</v>
      </c>
      <c r="D687" s="31">
        <v>0.75</v>
      </c>
      <c r="E687" s="30">
        <f t="shared" si="11"/>
        <v>5.5</v>
      </c>
      <c r="F687" s="38">
        <v>0.5</v>
      </c>
    </row>
    <row r="688" spans="1:6" x14ac:dyDescent="0.25">
      <c r="A688" s="44">
        <v>45608</v>
      </c>
      <c r="B688" s="11" t="s">
        <v>56</v>
      </c>
      <c r="C688" s="31">
        <v>0.33333333333333331</v>
      </c>
      <c r="D688" s="31">
        <v>0.58333333333333337</v>
      </c>
      <c r="E688" s="30">
        <f t="shared" si="11"/>
        <v>5.5000000000000018</v>
      </c>
      <c r="F688" s="38">
        <v>0.5</v>
      </c>
    </row>
    <row r="689" spans="1:6" x14ac:dyDescent="0.25">
      <c r="A689" s="44">
        <v>45608</v>
      </c>
      <c r="B689" s="11" t="s">
        <v>53</v>
      </c>
      <c r="C689" s="31">
        <v>0.72916666666666663</v>
      </c>
      <c r="D689" s="31">
        <v>0.85416666666666663</v>
      </c>
      <c r="E689" s="30">
        <f t="shared" si="11"/>
        <v>3</v>
      </c>
      <c r="F689" s="38"/>
    </row>
    <row r="690" spans="1:6" x14ac:dyDescent="0.25">
      <c r="A690" s="44">
        <v>45609</v>
      </c>
      <c r="B690" s="11" t="s">
        <v>49</v>
      </c>
      <c r="C690" s="31">
        <v>0.625</v>
      </c>
      <c r="D690" s="31">
        <v>0.89583333333333337</v>
      </c>
      <c r="E690" s="30">
        <f t="shared" si="11"/>
        <v>6.0000000000000009</v>
      </c>
      <c r="F690" s="38">
        <v>0.5</v>
      </c>
    </row>
    <row r="691" spans="1:6" x14ac:dyDescent="0.25">
      <c r="A691" s="44">
        <v>45609</v>
      </c>
      <c r="B691" s="11" t="s">
        <v>56</v>
      </c>
      <c r="C691" s="31">
        <v>0.33333333333333331</v>
      </c>
      <c r="D691" s="31">
        <v>0.58333333333333337</v>
      </c>
      <c r="E691" s="30">
        <f t="shared" si="11"/>
        <v>5.5000000000000018</v>
      </c>
      <c r="F691" s="38">
        <v>0.5</v>
      </c>
    </row>
    <row r="692" spans="1:6" x14ac:dyDescent="0.25">
      <c r="A692" s="44">
        <v>45610</v>
      </c>
      <c r="B692" s="11" t="s">
        <v>51</v>
      </c>
      <c r="C692" s="31">
        <v>0.6875</v>
      </c>
      <c r="D692" s="31">
        <v>0.91666666666666663</v>
      </c>
      <c r="E692" s="30">
        <f t="shared" si="11"/>
        <v>4.9999999999999991</v>
      </c>
      <c r="F692" s="38">
        <v>0.5</v>
      </c>
    </row>
    <row r="693" spans="1:6" x14ac:dyDescent="0.25">
      <c r="A693" s="44">
        <v>45610</v>
      </c>
      <c r="B693" s="11" t="s">
        <v>56</v>
      </c>
      <c r="C693" s="31">
        <v>0.70833333333333337</v>
      </c>
      <c r="D693" s="31">
        <v>0.9375</v>
      </c>
      <c r="E693" s="30">
        <f t="shared" si="11"/>
        <v>4.9999999999999991</v>
      </c>
      <c r="F693" s="38">
        <v>0.5</v>
      </c>
    </row>
    <row r="694" spans="1:6" x14ac:dyDescent="0.25">
      <c r="A694" s="44">
        <v>45611</v>
      </c>
      <c r="B694" s="11" t="s">
        <v>53</v>
      </c>
      <c r="C694" s="31">
        <v>0.72916666666666663</v>
      </c>
      <c r="D694" s="31">
        <v>0.89583333333333337</v>
      </c>
      <c r="E694" s="30">
        <f t="shared" si="11"/>
        <v>4.0000000000000018</v>
      </c>
      <c r="F694" s="38"/>
    </row>
    <row r="695" spans="1:6" x14ac:dyDescent="0.25">
      <c r="A695" s="44">
        <v>45611</v>
      </c>
      <c r="B695" s="11" t="s">
        <v>56</v>
      </c>
      <c r="C695" s="31">
        <v>0.33333333333333331</v>
      </c>
      <c r="D695" s="31">
        <v>0.58333333333333337</v>
      </c>
      <c r="E695" s="30">
        <f t="shared" si="11"/>
        <v>5.5000000000000018</v>
      </c>
      <c r="F695" s="38">
        <v>0.5</v>
      </c>
    </row>
    <row r="696" spans="1:6" x14ac:dyDescent="0.25">
      <c r="A696" s="44">
        <v>45612</v>
      </c>
      <c r="B696" s="11" t="s">
        <v>56</v>
      </c>
      <c r="C696" s="31">
        <v>0.33333333333333331</v>
      </c>
      <c r="D696" s="31">
        <v>0.54166666666666663</v>
      </c>
      <c r="E696" s="30">
        <f t="shared" si="11"/>
        <v>5</v>
      </c>
      <c r="F696" s="38"/>
    </row>
    <row r="697" spans="1:6" x14ac:dyDescent="0.25">
      <c r="A697" s="44">
        <v>45612</v>
      </c>
      <c r="B697" s="11" t="s">
        <v>58</v>
      </c>
      <c r="C697" s="31">
        <v>0.27083333333333331</v>
      </c>
      <c r="D697" s="31">
        <v>0.41666666666666669</v>
      </c>
      <c r="E697" s="30">
        <f t="shared" si="11"/>
        <v>3.5000000000000009</v>
      </c>
      <c r="F697" s="38"/>
    </row>
    <row r="698" spans="1:6" x14ac:dyDescent="0.25">
      <c r="A698" s="44">
        <v>45612</v>
      </c>
      <c r="B698" s="11" t="s">
        <v>47</v>
      </c>
      <c r="C698" s="31">
        <v>0.54166666666666663</v>
      </c>
      <c r="D698" s="31">
        <v>0.77083333333333337</v>
      </c>
      <c r="E698" s="30">
        <f t="shared" si="11"/>
        <v>5.0000000000000018</v>
      </c>
      <c r="F698" s="38">
        <v>0.5</v>
      </c>
    </row>
    <row r="699" spans="1:6" x14ac:dyDescent="0.25">
      <c r="A699" s="44">
        <v>45612</v>
      </c>
      <c r="B699" s="11" t="s">
        <v>49</v>
      </c>
      <c r="C699" s="31">
        <v>0.375</v>
      </c>
      <c r="D699" s="31">
        <v>0.64583333333333337</v>
      </c>
      <c r="E699" s="30">
        <f t="shared" si="11"/>
        <v>6.0000000000000009</v>
      </c>
      <c r="F699" s="38">
        <v>0.5</v>
      </c>
    </row>
    <row r="700" spans="1:6" x14ac:dyDescent="0.25">
      <c r="A700" s="44">
        <v>45612</v>
      </c>
      <c r="B700" s="11" t="s">
        <v>58</v>
      </c>
      <c r="C700" s="31">
        <v>0.54166666666666663</v>
      </c>
      <c r="D700" s="31">
        <v>0.83333333333333337</v>
      </c>
      <c r="E700" s="30">
        <f t="shared" si="11"/>
        <v>6.5000000000000018</v>
      </c>
      <c r="F700" s="38">
        <v>0.5</v>
      </c>
    </row>
    <row r="701" spans="1:6" x14ac:dyDescent="0.25">
      <c r="A701" s="44">
        <v>45613</v>
      </c>
      <c r="B701" s="11" t="s">
        <v>46</v>
      </c>
      <c r="C701" s="31">
        <v>0.41666666666666669</v>
      </c>
      <c r="D701" s="31">
        <v>0.6875</v>
      </c>
      <c r="E701" s="30">
        <f t="shared" si="11"/>
        <v>6</v>
      </c>
      <c r="F701" s="38">
        <v>0.5</v>
      </c>
    </row>
    <row r="702" spans="1:6" x14ac:dyDescent="0.25">
      <c r="A702" s="44">
        <v>45613</v>
      </c>
      <c r="B702" s="11" t="s">
        <v>58</v>
      </c>
      <c r="C702" s="31">
        <v>0.625</v>
      </c>
      <c r="D702" s="31">
        <v>0.97916666666666663</v>
      </c>
      <c r="E702" s="30">
        <f t="shared" si="11"/>
        <v>7.5</v>
      </c>
      <c r="F702" s="38">
        <v>1</v>
      </c>
    </row>
    <row r="703" spans="1:6" x14ac:dyDescent="0.25">
      <c r="A703" s="44">
        <v>45613</v>
      </c>
      <c r="B703" s="11" t="s">
        <v>53</v>
      </c>
      <c r="C703" s="31">
        <v>0.70833333333333337</v>
      </c>
      <c r="D703" s="31">
        <v>0.95833333333333337</v>
      </c>
      <c r="E703" s="30">
        <f t="shared" si="11"/>
        <v>5.5</v>
      </c>
      <c r="F703" s="38">
        <v>0.5</v>
      </c>
    </row>
    <row r="704" spans="1:6" x14ac:dyDescent="0.25">
      <c r="A704" s="44">
        <v>45613</v>
      </c>
      <c r="B704" s="11" t="s">
        <v>53</v>
      </c>
      <c r="C704" s="31">
        <v>0.54166666666666663</v>
      </c>
      <c r="D704" s="31">
        <v>0.70833333333333337</v>
      </c>
      <c r="E704" s="30">
        <f t="shared" si="11"/>
        <v>4.0000000000000018</v>
      </c>
      <c r="F704" s="38"/>
    </row>
    <row r="705" spans="1:6" x14ac:dyDescent="0.25">
      <c r="A705" s="44">
        <v>45614</v>
      </c>
      <c r="B705" s="11" t="s">
        <v>56</v>
      </c>
      <c r="C705" s="31">
        <v>0.33333333333333331</v>
      </c>
      <c r="D705" s="31">
        <v>0.58333333333333337</v>
      </c>
      <c r="E705" s="30">
        <f t="shared" si="11"/>
        <v>5.5000000000000018</v>
      </c>
      <c r="F705" s="38">
        <v>0.5</v>
      </c>
    </row>
    <row r="706" spans="1:6" x14ac:dyDescent="0.25">
      <c r="A706" s="44">
        <v>45614</v>
      </c>
      <c r="B706" s="11" t="s">
        <v>49</v>
      </c>
      <c r="C706" s="31">
        <v>0.70833333333333337</v>
      </c>
      <c r="D706" s="31">
        <v>0.91666666666666663</v>
      </c>
      <c r="E706" s="30">
        <f t="shared" si="11"/>
        <v>4.9999999999999982</v>
      </c>
      <c r="F706" s="38"/>
    </row>
    <row r="707" spans="1:6" x14ac:dyDescent="0.25">
      <c r="A707" s="44">
        <v>45615</v>
      </c>
      <c r="B707" s="11" t="s">
        <v>53</v>
      </c>
      <c r="C707" s="31">
        <v>0.72916666666666663</v>
      </c>
      <c r="D707" s="31">
        <v>0.85416666666666663</v>
      </c>
      <c r="E707" s="30">
        <f t="shared" si="11"/>
        <v>3</v>
      </c>
      <c r="F707" s="38"/>
    </row>
    <row r="708" spans="1:6" x14ac:dyDescent="0.25">
      <c r="A708" s="44">
        <v>45615</v>
      </c>
      <c r="B708" s="11" t="s">
        <v>56</v>
      </c>
      <c r="C708" s="31">
        <v>0.33333333333333331</v>
      </c>
      <c r="D708" s="31">
        <v>0.58333333333333337</v>
      </c>
      <c r="E708" s="30">
        <f t="shared" si="11"/>
        <v>5.5000000000000018</v>
      </c>
      <c r="F708" s="38">
        <v>0.5</v>
      </c>
    </row>
    <row r="709" spans="1:6" x14ac:dyDescent="0.25">
      <c r="A709" s="44">
        <v>45616</v>
      </c>
      <c r="B709" s="11" t="s">
        <v>56</v>
      </c>
      <c r="C709" s="31">
        <v>0.33333333333333331</v>
      </c>
      <c r="D709" s="31">
        <v>0.58333333333333337</v>
      </c>
      <c r="E709" s="30">
        <f t="shared" si="11"/>
        <v>5.5000000000000018</v>
      </c>
      <c r="F709" s="38">
        <v>0.5</v>
      </c>
    </row>
    <row r="710" spans="1:6" x14ac:dyDescent="0.25">
      <c r="A710" s="44">
        <v>45616</v>
      </c>
      <c r="B710" s="11" t="s">
        <v>49</v>
      </c>
      <c r="C710" s="31">
        <v>0.625</v>
      </c>
      <c r="D710" s="31">
        <v>0.89583333333333337</v>
      </c>
      <c r="E710" s="30">
        <f t="shared" si="11"/>
        <v>6.0000000000000009</v>
      </c>
      <c r="F710" s="38">
        <v>0.5</v>
      </c>
    </row>
    <row r="711" spans="1:6" x14ac:dyDescent="0.25">
      <c r="A711" s="44">
        <v>45617</v>
      </c>
      <c r="B711" s="11" t="s">
        <v>56</v>
      </c>
      <c r="C711" s="31">
        <v>0.33333333333333331</v>
      </c>
      <c r="D711" s="31">
        <v>0.58333333333333337</v>
      </c>
      <c r="E711" s="30">
        <f t="shared" si="11"/>
        <v>5.5000000000000018</v>
      </c>
      <c r="F711" s="38">
        <v>0.5</v>
      </c>
    </row>
    <row r="712" spans="1:6" x14ac:dyDescent="0.25">
      <c r="A712" s="44">
        <v>45617</v>
      </c>
      <c r="B712" s="11" t="s">
        <v>56</v>
      </c>
      <c r="C712" s="31">
        <v>0.77083333333333337</v>
      </c>
      <c r="D712" s="31">
        <v>0.91666666666666663</v>
      </c>
      <c r="E712" s="30">
        <f t="shared" si="11"/>
        <v>3.4999999999999982</v>
      </c>
      <c r="F712" s="38"/>
    </row>
    <row r="713" spans="1:6" x14ac:dyDescent="0.25">
      <c r="A713" s="44">
        <v>45618</v>
      </c>
      <c r="B713" s="11" t="s">
        <v>56</v>
      </c>
      <c r="C713" s="31">
        <v>0.33333333333333331</v>
      </c>
      <c r="D713" s="31">
        <v>0.58333333333333337</v>
      </c>
      <c r="E713" s="30">
        <f t="shared" si="11"/>
        <v>5.5000000000000018</v>
      </c>
      <c r="F713" s="38">
        <v>0.5</v>
      </c>
    </row>
    <row r="714" spans="1:6" x14ac:dyDescent="0.25">
      <c r="A714" s="44">
        <v>45618</v>
      </c>
      <c r="B714" s="11" t="s">
        <v>56</v>
      </c>
      <c r="C714" s="31">
        <v>0.6875</v>
      </c>
      <c r="D714" s="31">
        <v>0.77083333333333337</v>
      </c>
      <c r="E714" s="30">
        <f t="shared" si="11"/>
        <v>2.0000000000000009</v>
      </c>
      <c r="F714" s="38"/>
    </row>
    <row r="715" spans="1:6" x14ac:dyDescent="0.25">
      <c r="A715" s="44">
        <v>45619</v>
      </c>
      <c r="B715" s="11" t="s">
        <v>56</v>
      </c>
      <c r="C715" s="31">
        <v>0.33333333333333331</v>
      </c>
      <c r="D715" s="31">
        <v>0.54166666666666663</v>
      </c>
      <c r="E715" s="30">
        <f t="shared" si="11"/>
        <v>5</v>
      </c>
      <c r="F715" s="38"/>
    </row>
    <row r="716" spans="1:6" x14ac:dyDescent="0.25">
      <c r="A716" s="44">
        <v>45619</v>
      </c>
      <c r="B716" s="11" t="s">
        <v>58</v>
      </c>
      <c r="C716" s="31">
        <v>0.27083333333333331</v>
      </c>
      <c r="D716" s="31">
        <v>0.41666666666666669</v>
      </c>
      <c r="E716" s="30">
        <f t="shared" si="11"/>
        <v>3.5000000000000009</v>
      </c>
      <c r="F716" s="38"/>
    </row>
    <row r="717" spans="1:6" x14ac:dyDescent="0.25">
      <c r="A717" s="44">
        <v>45619</v>
      </c>
      <c r="B717" s="11" t="s">
        <v>53</v>
      </c>
      <c r="C717" s="31">
        <v>0.79166666666666663</v>
      </c>
      <c r="D717" s="31">
        <v>4.1666666666666664E-2</v>
      </c>
      <c r="E717" s="30">
        <f t="shared" si="11"/>
        <v>5.5</v>
      </c>
      <c r="F717" s="38">
        <v>0.5</v>
      </c>
    </row>
    <row r="718" spans="1:6" x14ac:dyDescent="0.25">
      <c r="A718" s="44">
        <v>45619</v>
      </c>
      <c r="B718" s="11" t="s">
        <v>48</v>
      </c>
      <c r="C718" s="31">
        <v>0.72916666666666663</v>
      </c>
      <c r="D718" s="31">
        <v>0.91666666666666663</v>
      </c>
      <c r="E718" s="30">
        <f t="shared" si="11"/>
        <v>4.5</v>
      </c>
      <c r="F718" s="38"/>
    </row>
    <row r="719" spans="1:6" x14ac:dyDescent="0.25">
      <c r="A719" s="44">
        <v>45619</v>
      </c>
      <c r="B719" s="11" t="s">
        <v>49</v>
      </c>
      <c r="C719" s="31">
        <v>0.33333333333333331</v>
      </c>
      <c r="D719" s="31">
        <v>0.5</v>
      </c>
      <c r="E719" s="30">
        <f t="shared" si="11"/>
        <v>4</v>
      </c>
      <c r="F719" s="38"/>
    </row>
    <row r="720" spans="1:6" x14ac:dyDescent="0.25">
      <c r="A720" s="44">
        <v>45619</v>
      </c>
      <c r="B720" s="11" t="s">
        <v>47</v>
      </c>
      <c r="C720" s="31">
        <v>0.33333333333333331</v>
      </c>
      <c r="D720" s="31">
        <v>0.54166666666666663</v>
      </c>
      <c r="E720" s="30">
        <f t="shared" si="11"/>
        <v>5</v>
      </c>
      <c r="F720" s="38"/>
    </row>
    <row r="721" spans="1:6" x14ac:dyDescent="0.25">
      <c r="A721" s="44">
        <v>45619</v>
      </c>
      <c r="B721" s="11" t="s">
        <v>53</v>
      </c>
      <c r="C721" s="31">
        <v>0.5625</v>
      </c>
      <c r="D721" s="31">
        <v>0.79166666666666663</v>
      </c>
      <c r="E721" s="30">
        <f t="shared" si="11"/>
        <v>4.9999999999999991</v>
      </c>
      <c r="F721" s="38">
        <v>0.5</v>
      </c>
    </row>
    <row r="722" spans="1:6" x14ac:dyDescent="0.25">
      <c r="A722" s="44">
        <v>45619</v>
      </c>
      <c r="B722" s="11" t="s">
        <v>47</v>
      </c>
      <c r="C722" s="31">
        <v>0.54166666666666663</v>
      </c>
      <c r="D722" s="31">
        <v>0.72916666666666663</v>
      </c>
      <c r="E722" s="30">
        <f t="shared" si="11"/>
        <v>4.5</v>
      </c>
      <c r="F722" s="38"/>
    </row>
    <row r="723" spans="1:6" x14ac:dyDescent="0.25">
      <c r="A723" s="44">
        <v>45620</v>
      </c>
      <c r="B723" s="11" t="s">
        <v>46</v>
      </c>
      <c r="C723" s="31">
        <v>0.41666666666666669</v>
      </c>
      <c r="D723" s="31">
        <v>0.70833333333333337</v>
      </c>
      <c r="E723" s="30">
        <f t="shared" si="11"/>
        <v>6.5</v>
      </c>
      <c r="F723" s="38">
        <v>0.5</v>
      </c>
    </row>
    <row r="724" spans="1:6" x14ac:dyDescent="0.25">
      <c r="A724" s="44">
        <v>45620</v>
      </c>
      <c r="B724" s="11" t="s">
        <v>53</v>
      </c>
      <c r="C724" s="31">
        <v>0.6875</v>
      </c>
      <c r="D724" s="31">
        <v>0.97916666666666663</v>
      </c>
      <c r="E724" s="30">
        <f t="shared" si="11"/>
        <v>6.4999999999999991</v>
      </c>
      <c r="F724" s="38">
        <v>0.5</v>
      </c>
    </row>
    <row r="725" spans="1:6" x14ac:dyDescent="0.25">
      <c r="A725" s="44">
        <v>45620</v>
      </c>
      <c r="B725" s="11" t="s">
        <v>58</v>
      </c>
      <c r="C725" s="31">
        <v>0.41666666666666669</v>
      </c>
      <c r="D725" s="31">
        <v>0.72916666666666663</v>
      </c>
      <c r="E725" s="30">
        <f t="shared" si="11"/>
        <v>7.4999999999999982</v>
      </c>
      <c r="F725" s="38"/>
    </row>
    <row r="726" spans="1:6" x14ac:dyDescent="0.25">
      <c r="A726" s="44">
        <v>45621</v>
      </c>
      <c r="B726" s="11" t="s">
        <v>56</v>
      </c>
      <c r="C726" s="31">
        <v>0.33333333333333331</v>
      </c>
      <c r="D726" s="31">
        <v>0.58333333333333337</v>
      </c>
      <c r="E726" s="30">
        <f t="shared" si="11"/>
        <v>6.0000000000000018</v>
      </c>
      <c r="F726" s="38"/>
    </row>
    <row r="727" spans="1:6" x14ac:dyDescent="0.25">
      <c r="A727" s="44">
        <v>45622</v>
      </c>
      <c r="B727" s="11" t="s">
        <v>56</v>
      </c>
      <c r="C727" s="31">
        <v>0.33333333333333331</v>
      </c>
      <c r="D727" s="31">
        <v>0.58333333333333337</v>
      </c>
      <c r="E727" s="30">
        <f t="shared" si="11"/>
        <v>6.0000000000000018</v>
      </c>
      <c r="F727" s="38"/>
    </row>
    <row r="728" spans="1:6" x14ac:dyDescent="0.25">
      <c r="A728" s="44">
        <v>45623</v>
      </c>
      <c r="B728" s="11" t="s">
        <v>56</v>
      </c>
      <c r="C728" s="31">
        <v>0.33333333333333331</v>
      </c>
      <c r="D728" s="31">
        <v>0.58333333333333337</v>
      </c>
      <c r="E728" s="30">
        <f t="shared" si="11"/>
        <v>6.0000000000000018</v>
      </c>
      <c r="F728" s="38"/>
    </row>
    <row r="729" spans="1:6" x14ac:dyDescent="0.25">
      <c r="A729" s="44">
        <v>45623</v>
      </c>
      <c r="B729" s="11" t="s">
        <v>49</v>
      </c>
      <c r="C729" s="19">
        <v>0.60416666666666663</v>
      </c>
      <c r="D729" s="19">
        <v>0.89583333333333337</v>
      </c>
      <c r="E729" s="30">
        <f t="shared" si="11"/>
        <v>7.0000000000000018</v>
      </c>
      <c r="F729" s="38"/>
    </row>
    <row r="730" spans="1:6" x14ac:dyDescent="0.25">
      <c r="A730" s="44">
        <v>45626</v>
      </c>
      <c r="B730" s="11" t="s">
        <v>56</v>
      </c>
      <c r="C730" s="31">
        <v>0.33333333333333331</v>
      </c>
      <c r="D730" s="31">
        <v>0.54166666666666663</v>
      </c>
      <c r="E730" s="30">
        <f t="shared" si="11"/>
        <v>5</v>
      </c>
      <c r="F730" s="38"/>
    </row>
    <row r="731" spans="1:6" x14ac:dyDescent="0.25">
      <c r="A731" s="44">
        <v>45626</v>
      </c>
      <c r="B731" s="11" t="s">
        <v>58</v>
      </c>
      <c r="C731" s="31">
        <v>0.58333333333333337</v>
      </c>
      <c r="D731" s="31">
        <v>0.91666666666666663</v>
      </c>
      <c r="E731" s="30">
        <f t="shared" si="11"/>
        <v>7.9999999999999982</v>
      </c>
      <c r="F731" s="38"/>
    </row>
    <row r="732" spans="1:6" x14ac:dyDescent="0.25">
      <c r="A732" s="44">
        <v>45626</v>
      </c>
      <c r="B732" s="11" t="s">
        <v>53</v>
      </c>
      <c r="C732" s="31">
        <v>0.54166666666666663</v>
      </c>
      <c r="D732" s="31">
        <v>0.875</v>
      </c>
      <c r="E732" s="30">
        <f t="shared" si="11"/>
        <v>8</v>
      </c>
      <c r="F732" s="38"/>
    </row>
    <row r="733" spans="1:6" x14ac:dyDescent="0.25">
      <c r="A733" s="44">
        <v>45628</v>
      </c>
      <c r="B733" s="11" t="s">
        <v>56</v>
      </c>
      <c r="C733" s="31">
        <v>0.33333333333333331</v>
      </c>
      <c r="D733" s="31">
        <v>0.58333333333333337</v>
      </c>
      <c r="E733" s="30">
        <f t="shared" si="11"/>
        <v>5.5000000000000018</v>
      </c>
      <c r="F733" s="38">
        <v>0.5</v>
      </c>
    </row>
    <row r="734" spans="1:6" x14ac:dyDescent="0.25">
      <c r="A734" s="44">
        <v>45628</v>
      </c>
      <c r="B734" s="11" t="s">
        <v>49</v>
      </c>
      <c r="C734" s="31">
        <v>0.70833333333333337</v>
      </c>
      <c r="D734" s="31">
        <v>0.79166666666666663</v>
      </c>
      <c r="E734" s="30">
        <f t="shared" si="11"/>
        <v>1.9999999999999982</v>
      </c>
      <c r="F734" s="38"/>
    </row>
    <row r="735" spans="1:6" x14ac:dyDescent="0.25">
      <c r="A735" s="44">
        <v>45629</v>
      </c>
      <c r="B735" s="11" t="s">
        <v>53</v>
      </c>
      <c r="C735" s="31">
        <v>0.72916666666666663</v>
      </c>
      <c r="D735" s="31">
        <v>0.85416666666666663</v>
      </c>
      <c r="E735" s="30">
        <f t="shared" ref="E735:E786" si="12">MOD((D735-C735),1) *24 - F735</f>
        <v>3</v>
      </c>
      <c r="F735" s="38"/>
    </row>
    <row r="736" spans="1:6" x14ac:dyDescent="0.25">
      <c r="A736" s="44">
        <v>45629</v>
      </c>
      <c r="B736" s="11" t="s">
        <v>56</v>
      </c>
      <c r="C736" s="31">
        <v>0.33333333333333331</v>
      </c>
      <c r="D736" s="31">
        <v>0.58333333333333337</v>
      </c>
      <c r="E736" s="30">
        <f t="shared" si="12"/>
        <v>5.5000000000000018</v>
      </c>
      <c r="F736" s="38">
        <v>0.5</v>
      </c>
    </row>
    <row r="737" spans="1:6" x14ac:dyDescent="0.25">
      <c r="A737" s="44">
        <v>45630</v>
      </c>
      <c r="B737" s="11" t="s">
        <v>56</v>
      </c>
      <c r="C737" s="31">
        <v>0.70833333333333337</v>
      </c>
      <c r="D737" s="31">
        <v>0.91666666666666663</v>
      </c>
      <c r="E737" s="30">
        <f t="shared" si="12"/>
        <v>4.9999999999999982</v>
      </c>
      <c r="F737" s="38"/>
    </row>
    <row r="738" spans="1:6" x14ac:dyDescent="0.25">
      <c r="A738" s="44">
        <v>45630</v>
      </c>
      <c r="B738" s="11" t="s">
        <v>56</v>
      </c>
      <c r="C738" s="31">
        <v>0.33333333333333331</v>
      </c>
      <c r="D738" s="31">
        <v>0.58333333333333337</v>
      </c>
      <c r="E738" s="30">
        <f t="shared" si="12"/>
        <v>5.5000000000000018</v>
      </c>
      <c r="F738" s="38">
        <v>0.5</v>
      </c>
    </row>
    <row r="739" spans="1:6" x14ac:dyDescent="0.25">
      <c r="A739" s="44">
        <v>45631</v>
      </c>
      <c r="B739" s="11" t="s">
        <v>56</v>
      </c>
      <c r="C739" s="31">
        <v>0.33333333333333331</v>
      </c>
      <c r="D739" s="31">
        <v>0.58333333333333337</v>
      </c>
      <c r="E739" s="30">
        <f t="shared" si="12"/>
        <v>5.5000000000000018</v>
      </c>
      <c r="F739" s="38">
        <v>0.5</v>
      </c>
    </row>
    <row r="740" spans="1:6" x14ac:dyDescent="0.25">
      <c r="A740" s="44">
        <v>45631</v>
      </c>
      <c r="B740" s="11" t="s">
        <v>47</v>
      </c>
      <c r="C740" s="31">
        <v>0.77083333333333337</v>
      </c>
      <c r="D740" s="31">
        <v>0.9375</v>
      </c>
      <c r="E740" s="30">
        <f t="shared" si="12"/>
        <v>3.9999999999999991</v>
      </c>
      <c r="F740" s="38"/>
    </row>
    <row r="741" spans="1:6" x14ac:dyDescent="0.25">
      <c r="A741" s="44">
        <v>45632</v>
      </c>
      <c r="B741" s="11" t="s">
        <v>53</v>
      </c>
      <c r="C741" s="31">
        <v>0.5</v>
      </c>
      <c r="D741" s="31">
        <v>0.66666666666666663</v>
      </c>
      <c r="E741" s="30">
        <f t="shared" si="12"/>
        <v>3.9999999999999991</v>
      </c>
      <c r="F741" s="38"/>
    </row>
    <row r="742" spans="1:6" x14ac:dyDescent="0.25">
      <c r="A742" s="44">
        <v>45632</v>
      </c>
      <c r="B742" s="11" t="s">
        <v>56</v>
      </c>
      <c r="C742" s="31">
        <v>0.33333333333333331</v>
      </c>
      <c r="D742" s="31">
        <v>0.58333333333333337</v>
      </c>
      <c r="E742" s="30">
        <f t="shared" si="12"/>
        <v>5.5000000000000018</v>
      </c>
      <c r="F742" s="38">
        <v>0.5</v>
      </c>
    </row>
    <row r="743" spans="1:6" x14ac:dyDescent="0.25">
      <c r="A743" s="44">
        <v>45632</v>
      </c>
      <c r="B743" s="11" t="s">
        <v>53</v>
      </c>
      <c r="C743" s="31">
        <v>0.70833333333333337</v>
      </c>
      <c r="D743" s="31">
        <v>0.9375</v>
      </c>
      <c r="E743" s="30">
        <f t="shared" si="12"/>
        <v>5.4999999999999991</v>
      </c>
      <c r="F743" s="38"/>
    </row>
    <row r="744" spans="1:6" x14ac:dyDescent="0.25">
      <c r="A744" s="44">
        <v>45633</v>
      </c>
      <c r="B744" s="11" t="s">
        <v>56</v>
      </c>
      <c r="C744" s="31">
        <v>0.33333333333333331</v>
      </c>
      <c r="D744" s="31">
        <v>0.54166666666666663</v>
      </c>
      <c r="E744" s="30">
        <f t="shared" si="12"/>
        <v>5</v>
      </c>
      <c r="F744" s="38"/>
    </row>
    <row r="745" spans="1:6" x14ac:dyDescent="0.25">
      <c r="A745" s="44">
        <v>45633</v>
      </c>
      <c r="B745" s="11" t="s">
        <v>48</v>
      </c>
      <c r="C745" s="31">
        <v>0.77083333333333337</v>
      </c>
      <c r="D745" s="31">
        <v>0.95833333333333337</v>
      </c>
      <c r="E745" s="30">
        <f t="shared" si="12"/>
        <v>4.5</v>
      </c>
      <c r="F745" s="38"/>
    </row>
    <row r="746" spans="1:6" x14ac:dyDescent="0.25">
      <c r="A746" s="44">
        <v>45633</v>
      </c>
      <c r="B746" s="11" t="s">
        <v>48</v>
      </c>
      <c r="C746" s="31">
        <v>0.625</v>
      </c>
      <c r="D746" s="31">
        <v>0.77083333333333337</v>
      </c>
      <c r="E746" s="30">
        <f t="shared" si="12"/>
        <v>3.5000000000000009</v>
      </c>
      <c r="F746" s="38"/>
    </row>
    <row r="747" spans="1:6" x14ac:dyDescent="0.25">
      <c r="A747" s="44">
        <v>45633</v>
      </c>
      <c r="B747" s="11" t="s">
        <v>56</v>
      </c>
      <c r="C747" s="31">
        <v>0.54166666666666663</v>
      </c>
      <c r="D747" s="31">
        <v>0.75</v>
      </c>
      <c r="E747" s="30">
        <f t="shared" si="12"/>
        <v>5.0000000000000009</v>
      </c>
      <c r="F747" s="38"/>
    </row>
    <row r="748" spans="1:6" x14ac:dyDescent="0.25">
      <c r="A748" s="44">
        <v>45633</v>
      </c>
      <c r="B748" s="11" t="s">
        <v>49</v>
      </c>
      <c r="C748" s="31">
        <v>0.375</v>
      </c>
      <c r="D748" s="31">
        <v>0.5</v>
      </c>
      <c r="E748" s="30">
        <f t="shared" si="12"/>
        <v>3</v>
      </c>
      <c r="F748" s="38"/>
    </row>
    <row r="749" spans="1:6" x14ac:dyDescent="0.25">
      <c r="A749" s="44">
        <v>45633</v>
      </c>
      <c r="B749" s="11" t="s">
        <v>47</v>
      </c>
      <c r="C749" s="31">
        <v>0.375</v>
      </c>
      <c r="D749" s="31">
        <v>0.58333333333333337</v>
      </c>
      <c r="E749" s="30">
        <f t="shared" si="12"/>
        <v>5.0000000000000009</v>
      </c>
      <c r="F749" s="38"/>
    </row>
    <row r="750" spans="1:6" x14ac:dyDescent="0.25">
      <c r="A750" s="44">
        <v>45634</v>
      </c>
      <c r="B750" s="11" t="s">
        <v>53</v>
      </c>
      <c r="C750" s="31">
        <v>0.33333333333333331</v>
      </c>
      <c r="D750" s="31">
        <v>0.54166666666666663</v>
      </c>
      <c r="E750" s="30">
        <f t="shared" si="12"/>
        <v>5</v>
      </c>
      <c r="F750" s="38"/>
    </row>
    <row r="751" spans="1:6" x14ac:dyDescent="0.25">
      <c r="A751" s="44">
        <v>45634</v>
      </c>
      <c r="B751" s="11" t="s">
        <v>58</v>
      </c>
      <c r="C751" s="31">
        <v>0.54166666666666663</v>
      </c>
      <c r="D751" s="31">
        <v>0.77083333333333337</v>
      </c>
      <c r="E751" s="30">
        <f t="shared" si="12"/>
        <v>5.0000000000000018</v>
      </c>
      <c r="F751" s="38">
        <v>0.5</v>
      </c>
    </row>
    <row r="752" spans="1:6" x14ac:dyDescent="0.25">
      <c r="A752" s="44">
        <v>45634</v>
      </c>
      <c r="B752" s="11" t="s">
        <v>53</v>
      </c>
      <c r="C752" s="31">
        <v>0.54166666666666663</v>
      </c>
      <c r="D752" s="31">
        <v>0.91666666666666663</v>
      </c>
      <c r="E752" s="30">
        <f t="shared" si="12"/>
        <v>8</v>
      </c>
      <c r="F752" s="38">
        <v>1</v>
      </c>
    </row>
    <row r="753" spans="1:6" x14ac:dyDescent="0.25">
      <c r="A753" s="44">
        <v>45635</v>
      </c>
      <c r="B753" s="11" t="s">
        <v>56</v>
      </c>
      <c r="C753" s="31">
        <v>0.33333333333333331</v>
      </c>
      <c r="D753" s="31">
        <v>0.58333333333333337</v>
      </c>
      <c r="E753" s="30">
        <f t="shared" si="12"/>
        <v>5.5000000000000018</v>
      </c>
      <c r="F753" s="38">
        <v>0.5</v>
      </c>
    </row>
    <row r="754" spans="1:6" x14ac:dyDescent="0.25">
      <c r="A754" s="44">
        <v>45635</v>
      </c>
      <c r="B754" s="11" t="s">
        <v>49</v>
      </c>
      <c r="C754" s="31">
        <v>0.70833333333333337</v>
      </c>
      <c r="D754" s="31">
        <v>0.79166666666666663</v>
      </c>
      <c r="E754" s="30">
        <f t="shared" si="12"/>
        <v>1.9999999999999982</v>
      </c>
      <c r="F754" s="38"/>
    </row>
    <row r="755" spans="1:6" x14ac:dyDescent="0.25">
      <c r="A755" s="44">
        <v>45636</v>
      </c>
      <c r="B755" s="11" t="s">
        <v>56</v>
      </c>
      <c r="C755" s="31">
        <v>0.33333333333333331</v>
      </c>
      <c r="D755" s="31">
        <v>0.60416666666666663</v>
      </c>
      <c r="E755" s="30">
        <f t="shared" si="12"/>
        <v>6</v>
      </c>
      <c r="F755" s="38">
        <v>0.5</v>
      </c>
    </row>
    <row r="756" spans="1:6" x14ac:dyDescent="0.25">
      <c r="A756" s="44">
        <v>45636</v>
      </c>
      <c r="B756" s="11" t="s">
        <v>53</v>
      </c>
      <c r="C756" s="31">
        <v>0.72916666666666663</v>
      </c>
      <c r="D756" s="31">
        <v>0.85416666666666663</v>
      </c>
      <c r="E756" s="30">
        <f t="shared" si="12"/>
        <v>3</v>
      </c>
      <c r="F756" s="38"/>
    </row>
    <row r="757" spans="1:6" x14ac:dyDescent="0.25">
      <c r="A757" s="44">
        <v>45637</v>
      </c>
      <c r="B757" s="11" t="s">
        <v>49</v>
      </c>
      <c r="C757" s="31">
        <v>0.70833333333333337</v>
      </c>
      <c r="D757" s="31">
        <v>0.89583333333333337</v>
      </c>
      <c r="E757" s="30">
        <f t="shared" si="12"/>
        <v>4.5</v>
      </c>
      <c r="F757" s="38"/>
    </row>
    <row r="758" spans="1:6" x14ac:dyDescent="0.25">
      <c r="A758" s="44">
        <v>45637</v>
      </c>
      <c r="B758" s="11" t="s">
        <v>56</v>
      </c>
      <c r="C758" s="31">
        <v>0.33333333333333331</v>
      </c>
      <c r="D758" s="31">
        <v>0.58333333333333337</v>
      </c>
      <c r="E758" s="30">
        <f t="shared" si="12"/>
        <v>5.5000000000000018</v>
      </c>
      <c r="F758" s="38">
        <v>0.5</v>
      </c>
    </row>
    <row r="759" spans="1:6" x14ac:dyDescent="0.25">
      <c r="A759" s="44">
        <v>45638</v>
      </c>
      <c r="B759" s="11" t="s">
        <v>56</v>
      </c>
      <c r="C759" s="31">
        <v>0.75</v>
      </c>
      <c r="D759" s="31">
        <v>0.95833333333333337</v>
      </c>
      <c r="E759" s="30">
        <f t="shared" si="12"/>
        <v>5.0000000000000009</v>
      </c>
      <c r="F759" s="38"/>
    </row>
    <row r="760" spans="1:6" x14ac:dyDescent="0.25">
      <c r="A760" s="44">
        <v>45638</v>
      </c>
      <c r="B760" s="11" t="s">
        <v>49</v>
      </c>
      <c r="C760" s="31">
        <v>0.5</v>
      </c>
      <c r="D760" s="31">
        <v>0.66666666666666663</v>
      </c>
      <c r="E760" s="30">
        <f t="shared" si="12"/>
        <v>3.9999999999999991</v>
      </c>
      <c r="F760" s="38"/>
    </row>
    <row r="761" spans="1:6" x14ac:dyDescent="0.25">
      <c r="A761" s="44">
        <v>45638</v>
      </c>
      <c r="B761" s="11" t="s">
        <v>56</v>
      </c>
      <c r="C761" s="31">
        <v>0.33333333333333331</v>
      </c>
      <c r="D761" s="31">
        <v>0.58333333333333337</v>
      </c>
      <c r="E761" s="30">
        <f t="shared" si="12"/>
        <v>5.5000000000000018</v>
      </c>
      <c r="F761" s="38">
        <v>0.5</v>
      </c>
    </row>
    <row r="762" spans="1:6" x14ac:dyDescent="0.25">
      <c r="A762" s="44">
        <v>45639</v>
      </c>
      <c r="B762" s="11" t="s">
        <v>56</v>
      </c>
      <c r="C762" s="31">
        <v>0.64583333333333337</v>
      </c>
      <c r="D762" s="31">
        <v>0.89583333333333337</v>
      </c>
      <c r="E762" s="30">
        <f t="shared" si="12"/>
        <v>5.5</v>
      </c>
      <c r="F762" s="38">
        <v>0.5</v>
      </c>
    </row>
    <row r="763" spans="1:6" x14ac:dyDescent="0.25">
      <c r="A763" s="44">
        <v>45639</v>
      </c>
      <c r="B763" s="11" t="s">
        <v>53</v>
      </c>
      <c r="C763" s="31">
        <v>0.64583333333333337</v>
      </c>
      <c r="D763" s="31">
        <v>0.91666666666666663</v>
      </c>
      <c r="E763" s="30">
        <f t="shared" si="12"/>
        <v>5.9999999999999982</v>
      </c>
      <c r="F763" s="38">
        <v>0.5</v>
      </c>
    </row>
    <row r="764" spans="1:6" x14ac:dyDescent="0.25">
      <c r="A764" s="44">
        <v>45639</v>
      </c>
      <c r="B764" s="11" t="s">
        <v>56</v>
      </c>
      <c r="C764" s="31">
        <v>0.33333333333333331</v>
      </c>
      <c r="D764" s="31">
        <v>0.58333333333333337</v>
      </c>
      <c r="E764" s="30">
        <f t="shared" si="12"/>
        <v>5.5000000000000018</v>
      </c>
      <c r="F764" s="38">
        <v>0.5</v>
      </c>
    </row>
    <row r="765" spans="1:6" x14ac:dyDescent="0.25">
      <c r="A765" s="44">
        <v>45640</v>
      </c>
      <c r="B765" s="11" t="s">
        <v>47</v>
      </c>
      <c r="C765" s="31">
        <v>0.375</v>
      </c>
      <c r="D765" s="31">
        <v>0.58333333333333337</v>
      </c>
      <c r="E765" s="30">
        <f t="shared" si="12"/>
        <v>5.0000000000000009</v>
      </c>
      <c r="F765" s="38"/>
    </row>
    <row r="766" spans="1:6" x14ac:dyDescent="0.25">
      <c r="A766" s="44">
        <v>45640</v>
      </c>
      <c r="B766" s="11" t="s">
        <v>49</v>
      </c>
      <c r="C766" s="31">
        <v>0.375</v>
      </c>
      <c r="D766" s="31">
        <v>0.5</v>
      </c>
      <c r="E766" s="30">
        <f t="shared" si="12"/>
        <v>3</v>
      </c>
      <c r="F766" s="38"/>
    </row>
    <row r="767" spans="1:6" x14ac:dyDescent="0.25">
      <c r="A767" s="44">
        <v>45640</v>
      </c>
      <c r="B767" s="11" t="s">
        <v>53</v>
      </c>
      <c r="C767" s="31">
        <v>0.41666666666666669</v>
      </c>
      <c r="D767" s="31">
        <v>0.66666666666666663</v>
      </c>
      <c r="E767" s="30">
        <f t="shared" si="12"/>
        <v>5.4999999999999982</v>
      </c>
      <c r="F767" s="38">
        <v>0.5</v>
      </c>
    </row>
    <row r="768" spans="1:6" x14ac:dyDescent="0.25">
      <c r="A768" s="44">
        <v>45640</v>
      </c>
      <c r="B768" s="11" t="s">
        <v>58</v>
      </c>
      <c r="C768" s="31">
        <v>0.58333333333333337</v>
      </c>
      <c r="D768" s="31">
        <v>0.8125</v>
      </c>
      <c r="E768" s="30">
        <f t="shared" si="12"/>
        <v>4.9999999999999991</v>
      </c>
      <c r="F768" s="38">
        <v>0.5</v>
      </c>
    </row>
    <row r="769" spans="1:6" x14ac:dyDescent="0.25">
      <c r="A769" s="44">
        <v>45640</v>
      </c>
      <c r="B769" s="11" t="s">
        <v>58</v>
      </c>
      <c r="C769" s="31">
        <v>0.8125</v>
      </c>
      <c r="D769" s="31">
        <v>4.1666666666666664E-2</v>
      </c>
      <c r="E769" s="30">
        <f t="shared" si="12"/>
        <v>4.9999999999999991</v>
      </c>
      <c r="F769" s="38">
        <v>0.5</v>
      </c>
    </row>
    <row r="770" spans="1:6" x14ac:dyDescent="0.25">
      <c r="A770" s="44">
        <v>45640</v>
      </c>
      <c r="B770" s="11" t="s">
        <v>56</v>
      </c>
      <c r="C770" s="31">
        <v>0.33333333333333331</v>
      </c>
      <c r="D770" s="31">
        <v>0.54166666666666663</v>
      </c>
      <c r="E770" s="30">
        <f t="shared" si="12"/>
        <v>5</v>
      </c>
      <c r="F770" s="38"/>
    </row>
    <row r="771" spans="1:6" x14ac:dyDescent="0.25">
      <c r="A771" s="44">
        <v>45641</v>
      </c>
      <c r="B771" s="11" t="s">
        <v>48</v>
      </c>
      <c r="C771" s="31">
        <v>0.39583333333333331</v>
      </c>
      <c r="D771" s="31">
        <v>0.60416666666666663</v>
      </c>
      <c r="E771" s="30">
        <f t="shared" si="12"/>
        <v>5</v>
      </c>
      <c r="F771" s="38"/>
    </row>
    <row r="772" spans="1:6" x14ac:dyDescent="0.25">
      <c r="A772" s="44">
        <v>45641</v>
      </c>
      <c r="B772" s="11" t="s">
        <v>53</v>
      </c>
      <c r="C772" s="31">
        <v>0.375</v>
      </c>
      <c r="D772" s="31">
        <v>0.625</v>
      </c>
      <c r="E772" s="30">
        <f t="shared" si="12"/>
        <v>5</v>
      </c>
      <c r="F772" s="38">
        <v>1</v>
      </c>
    </row>
    <row r="773" spans="1:6" x14ac:dyDescent="0.25">
      <c r="A773" s="44">
        <v>45641</v>
      </c>
      <c r="B773" s="11" t="s">
        <v>53</v>
      </c>
      <c r="C773" s="31">
        <v>0.625</v>
      </c>
      <c r="D773" s="31">
        <v>0.91666666666666663</v>
      </c>
      <c r="E773" s="30">
        <f t="shared" si="12"/>
        <v>6.4999999999999991</v>
      </c>
      <c r="F773" s="38">
        <v>0.5</v>
      </c>
    </row>
    <row r="774" spans="1:6" x14ac:dyDescent="0.25">
      <c r="A774" s="44">
        <v>45641</v>
      </c>
      <c r="B774" s="11" t="s">
        <v>58</v>
      </c>
      <c r="C774" s="31">
        <v>0.45833333333333331</v>
      </c>
      <c r="D774" s="31">
        <v>0.79166666666666663</v>
      </c>
      <c r="E774" s="30">
        <f t="shared" si="12"/>
        <v>7.5</v>
      </c>
      <c r="F774" s="38">
        <v>0.5</v>
      </c>
    </row>
    <row r="775" spans="1:6" x14ac:dyDescent="0.25">
      <c r="A775" s="44">
        <v>45642</v>
      </c>
      <c r="B775" s="11" t="s">
        <v>49</v>
      </c>
      <c r="C775" s="31">
        <v>0.41666666666666669</v>
      </c>
      <c r="D775" s="31">
        <v>0.66666666666666663</v>
      </c>
      <c r="E775" s="30">
        <f t="shared" si="12"/>
        <v>5.9999999999999982</v>
      </c>
      <c r="F775" s="38"/>
    </row>
    <row r="776" spans="1:6" x14ac:dyDescent="0.25">
      <c r="A776" s="44">
        <v>45642</v>
      </c>
      <c r="B776" s="11" t="s">
        <v>49</v>
      </c>
      <c r="C776" s="31">
        <v>0.70833333333333337</v>
      </c>
      <c r="D776" s="31">
        <v>0.79166666666666663</v>
      </c>
      <c r="E776" s="30">
        <f t="shared" si="12"/>
        <v>1.9999999999999982</v>
      </c>
      <c r="F776" s="38"/>
    </row>
    <row r="777" spans="1:6" x14ac:dyDescent="0.25">
      <c r="A777" s="44">
        <v>45642</v>
      </c>
      <c r="B777" s="11" t="s">
        <v>56</v>
      </c>
      <c r="C777" s="31">
        <v>0.33333333333333331</v>
      </c>
      <c r="D777" s="31">
        <v>0.58333333333333337</v>
      </c>
      <c r="E777" s="30">
        <f t="shared" si="12"/>
        <v>5.5000000000000018</v>
      </c>
      <c r="F777" s="38">
        <v>0.5</v>
      </c>
    </row>
    <row r="778" spans="1:6" x14ac:dyDescent="0.25">
      <c r="A778" s="44">
        <v>45643</v>
      </c>
      <c r="B778" s="11" t="s">
        <v>53</v>
      </c>
      <c r="C778" s="31">
        <v>0.72916666666666663</v>
      </c>
      <c r="D778" s="31">
        <v>0.85416666666666663</v>
      </c>
      <c r="E778" s="30">
        <f t="shared" si="12"/>
        <v>3</v>
      </c>
      <c r="F778" s="38"/>
    </row>
    <row r="779" spans="1:6" x14ac:dyDescent="0.25">
      <c r="A779" s="44">
        <v>45643</v>
      </c>
      <c r="B779" s="11" t="s">
        <v>56</v>
      </c>
      <c r="C779" s="31">
        <v>0.33333333333333331</v>
      </c>
      <c r="D779" s="31">
        <v>0.58333333333333337</v>
      </c>
      <c r="E779" s="30">
        <f t="shared" si="12"/>
        <v>5.5000000000000018</v>
      </c>
      <c r="F779" s="38">
        <v>0.5</v>
      </c>
    </row>
    <row r="780" spans="1:6" x14ac:dyDescent="0.25">
      <c r="A780" s="44">
        <v>45644</v>
      </c>
      <c r="B780" s="11" t="s">
        <v>49</v>
      </c>
      <c r="C780" s="31">
        <v>0.70833333333333337</v>
      </c>
      <c r="D780" s="31">
        <v>0.89583333333333337</v>
      </c>
      <c r="E780" s="30">
        <f t="shared" si="12"/>
        <v>4.5</v>
      </c>
      <c r="F780" s="38"/>
    </row>
    <row r="781" spans="1:6" x14ac:dyDescent="0.25">
      <c r="A781" s="44">
        <v>45644</v>
      </c>
      <c r="B781" s="11" t="s">
        <v>56</v>
      </c>
      <c r="C781" s="31">
        <v>0.33333333333333331</v>
      </c>
      <c r="D781" s="31">
        <v>0.58333333333333337</v>
      </c>
      <c r="E781" s="30">
        <f t="shared" si="12"/>
        <v>5.5000000000000018</v>
      </c>
      <c r="F781" s="38">
        <v>0.5</v>
      </c>
    </row>
    <row r="782" spans="1:6" x14ac:dyDescent="0.25">
      <c r="A782" s="44">
        <v>45645</v>
      </c>
      <c r="B782" s="11" t="s">
        <v>56</v>
      </c>
      <c r="C782" s="31">
        <v>0.79166666666666663</v>
      </c>
      <c r="D782" s="31">
        <v>0.91666666666666663</v>
      </c>
      <c r="E782" s="30">
        <f t="shared" si="12"/>
        <v>3</v>
      </c>
      <c r="F782" s="38"/>
    </row>
    <row r="783" spans="1:6" x14ac:dyDescent="0.25">
      <c r="A783" s="44">
        <v>45645</v>
      </c>
      <c r="B783" s="11" t="s">
        <v>56</v>
      </c>
      <c r="C783" s="31">
        <v>0.33333333333333331</v>
      </c>
      <c r="D783" s="31">
        <v>0.58333333333333337</v>
      </c>
      <c r="E783" s="30">
        <f t="shared" si="12"/>
        <v>5.5000000000000018</v>
      </c>
      <c r="F783" s="38">
        <v>0.5</v>
      </c>
    </row>
    <row r="784" spans="1:6" x14ac:dyDescent="0.25">
      <c r="A784" s="44">
        <v>45646</v>
      </c>
      <c r="B784" s="11" t="s">
        <v>56</v>
      </c>
      <c r="C784" s="31">
        <v>0.33333333333333331</v>
      </c>
      <c r="D784" s="31">
        <v>0.58333333333333337</v>
      </c>
      <c r="E784" s="30">
        <f t="shared" si="12"/>
        <v>5.5000000000000018</v>
      </c>
      <c r="F784" s="38">
        <v>0.5</v>
      </c>
    </row>
    <row r="785" spans="1:6" x14ac:dyDescent="0.25">
      <c r="A785" s="44">
        <v>45647</v>
      </c>
      <c r="B785" s="11" t="s">
        <v>58</v>
      </c>
      <c r="C785" s="31">
        <v>0.54166666666666663</v>
      </c>
      <c r="D785" s="31">
        <v>0.83333333333333337</v>
      </c>
      <c r="E785" s="30">
        <f t="shared" si="12"/>
        <v>6.5000000000000018</v>
      </c>
      <c r="F785" s="38">
        <v>0.5</v>
      </c>
    </row>
    <row r="786" spans="1:6" x14ac:dyDescent="0.25">
      <c r="A786" s="44">
        <v>45647</v>
      </c>
      <c r="B786" s="11" t="s">
        <v>56</v>
      </c>
      <c r="C786" s="31">
        <v>0.33333333333333331</v>
      </c>
      <c r="D786" s="31">
        <v>0.54166666666666663</v>
      </c>
      <c r="E786" s="30">
        <f t="shared" si="12"/>
        <v>5</v>
      </c>
      <c r="F786" s="38"/>
    </row>
  </sheetData>
  <autoFilter ref="A1:I786" xr:uid="{DA77A550-92B2-412D-8CBA-3EF9B0DE7FA7}"/>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97F35-7F6D-4B54-8504-DAD0B6D465CF}">
  <sheetPr>
    <tabColor rgb="FFF3F70F"/>
  </sheetPr>
  <dimension ref="A1:G212"/>
  <sheetViews>
    <sheetView topLeftCell="A31" workbookViewId="0">
      <selection activeCell="A2" sqref="A1:B1048576"/>
    </sheetView>
  </sheetViews>
  <sheetFormatPr defaultRowHeight="15" x14ac:dyDescent="0.25"/>
  <cols>
    <col min="1" max="1" width="43.7109375" customWidth="1"/>
    <col min="2" max="2" width="21.140625" customWidth="1"/>
    <col min="3" max="3" width="12.28515625" customWidth="1"/>
    <col min="4" max="4" width="12.5703125" customWidth="1"/>
    <col min="5" max="5" width="15.42578125" customWidth="1"/>
    <col min="6" max="6" width="13.140625" customWidth="1"/>
    <col min="7" max="7" width="19.28515625" bestFit="1" customWidth="1"/>
  </cols>
  <sheetData>
    <row r="1" spans="1:7" x14ac:dyDescent="0.25">
      <c r="A1" s="55" t="s">
        <v>96</v>
      </c>
      <c r="B1" s="55" t="s">
        <v>83</v>
      </c>
      <c r="C1" s="55" t="s">
        <v>85</v>
      </c>
      <c r="D1" s="55" t="s">
        <v>86</v>
      </c>
      <c r="E1" s="55" t="s">
        <v>16</v>
      </c>
      <c r="F1" s="55" t="s">
        <v>97</v>
      </c>
      <c r="G1" s="9" t="s">
        <v>25</v>
      </c>
    </row>
    <row r="2" spans="1:7" x14ac:dyDescent="0.25">
      <c r="A2" t="s">
        <v>98</v>
      </c>
      <c r="B2" s="1">
        <v>45687</v>
      </c>
      <c r="C2" t="s">
        <v>99</v>
      </c>
      <c r="D2" t="s">
        <v>100</v>
      </c>
      <c r="E2">
        <v>5</v>
      </c>
      <c r="F2" s="3"/>
      <c r="G2" s="12">
        <f>SUM(E:E)</f>
        <v>1234.5</v>
      </c>
    </row>
    <row r="3" spans="1:7" x14ac:dyDescent="0.25">
      <c r="A3" t="s">
        <v>101</v>
      </c>
      <c r="B3" s="1">
        <v>45687</v>
      </c>
      <c r="C3" t="s">
        <v>99</v>
      </c>
      <c r="D3" t="s">
        <v>100</v>
      </c>
      <c r="E3">
        <v>5</v>
      </c>
      <c r="F3" s="3"/>
    </row>
    <row r="4" spans="1:7" x14ac:dyDescent="0.25">
      <c r="A4" t="s">
        <v>98</v>
      </c>
      <c r="B4" s="1">
        <v>45688</v>
      </c>
      <c r="C4" t="s">
        <v>99</v>
      </c>
      <c r="D4" t="s">
        <v>102</v>
      </c>
      <c r="E4">
        <v>6.5</v>
      </c>
      <c r="F4" t="s">
        <v>103</v>
      </c>
    </row>
    <row r="5" spans="1:7" x14ac:dyDescent="0.25">
      <c r="A5" t="s">
        <v>101</v>
      </c>
      <c r="B5" s="1">
        <v>45688</v>
      </c>
      <c r="C5" t="s">
        <v>99</v>
      </c>
      <c r="D5" t="s">
        <v>102</v>
      </c>
      <c r="E5">
        <v>6.5</v>
      </c>
      <c r="F5" t="s">
        <v>103</v>
      </c>
    </row>
    <row r="6" spans="1:7" x14ac:dyDescent="0.25">
      <c r="A6" t="s">
        <v>98</v>
      </c>
      <c r="B6" s="1">
        <v>45689</v>
      </c>
      <c r="C6" t="s">
        <v>104</v>
      </c>
      <c r="D6" t="s">
        <v>105</v>
      </c>
      <c r="E6">
        <v>4</v>
      </c>
      <c r="F6" s="3"/>
    </row>
    <row r="7" spans="1:7" x14ac:dyDescent="0.25">
      <c r="A7" t="s">
        <v>101</v>
      </c>
      <c r="B7" s="1">
        <v>45689</v>
      </c>
      <c r="C7" t="s">
        <v>104</v>
      </c>
      <c r="D7" t="s">
        <v>105</v>
      </c>
      <c r="E7">
        <v>4</v>
      </c>
      <c r="F7" s="3"/>
    </row>
    <row r="8" spans="1:7" x14ac:dyDescent="0.25">
      <c r="A8" t="s">
        <v>106</v>
      </c>
      <c r="B8" s="1">
        <v>45689</v>
      </c>
      <c r="C8" t="s">
        <v>102</v>
      </c>
      <c r="D8" t="s">
        <v>107</v>
      </c>
      <c r="E8">
        <v>4.5</v>
      </c>
    </row>
    <row r="9" spans="1:7" x14ac:dyDescent="0.25">
      <c r="A9" t="s">
        <v>108</v>
      </c>
      <c r="B9" s="1">
        <v>45689</v>
      </c>
      <c r="C9" t="s">
        <v>102</v>
      </c>
      <c r="D9" t="s">
        <v>107</v>
      </c>
      <c r="E9">
        <v>4.5</v>
      </c>
    </row>
    <row r="10" spans="1:7" x14ac:dyDescent="0.25">
      <c r="A10" t="s">
        <v>109</v>
      </c>
      <c r="B10" s="1">
        <v>45690</v>
      </c>
      <c r="C10" t="s">
        <v>99</v>
      </c>
      <c r="D10" t="s">
        <v>105</v>
      </c>
      <c r="E10">
        <v>5.5</v>
      </c>
      <c r="F10" t="s">
        <v>103</v>
      </c>
    </row>
    <row r="11" spans="1:7" x14ac:dyDescent="0.25">
      <c r="A11" t="s">
        <v>110</v>
      </c>
      <c r="B11" s="1">
        <v>45691</v>
      </c>
      <c r="C11" t="s">
        <v>100</v>
      </c>
      <c r="D11" t="s">
        <v>111</v>
      </c>
      <c r="E11">
        <v>7.5</v>
      </c>
      <c r="F11" t="s">
        <v>103</v>
      </c>
    </row>
    <row r="12" spans="1:7" x14ac:dyDescent="0.25">
      <c r="A12" t="s">
        <v>112</v>
      </c>
      <c r="B12" s="1">
        <v>45691</v>
      </c>
      <c r="C12" t="s">
        <v>100</v>
      </c>
      <c r="D12" t="s">
        <v>111</v>
      </c>
      <c r="E12">
        <v>7.5</v>
      </c>
      <c r="F12" t="s">
        <v>103</v>
      </c>
    </row>
    <row r="13" spans="1:7" x14ac:dyDescent="0.25">
      <c r="A13" t="s">
        <v>113</v>
      </c>
      <c r="B13" s="1">
        <v>45691</v>
      </c>
      <c r="C13" t="s">
        <v>100</v>
      </c>
      <c r="D13" t="s">
        <v>111</v>
      </c>
      <c r="E13">
        <v>7.5</v>
      </c>
      <c r="F13" t="s">
        <v>103</v>
      </c>
    </row>
    <row r="14" spans="1:7" x14ac:dyDescent="0.25">
      <c r="A14" t="s">
        <v>114</v>
      </c>
      <c r="B14" s="1">
        <v>45691</v>
      </c>
      <c r="C14" t="s">
        <v>100</v>
      </c>
      <c r="D14" t="s">
        <v>111</v>
      </c>
      <c r="E14">
        <v>7.5</v>
      </c>
      <c r="F14" t="s">
        <v>103</v>
      </c>
    </row>
    <row r="15" spans="1:7" x14ac:dyDescent="0.25">
      <c r="A15" t="s">
        <v>115</v>
      </c>
      <c r="B15" s="1">
        <v>45691</v>
      </c>
      <c r="C15" t="s">
        <v>100</v>
      </c>
      <c r="D15" t="s">
        <v>111</v>
      </c>
      <c r="E15">
        <v>7.5</v>
      </c>
      <c r="F15" t="s">
        <v>103</v>
      </c>
    </row>
    <row r="16" spans="1:7" x14ac:dyDescent="0.25">
      <c r="A16" t="s">
        <v>116</v>
      </c>
      <c r="B16" s="1">
        <v>45691</v>
      </c>
      <c r="C16" t="s">
        <v>100</v>
      </c>
      <c r="D16" t="s">
        <v>111</v>
      </c>
      <c r="E16">
        <v>7.5</v>
      </c>
      <c r="F16" t="s">
        <v>103</v>
      </c>
    </row>
    <row r="17" spans="1:6" x14ac:dyDescent="0.25">
      <c r="A17" t="s">
        <v>117</v>
      </c>
      <c r="B17" s="1">
        <v>45692</v>
      </c>
      <c r="C17" t="s">
        <v>118</v>
      </c>
      <c r="D17" t="s">
        <v>102</v>
      </c>
      <c r="E17">
        <v>5.5</v>
      </c>
      <c r="F17" t="s">
        <v>103</v>
      </c>
    </row>
    <row r="18" spans="1:6" x14ac:dyDescent="0.25">
      <c r="A18" t="s">
        <v>117</v>
      </c>
      <c r="B18" s="1">
        <v>45692</v>
      </c>
      <c r="C18" t="s">
        <v>118</v>
      </c>
      <c r="D18" t="s">
        <v>102</v>
      </c>
      <c r="E18">
        <v>5.5</v>
      </c>
      <c r="F18" t="s">
        <v>103</v>
      </c>
    </row>
    <row r="19" spans="1:6" x14ac:dyDescent="0.25">
      <c r="A19" t="s">
        <v>119</v>
      </c>
      <c r="B19" s="1">
        <v>45707</v>
      </c>
      <c r="C19" t="s">
        <v>120</v>
      </c>
      <c r="D19" t="s">
        <v>121</v>
      </c>
      <c r="E19">
        <v>8</v>
      </c>
      <c r="F19" t="s">
        <v>122</v>
      </c>
    </row>
    <row r="20" spans="1:6" x14ac:dyDescent="0.25">
      <c r="A20" t="s">
        <v>123</v>
      </c>
      <c r="B20" s="1">
        <v>45719</v>
      </c>
      <c r="C20" t="s">
        <v>118</v>
      </c>
      <c r="D20" t="s">
        <v>102</v>
      </c>
      <c r="E20">
        <v>5.5</v>
      </c>
      <c r="F20" t="s">
        <v>103</v>
      </c>
    </row>
    <row r="21" spans="1:6" x14ac:dyDescent="0.25">
      <c r="A21" t="s">
        <v>124</v>
      </c>
      <c r="B21" s="1">
        <v>45719</v>
      </c>
      <c r="C21" t="s">
        <v>118</v>
      </c>
      <c r="D21" t="s">
        <v>102</v>
      </c>
      <c r="E21">
        <v>5.5</v>
      </c>
      <c r="F21" t="s">
        <v>103</v>
      </c>
    </row>
    <row r="22" spans="1:6" x14ac:dyDescent="0.25">
      <c r="A22" t="s">
        <v>125</v>
      </c>
      <c r="B22" s="1">
        <v>45719</v>
      </c>
      <c r="C22" t="s">
        <v>118</v>
      </c>
      <c r="D22" t="s">
        <v>126</v>
      </c>
      <c r="E22">
        <v>3</v>
      </c>
    </row>
    <row r="23" spans="1:6" x14ac:dyDescent="0.25">
      <c r="A23" t="s">
        <v>127</v>
      </c>
      <c r="B23" s="1">
        <v>45727</v>
      </c>
      <c r="C23" t="s">
        <v>118</v>
      </c>
      <c r="D23" t="s">
        <v>105</v>
      </c>
      <c r="E23">
        <v>5</v>
      </c>
    </row>
    <row r="24" spans="1:6" x14ac:dyDescent="0.25">
      <c r="A24" t="s">
        <v>128</v>
      </c>
      <c r="B24" s="1">
        <v>45727</v>
      </c>
      <c r="C24" t="s">
        <v>118</v>
      </c>
      <c r="D24" t="s">
        <v>105</v>
      </c>
      <c r="E24">
        <v>5</v>
      </c>
    </row>
    <row r="25" spans="1:6" x14ac:dyDescent="0.25">
      <c r="A25" t="s">
        <v>127</v>
      </c>
      <c r="B25" s="1">
        <v>45728</v>
      </c>
      <c r="C25" t="s">
        <v>118</v>
      </c>
      <c r="D25" t="s">
        <v>105</v>
      </c>
      <c r="E25">
        <v>5</v>
      </c>
    </row>
    <row r="26" spans="1:6" x14ac:dyDescent="0.25">
      <c r="A26" t="s">
        <v>128</v>
      </c>
      <c r="B26" s="1">
        <v>45728</v>
      </c>
      <c r="C26" t="s">
        <v>118</v>
      </c>
      <c r="D26" t="s">
        <v>105</v>
      </c>
      <c r="E26">
        <v>5</v>
      </c>
    </row>
    <row r="27" spans="1:6" x14ac:dyDescent="0.25">
      <c r="A27" t="s">
        <v>129</v>
      </c>
      <c r="B27" s="1">
        <v>45732</v>
      </c>
      <c r="C27" t="s">
        <v>130</v>
      </c>
      <c r="D27" t="s">
        <v>102</v>
      </c>
      <c r="E27">
        <v>8</v>
      </c>
      <c r="F27" t="s">
        <v>122</v>
      </c>
    </row>
    <row r="28" spans="1:6" x14ac:dyDescent="0.25">
      <c r="A28" t="s">
        <v>131</v>
      </c>
      <c r="B28" s="1">
        <v>45732</v>
      </c>
      <c r="C28" t="s">
        <v>130</v>
      </c>
      <c r="D28" t="s">
        <v>132</v>
      </c>
      <c r="E28">
        <v>5</v>
      </c>
    </row>
    <row r="29" spans="1:6" x14ac:dyDescent="0.25">
      <c r="A29" t="s">
        <v>133</v>
      </c>
      <c r="B29" s="1">
        <v>45732</v>
      </c>
      <c r="C29" t="s">
        <v>130</v>
      </c>
      <c r="D29" t="s">
        <v>132</v>
      </c>
      <c r="E29">
        <v>5</v>
      </c>
    </row>
    <row r="30" spans="1:6" x14ac:dyDescent="0.25">
      <c r="A30" t="s">
        <v>134</v>
      </c>
      <c r="B30" s="1">
        <v>45732</v>
      </c>
      <c r="C30" t="s">
        <v>130</v>
      </c>
      <c r="D30" t="s">
        <v>118</v>
      </c>
      <c r="E30">
        <v>3</v>
      </c>
    </row>
    <row r="31" spans="1:6" x14ac:dyDescent="0.25">
      <c r="A31" t="s">
        <v>135</v>
      </c>
      <c r="B31" s="1">
        <v>45732</v>
      </c>
      <c r="C31" t="s">
        <v>132</v>
      </c>
      <c r="D31" t="s">
        <v>102</v>
      </c>
      <c r="E31">
        <v>4</v>
      </c>
    </row>
    <row r="32" spans="1:6" x14ac:dyDescent="0.25">
      <c r="A32" t="s">
        <v>136</v>
      </c>
      <c r="B32" s="1">
        <v>45732</v>
      </c>
      <c r="C32" t="s">
        <v>132</v>
      </c>
      <c r="D32" t="s">
        <v>102</v>
      </c>
      <c r="E32">
        <v>4</v>
      </c>
    </row>
    <row r="33" spans="1:6" x14ac:dyDescent="0.25">
      <c r="A33" t="s">
        <v>137</v>
      </c>
      <c r="B33" s="1">
        <v>45739</v>
      </c>
      <c r="C33" t="s">
        <v>120</v>
      </c>
      <c r="D33" t="s">
        <v>105</v>
      </c>
      <c r="E33">
        <v>6.5</v>
      </c>
      <c r="F33" t="s">
        <v>103</v>
      </c>
    </row>
    <row r="34" spans="1:6" x14ac:dyDescent="0.25">
      <c r="A34" t="s">
        <v>138</v>
      </c>
      <c r="B34" s="1">
        <v>45739</v>
      </c>
      <c r="C34" t="s">
        <v>120</v>
      </c>
      <c r="D34" t="s">
        <v>105</v>
      </c>
      <c r="E34">
        <v>6.5</v>
      </c>
      <c r="F34" t="s">
        <v>103</v>
      </c>
    </row>
    <row r="35" spans="1:6" x14ac:dyDescent="0.25">
      <c r="A35" t="s">
        <v>139</v>
      </c>
      <c r="B35" s="1">
        <v>45739</v>
      </c>
      <c r="C35" t="s">
        <v>120</v>
      </c>
      <c r="D35" t="s">
        <v>105</v>
      </c>
      <c r="E35">
        <v>6.5</v>
      </c>
      <c r="F35" t="s">
        <v>103</v>
      </c>
    </row>
    <row r="36" spans="1:6" x14ac:dyDescent="0.25">
      <c r="A36" t="s">
        <v>140</v>
      </c>
      <c r="B36" s="1">
        <v>45739</v>
      </c>
      <c r="C36" t="s">
        <v>120</v>
      </c>
      <c r="D36" t="s">
        <v>105</v>
      </c>
      <c r="E36">
        <v>6.5</v>
      </c>
      <c r="F36" t="s">
        <v>103</v>
      </c>
    </row>
    <row r="37" spans="1:6" x14ac:dyDescent="0.25">
      <c r="A37" t="s">
        <v>141</v>
      </c>
      <c r="B37" s="1">
        <v>45761</v>
      </c>
      <c r="C37" t="s">
        <v>104</v>
      </c>
      <c r="D37" t="s">
        <v>142</v>
      </c>
      <c r="E37">
        <v>6</v>
      </c>
      <c r="F37" t="s">
        <v>103</v>
      </c>
    </row>
    <row r="38" spans="1:6" x14ac:dyDescent="0.25">
      <c r="A38" t="s">
        <v>143</v>
      </c>
      <c r="B38" s="1">
        <v>45767</v>
      </c>
      <c r="C38" t="s">
        <v>144</v>
      </c>
      <c r="D38" t="s">
        <v>100</v>
      </c>
      <c r="E38">
        <v>7</v>
      </c>
      <c r="F38" t="s">
        <v>103</v>
      </c>
    </row>
    <row r="39" spans="1:6" x14ac:dyDescent="0.25">
      <c r="A39" t="s">
        <v>145</v>
      </c>
      <c r="B39" s="1">
        <v>45767</v>
      </c>
      <c r="C39" t="s">
        <v>130</v>
      </c>
      <c r="D39" t="s">
        <v>100</v>
      </c>
      <c r="E39">
        <v>6.5</v>
      </c>
      <c r="F39" t="s">
        <v>103</v>
      </c>
    </row>
    <row r="40" spans="1:6" x14ac:dyDescent="0.25">
      <c r="A40" t="s">
        <v>146</v>
      </c>
      <c r="B40" s="1">
        <v>45772</v>
      </c>
      <c r="C40" t="s">
        <v>102</v>
      </c>
      <c r="D40" t="s">
        <v>107</v>
      </c>
      <c r="E40">
        <v>5.5</v>
      </c>
    </row>
    <row r="41" spans="1:6" x14ac:dyDescent="0.25">
      <c r="A41" t="s">
        <v>127</v>
      </c>
      <c r="B41" s="1">
        <v>45793</v>
      </c>
      <c r="C41" t="s">
        <v>99</v>
      </c>
      <c r="D41" t="s">
        <v>126</v>
      </c>
      <c r="E41">
        <v>4</v>
      </c>
    </row>
    <row r="42" spans="1:6" x14ac:dyDescent="0.25">
      <c r="A42" t="s">
        <v>128</v>
      </c>
      <c r="B42" s="1">
        <v>45793</v>
      </c>
      <c r="C42" t="s">
        <v>99</v>
      </c>
      <c r="D42" t="s">
        <v>126</v>
      </c>
      <c r="E42">
        <v>4</v>
      </c>
    </row>
    <row r="43" spans="1:6" x14ac:dyDescent="0.25">
      <c r="A43" t="s">
        <v>147</v>
      </c>
      <c r="B43" s="1">
        <v>45793</v>
      </c>
      <c r="C43" t="s">
        <v>148</v>
      </c>
      <c r="D43" t="s">
        <v>118</v>
      </c>
      <c r="E43">
        <v>4</v>
      </c>
    </row>
    <row r="44" spans="1:6" x14ac:dyDescent="0.25">
      <c r="A44" t="s">
        <v>149</v>
      </c>
      <c r="B44" s="1">
        <v>45799</v>
      </c>
      <c r="C44" t="s">
        <v>118</v>
      </c>
      <c r="D44" t="s">
        <v>100</v>
      </c>
      <c r="E44">
        <v>4</v>
      </c>
    </row>
    <row r="45" spans="1:6" x14ac:dyDescent="0.25">
      <c r="A45" t="s">
        <v>150</v>
      </c>
      <c r="B45" s="1">
        <v>45799</v>
      </c>
      <c r="C45" t="s">
        <v>118</v>
      </c>
      <c r="D45" t="s">
        <v>100</v>
      </c>
      <c r="E45">
        <v>4</v>
      </c>
    </row>
    <row r="46" spans="1:6" x14ac:dyDescent="0.25">
      <c r="A46" t="s">
        <v>151</v>
      </c>
      <c r="B46" s="1">
        <v>45799</v>
      </c>
      <c r="C46" t="s">
        <v>118</v>
      </c>
      <c r="D46" t="s">
        <v>100</v>
      </c>
      <c r="E46">
        <v>4</v>
      </c>
    </row>
    <row r="47" spans="1:6" x14ac:dyDescent="0.25">
      <c r="A47" t="s">
        <v>152</v>
      </c>
      <c r="B47" s="1">
        <v>45800</v>
      </c>
      <c r="C47" t="s">
        <v>132</v>
      </c>
      <c r="D47" t="s">
        <v>121</v>
      </c>
      <c r="E47">
        <v>5</v>
      </c>
    </row>
    <row r="48" spans="1:6" x14ac:dyDescent="0.25">
      <c r="A48" t="s">
        <v>153</v>
      </c>
      <c r="B48" s="1">
        <v>45800</v>
      </c>
      <c r="C48" t="s">
        <v>121</v>
      </c>
      <c r="D48" t="s">
        <v>111</v>
      </c>
      <c r="E48">
        <v>5</v>
      </c>
    </row>
    <row r="49" spans="1:5" x14ac:dyDescent="0.25">
      <c r="A49" t="s">
        <v>154</v>
      </c>
      <c r="B49" s="1">
        <v>45800</v>
      </c>
      <c r="C49" t="s">
        <v>155</v>
      </c>
      <c r="D49" t="s">
        <v>111</v>
      </c>
      <c r="E49">
        <v>3</v>
      </c>
    </row>
    <row r="50" spans="1:5" x14ac:dyDescent="0.25">
      <c r="A50" t="s">
        <v>156</v>
      </c>
      <c r="B50" s="1">
        <v>45800</v>
      </c>
      <c r="C50" t="s">
        <v>132</v>
      </c>
      <c r="D50" t="s">
        <v>105</v>
      </c>
      <c r="E50">
        <v>3</v>
      </c>
    </row>
    <row r="51" spans="1:5" x14ac:dyDescent="0.25">
      <c r="A51" t="s">
        <v>106</v>
      </c>
      <c r="B51" s="1">
        <v>45801</v>
      </c>
      <c r="C51" t="s">
        <v>99</v>
      </c>
      <c r="D51" t="s">
        <v>157</v>
      </c>
      <c r="E51">
        <v>4.5</v>
      </c>
    </row>
    <row r="52" spans="1:5" x14ac:dyDescent="0.25">
      <c r="A52" t="s">
        <v>108</v>
      </c>
      <c r="B52" s="1">
        <v>45801</v>
      </c>
      <c r="C52" t="s">
        <v>99</v>
      </c>
      <c r="D52" t="s">
        <v>126</v>
      </c>
      <c r="E52">
        <v>4</v>
      </c>
    </row>
    <row r="53" spans="1:5" x14ac:dyDescent="0.25">
      <c r="A53" t="s">
        <v>158</v>
      </c>
      <c r="B53" s="1">
        <v>45801</v>
      </c>
      <c r="C53" t="s">
        <v>132</v>
      </c>
      <c r="D53" t="s">
        <v>105</v>
      </c>
      <c r="E53">
        <v>3</v>
      </c>
    </row>
    <row r="54" spans="1:5" x14ac:dyDescent="0.25">
      <c r="A54" t="s">
        <v>159</v>
      </c>
      <c r="B54" s="1">
        <v>45802</v>
      </c>
      <c r="C54" t="s">
        <v>99</v>
      </c>
      <c r="D54" t="s">
        <v>100</v>
      </c>
      <c r="E54">
        <v>5</v>
      </c>
    </row>
    <row r="55" spans="1:5" x14ac:dyDescent="0.25">
      <c r="A55" t="s">
        <v>160</v>
      </c>
      <c r="B55" s="1">
        <v>45802</v>
      </c>
      <c r="C55" t="s">
        <v>99</v>
      </c>
      <c r="D55" t="s">
        <v>100</v>
      </c>
      <c r="E55">
        <v>5</v>
      </c>
    </row>
    <row r="56" spans="1:5" x14ac:dyDescent="0.25">
      <c r="A56" t="s">
        <v>161</v>
      </c>
      <c r="B56" s="1">
        <v>45802</v>
      </c>
      <c r="C56" t="s">
        <v>99</v>
      </c>
      <c r="D56" t="s">
        <v>100</v>
      </c>
      <c r="E56">
        <v>5</v>
      </c>
    </row>
    <row r="57" spans="1:5" x14ac:dyDescent="0.25">
      <c r="A57" t="s">
        <v>162</v>
      </c>
      <c r="B57" s="1">
        <v>45804</v>
      </c>
      <c r="C57" t="s">
        <v>144</v>
      </c>
      <c r="D57" t="s">
        <v>104</v>
      </c>
      <c r="E57">
        <v>4.5</v>
      </c>
    </row>
    <row r="58" spans="1:5" x14ac:dyDescent="0.25">
      <c r="A58" t="s">
        <v>163</v>
      </c>
      <c r="B58" s="1">
        <v>45804</v>
      </c>
      <c r="C58" t="s">
        <v>144</v>
      </c>
      <c r="D58" t="s">
        <v>104</v>
      </c>
      <c r="E58">
        <v>4.5</v>
      </c>
    </row>
    <row r="59" spans="1:5" x14ac:dyDescent="0.25">
      <c r="A59" t="s">
        <v>164</v>
      </c>
      <c r="B59" s="1">
        <v>45804</v>
      </c>
      <c r="C59" t="s">
        <v>118</v>
      </c>
      <c r="D59" t="s">
        <v>105</v>
      </c>
      <c r="E59">
        <v>5</v>
      </c>
    </row>
    <row r="60" spans="1:5" x14ac:dyDescent="0.25">
      <c r="A60" t="s">
        <v>165</v>
      </c>
      <c r="B60" s="1">
        <v>45804</v>
      </c>
      <c r="C60" t="s">
        <v>118</v>
      </c>
      <c r="D60" t="s">
        <v>105</v>
      </c>
      <c r="E60">
        <v>5</v>
      </c>
    </row>
    <row r="61" spans="1:5" x14ac:dyDescent="0.25">
      <c r="A61" t="s">
        <v>106</v>
      </c>
      <c r="B61" s="1">
        <v>45815</v>
      </c>
      <c r="C61" t="s">
        <v>105</v>
      </c>
      <c r="D61" t="s">
        <v>166</v>
      </c>
      <c r="E61">
        <v>5</v>
      </c>
    </row>
    <row r="62" spans="1:5" x14ac:dyDescent="0.25">
      <c r="A62" t="s">
        <v>167</v>
      </c>
      <c r="B62" s="1">
        <v>45815</v>
      </c>
      <c r="C62" t="s">
        <v>105</v>
      </c>
      <c r="D62" t="s">
        <v>166</v>
      </c>
      <c r="E62">
        <v>5</v>
      </c>
    </row>
    <row r="63" spans="1:5" x14ac:dyDescent="0.25">
      <c r="A63" t="s">
        <v>168</v>
      </c>
      <c r="B63" s="1">
        <v>45815</v>
      </c>
      <c r="C63" t="s">
        <v>105</v>
      </c>
      <c r="D63" t="s">
        <v>166</v>
      </c>
      <c r="E63">
        <v>5</v>
      </c>
    </row>
    <row r="64" spans="1:5" x14ac:dyDescent="0.25">
      <c r="A64" t="s">
        <v>169</v>
      </c>
      <c r="B64" s="1">
        <v>45816</v>
      </c>
      <c r="C64" t="s">
        <v>132</v>
      </c>
      <c r="D64" t="s">
        <v>102</v>
      </c>
      <c r="E64">
        <v>4</v>
      </c>
    </row>
    <row r="65" spans="1:6" x14ac:dyDescent="0.25">
      <c r="A65" t="s">
        <v>170</v>
      </c>
      <c r="B65" s="1">
        <v>45816</v>
      </c>
      <c r="C65" t="s">
        <v>132</v>
      </c>
      <c r="D65" t="s">
        <v>102</v>
      </c>
      <c r="E65">
        <v>4</v>
      </c>
    </row>
    <row r="66" spans="1:6" x14ac:dyDescent="0.25">
      <c r="A66" t="s">
        <v>171</v>
      </c>
      <c r="B66" s="1">
        <v>45816</v>
      </c>
      <c r="C66" t="s">
        <v>102</v>
      </c>
      <c r="D66" t="s">
        <v>172</v>
      </c>
      <c r="E66">
        <v>6.5</v>
      </c>
      <c r="F66" t="s">
        <v>103</v>
      </c>
    </row>
    <row r="67" spans="1:6" x14ac:dyDescent="0.25">
      <c r="A67" t="s">
        <v>173</v>
      </c>
      <c r="B67" s="1">
        <v>45816</v>
      </c>
      <c r="C67" t="s">
        <v>102</v>
      </c>
      <c r="D67" t="s">
        <v>172</v>
      </c>
      <c r="E67">
        <v>6.5</v>
      </c>
      <c r="F67" t="s">
        <v>103</v>
      </c>
    </row>
    <row r="68" spans="1:6" x14ac:dyDescent="0.25">
      <c r="A68" t="s">
        <v>174</v>
      </c>
      <c r="B68" s="1">
        <v>45817</v>
      </c>
      <c r="C68" t="s">
        <v>148</v>
      </c>
      <c r="D68" t="s">
        <v>126</v>
      </c>
      <c r="E68">
        <v>6.5</v>
      </c>
      <c r="F68" t="s">
        <v>103</v>
      </c>
    </row>
    <row r="69" spans="1:6" x14ac:dyDescent="0.25">
      <c r="A69" t="s">
        <v>175</v>
      </c>
      <c r="B69" s="1">
        <v>45817</v>
      </c>
      <c r="C69" t="s">
        <v>148</v>
      </c>
      <c r="D69" t="s">
        <v>126</v>
      </c>
      <c r="E69">
        <v>6.5</v>
      </c>
      <c r="F69" t="s">
        <v>103</v>
      </c>
    </row>
    <row r="70" spans="1:6" x14ac:dyDescent="0.25">
      <c r="A70" t="s">
        <v>176</v>
      </c>
      <c r="B70" s="1">
        <v>45819</v>
      </c>
      <c r="C70" t="s">
        <v>102</v>
      </c>
      <c r="D70" t="s">
        <v>177</v>
      </c>
      <c r="E70">
        <v>3.5</v>
      </c>
    </row>
    <row r="71" spans="1:6" x14ac:dyDescent="0.25">
      <c r="A71" t="s">
        <v>178</v>
      </c>
      <c r="B71" s="1">
        <v>45822</v>
      </c>
      <c r="C71" t="s">
        <v>104</v>
      </c>
      <c r="D71" t="s">
        <v>121</v>
      </c>
      <c r="E71">
        <v>5.5</v>
      </c>
      <c r="F71" t="s">
        <v>103</v>
      </c>
    </row>
    <row r="72" spans="1:6" x14ac:dyDescent="0.25">
      <c r="A72" t="s">
        <v>179</v>
      </c>
      <c r="B72" s="1">
        <v>45822</v>
      </c>
      <c r="C72" t="s">
        <v>180</v>
      </c>
      <c r="D72" t="s">
        <v>181</v>
      </c>
      <c r="E72">
        <v>4</v>
      </c>
    </row>
    <row r="73" spans="1:6" x14ac:dyDescent="0.25">
      <c r="A73" t="s">
        <v>182</v>
      </c>
      <c r="B73" s="1">
        <v>45822</v>
      </c>
      <c r="C73" t="s">
        <v>121</v>
      </c>
      <c r="D73" t="s">
        <v>183</v>
      </c>
      <c r="E73">
        <v>6</v>
      </c>
      <c r="F73" t="s">
        <v>103</v>
      </c>
    </row>
    <row r="74" spans="1:6" x14ac:dyDescent="0.25">
      <c r="A74" t="s">
        <v>106</v>
      </c>
      <c r="B74" s="1">
        <v>45823</v>
      </c>
      <c r="C74" t="s">
        <v>99</v>
      </c>
      <c r="D74" t="s">
        <v>100</v>
      </c>
      <c r="E74">
        <v>5</v>
      </c>
    </row>
    <row r="75" spans="1:6" x14ac:dyDescent="0.25">
      <c r="A75" t="s">
        <v>167</v>
      </c>
      <c r="B75" s="1">
        <v>45823</v>
      </c>
      <c r="C75" t="s">
        <v>99</v>
      </c>
      <c r="D75" t="s">
        <v>100</v>
      </c>
      <c r="E75">
        <v>5</v>
      </c>
    </row>
    <row r="76" spans="1:6" x14ac:dyDescent="0.25">
      <c r="A76" t="s">
        <v>184</v>
      </c>
      <c r="B76" s="1">
        <v>45835</v>
      </c>
      <c r="C76" t="s">
        <v>105</v>
      </c>
      <c r="D76" t="s">
        <v>185</v>
      </c>
      <c r="E76">
        <v>5.5</v>
      </c>
    </row>
    <row r="77" spans="1:6" x14ac:dyDescent="0.25">
      <c r="A77" t="s">
        <v>186</v>
      </c>
      <c r="B77" s="1">
        <v>45835</v>
      </c>
      <c r="C77" t="s">
        <v>105</v>
      </c>
      <c r="D77" t="s">
        <v>185</v>
      </c>
      <c r="E77">
        <v>5.5</v>
      </c>
    </row>
    <row r="78" spans="1:6" x14ac:dyDescent="0.25">
      <c r="A78" t="s">
        <v>187</v>
      </c>
      <c r="B78" s="1">
        <v>45836</v>
      </c>
      <c r="C78" t="s">
        <v>188</v>
      </c>
      <c r="D78" t="s">
        <v>189</v>
      </c>
      <c r="E78">
        <v>5.5</v>
      </c>
    </row>
    <row r="79" spans="1:6" x14ac:dyDescent="0.25">
      <c r="A79" t="s">
        <v>190</v>
      </c>
      <c r="B79" s="1">
        <v>45836</v>
      </c>
      <c r="C79" t="s">
        <v>177</v>
      </c>
      <c r="D79" t="s">
        <v>172</v>
      </c>
      <c r="E79">
        <v>3.5</v>
      </c>
    </row>
    <row r="80" spans="1:6" x14ac:dyDescent="0.25">
      <c r="A80" t="s">
        <v>191</v>
      </c>
      <c r="B80" s="1">
        <v>45839</v>
      </c>
      <c r="C80" t="s">
        <v>118</v>
      </c>
      <c r="D80" t="s">
        <v>102</v>
      </c>
      <c r="E80">
        <v>5.5</v>
      </c>
      <c r="F80" t="s">
        <v>103</v>
      </c>
    </row>
    <row r="81" spans="1:6" x14ac:dyDescent="0.25">
      <c r="A81" t="s">
        <v>192</v>
      </c>
      <c r="B81" s="1">
        <v>45839</v>
      </c>
      <c r="C81" t="s">
        <v>118</v>
      </c>
      <c r="D81" t="s">
        <v>102</v>
      </c>
      <c r="E81">
        <v>5.5</v>
      </c>
      <c r="F81" t="s">
        <v>103</v>
      </c>
    </row>
    <row r="82" spans="1:6" x14ac:dyDescent="0.25">
      <c r="A82" t="s">
        <v>191</v>
      </c>
      <c r="B82" s="1">
        <v>45840</v>
      </c>
      <c r="C82" t="s">
        <v>118</v>
      </c>
      <c r="D82" t="s">
        <v>102</v>
      </c>
      <c r="E82">
        <v>5.5</v>
      </c>
      <c r="F82" t="s">
        <v>103</v>
      </c>
    </row>
    <row r="83" spans="1:6" x14ac:dyDescent="0.25">
      <c r="A83" t="s">
        <v>192</v>
      </c>
      <c r="B83" s="1">
        <v>45840</v>
      </c>
      <c r="C83" t="s">
        <v>118</v>
      </c>
      <c r="D83" t="s">
        <v>102</v>
      </c>
      <c r="E83">
        <v>5.5</v>
      </c>
      <c r="F83" t="s">
        <v>103</v>
      </c>
    </row>
    <row r="84" spans="1:6" x14ac:dyDescent="0.25">
      <c r="A84" t="s">
        <v>191</v>
      </c>
      <c r="B84" s="1">
        <v>45841</v>
      </c>
      <c r="C84" t="s">
        <v>118</v>
      </c>
      <c r="D84" t="s">
        <v>102</v>
      </c>
      <c r="E84">
        <v>5.5</v>
      </c>
      <c r="F84" t="s">
        <v>103</v>
      </c>
    </row>
    <row r="85" spans="1:6" x14ac:dyDescent="0.25">
      <c r="A85" t="s">
        <v>192</v>
      </c>
      <c r="B85" s="1">
        <v>45841</v>
      </c>
      <c r="C85" s="4" t="s">
        <v>118</v>
      </c>
      <c r="D85" t="s">
        <v>102</v>
      </c>
      <c r="E85">
        <v>5.5</v>
      </c>
      <c r="F85" t="s">
        <v>103</v>
      </c>
    </row>
    <row r="86" spans="1:6" x14ac:dyDescent="0.25">
      <c r="A86" t="s">
        <v>193</v>
      </c>
      <c r="B86" s="1">
        <v>45841</v>
      </c>
      <c r="C86" t="s">
        <v>118</v>
      </c>
      <c r="D86" t="s">
        <v>102</v>
      </c>
      <c r="E86">
        <v>5.5</v>
      </c>
      <c r="F86" t="s">
        <v>103</v>
      </c>
    </row>
    <row r="87" spans="1:6" x14ac:dyDescent="0.25">
      <c r="A87" t="s">
        <v>194</v>
      </c>
      <c r="B87" s="1">
        <v>45841</v>
      </c>
      <c r="C87" s="4" t="s">
        <v>118</v>
      </c>
      <c r="D87" t="s">
        <v>100</v>
      </c>
      <c r="E87">
        <v>4</v>
      </c>
    </row>
    <row r="88" spans="1:6" x14ac:dyDescent="0.25">
      <c r="A88" t="s">
        <v>195</v>
      </c>
      <c r="B88" s="1">
        <v>45842</v>
      </c>
      <c r="C88" t="s">
        <v>120</v>
      </c>
      <c r="D88" t="s">
        <v>166</v>
      </c>
      <c r="E88">
        <v>11</v>
      </c>
      <c r="F88" t="s">
        <v>122</v>
      </c>
    </row>
    <row r="89" spans="1:6" x14ac:dyDescent="0.25">
      <c r="A89" t="s">
        <v>196</v>
      </c>
      <c r="B89" s="1">
        <v>45842</v>
      </c>
      <c r="C89" t="s">
        <v>120</v>
      </c>
      <c r="D89" t="s">
        <v>102</v>
      </c>
      <c r="E89">
        <v>7.5</v>
      </c>
      <c r="F89" t="s">
        <v>103</v>
      </c>
    </row>
    <row r="90" spans="1:6" x14ac:dyDescent="0.25">
      <c r="A90" t="s">
        <v>197</v>
      </c>
      <c r="B90" s="1">
        <v>45842</v>
      </c>
      <c r="C90" t="s">
        <v>120</v>
      </c>
      <c r="D90" t="s">
        <v>189</v>
      </c>
      <c r="E90">
        <v>15</v>
      </c>
      <c r="F90" t="s">
        <v>122</v>
      </c>
    </row>
    <row r="91" spans="1:6" x14ac:dyDescent="0.25">
      <c r="A91" t="s">
        <v>198</v>
      </c>
      <c r="B91" s="1">
        <v>45842</v>
      </c>
      <c r="C91" t="s">
        <v>120</v>
      </c>
      <c r="D91" t="s">
        <v>189</v>
      </c>
      <c r="E91">
        <v>15</v>
      </c>
      <c r="F91" t="s">
        <v>122</v>
      </c>
    </row>
    <row r="92" spans="1:6" x14ac:dyDescent="0.25">
      <c r="A92" t="s">
        <v>199</v>
      </c>
      <c r="B92" s="1">
        <v>45842</v>
      </c>
      <c r="C92" t="s">
        <v>120</v>
      </c>
      <c r="D92" t="s">
        <v>189</v>
      </c>
      <c r="E92">
        <v>15</v>
      </c>
      <c r="F92" t="s">
        <v>122</v>
      </c>
    </row>
    <row r="93" spans="1:6" x14ac:dyDescent="0.25">
      <c r="A93" t="s">
        <v>200</v>
      </c>
      <c r="B93" s="1">
        <v>45842</v>
      </c>
      <c r="C93" t="s">
        <v>120</v>
      </c>
      <c r="D93" t="s">
        <v>189</v>
      </c>
      <c r="E93">
        <v>15</v>
      </c>
      <c r="F93" t="s">
        <v>122</v>
      </c>
    </row>
    <row r="94" spans="1:6" x14ac:dyDescent="0.25">
      <c r="A94" t="s">
        <v>201</v>
      </c>
      <c r="B94" s="1">
        <v>45842</v>
      </c>
      <c r="C94" t="s">
        <v>120</v>
      </c>
      <c r="D94" t="s">
        <v>189</v>
      </c>
      <c r="E94">
        <v>15</v>
      </c>
      <c r="F94" t="s">
        <v>122</v>
      </c>
    </row>
    <row r="95" spans="1:6" x14ac:dyDescent="0.25">
      <c r="A95" t="s">
        <v>202</v>
      </c>
      <c r="B95" s="1">
        <v>45842</v>
      </c>
      <c r="C95" t="s">
        <v>120</v>
      </c>
      <c r="D95" t="s">
        <v>189</v>
      </c>
      <c r="E95">
        <v>15</v>
      </c>
      <c r="F95" t="s">
        <v>122</v>
      </c>
    </row>
    <row r="96" spans="1:6" x14ac:dyDescent="0.25">
      <c r="A96" t="s">
        <v>203</v>
      </c>
      <c r="B96" s="1">
        <v>45842</v>
      </c>
      <c r="C96" t="s">
        <v>120</v>
      </c>
      <c r="D96" t="s">
        <v>189</v>
      </c>
      <c r="E96">
        <v>15</v>
      </c>
      <c r="F96" t="s">
        <v>122</v>
      </c>
    </row>
    <row r="97" spans="1:6" x14ac:dyDescent="0.25">
      <c r="A97" t="s">
        <v>204</v>
      </c>
      <c r="B97" s="1">
        <v>45842</v>
      </c>
      <c r="C97" t="s">
        <v>120</v>
      </c>
      <c r="D97" t="s">
        <v>189</v>
      </c>
      <c r="E97">
        <v>15</v>
      </c>
      <c r="F97" t="s">
        <v>122</v>
      </c>
    </row>
    <row r="98" spans="1:6" x14ac:dyDescent="0.25">
      <c r="A98" t="s">
        <v>205</v>
      </c>
      <c r="B98" s="1">
        <v>45842</v>
      </c>
      <c r="C98" t="s">
        <v>120</v>
      </c>
      <c r="D98" t="s">
        <v>189</v>
      </c>
      <c r="E98">
        <v>15</v>
      </c>
      <c r="F98" t="s">
        <v>122</v>
      </c>
    </row>
    <row r="99" spans="1:6" x14ac:dyDescent="0.25">
      <c r="A99" t="s">
        <v>206</v>
      </c>
      <c r="B99" s="1">
        <v>45842</v>
      </c>
      <c r="C99" t="s">
        <v>120</v>
      </c>
      <c r="D99" t="s">
        <v>189</v>
      </c>
      <c r="E99">
        <v>15</v>
      </c>
      <c r="F99" t="s">
        <v>122</v>
      </c>
    </row>
    <row r="100" spans="1:6" x14ac:dyDescent="0.25">
      <c r="A100" t="s">
        <v>207</v>
      </c>
      <c r="B100" s="1">
        <v>45842</v>
      </c>
      <c r="C100" t="s">
        <v>120</v>
      </c>
      <c r="D100" t="s">
        <v>189</v>
      </c>
      <c r="E100">
        <v>15</v>
      </c>
      <c r="F100" t="s">
        <v>122</v>
      </c>
    </row>
    <row r="101" spans="1:6" x14ac:dyDescent="0.25">
      <c r="A101" t="s">
        <v>208</v>
      </c>
      <c r="B101" s="1">
        <v>45843</v>
      </c>
      <c r="C101" t="s">
        <v>118</v>
      </c>
      <c r="D101" t="s">
        <v>102</v>
      </c>
      <c r="E101">
        <v>5.5</v>
      </c>
      <c r="F101" t="s">
        <v>103</v>
      </c>
    </row>
    <row r="102" spans="1:6" x14ac:dyDescent="0.25">
      <c r="A102" t="s">
        <v>209</v>
      </c>
      <c r="B102" s="1">
        <v>45843</v>
      </c>
      <c r="C102" t="s">
        <v>118</v>
      </c>
      <c r="D102" t="s">
        <v>100</v>
      </c>
      <c r="E102">
        <v>4</v>
      </c>
    </row>
    <row r="103" spans="1:6" x14ac:dyDescent="0.25">
      <c r="A103" t="s">
        <v>210</v>
      </c>
      <c r="B103" s="1">
        <v>45843</v>
      </c>
      <c r="C103" t="s">
        <v>118</v>
      </c>
      <c r="D103" t="s">
        <v>100</v>
      </c>
      <c r="E103">
        <v>4</v>
      </c>
    </row>
    <row r="104" spans="1:6" x14ac:dyDescent="0.25">
      <c r="A104" t="s">
        <v>211</v>
      </c>
      <c r="B104" s="1">
        <v>45850</v>
      </c>
      <c r="C104" t="s">
        <v>142</v>
      </c>
      <c r="D104" t="s">
        <v>189</v>
      </c>
      <c r="E104">
        <v>6</v>
      </c>
      <c r="F104" t="s">
        <v>103</v>
      </c>
    </row>
    <row r="105" spans="1:6" x14ac:dyDescent="0.25">
      <c r="A105" t="s">
        <v>212</v>
      </c>
      <c r="B105" s="1">
        <v>45850</v>
      </c>
      <c r="C105" t="s">
        <v>142</v>
      </c>
      <c r="D105" t="s">
        <v>189</v>
      </c>
      <c r="E105">
        <v>6</v>
      </c>
      <c r="F105" t="s">
        <v>103</v>
      </c>
    </row>
    <row r="106" spans="1:6" x14ac:dyDescent="0.25">
      <c r="A106" t="s">
        <v>213</v>
      </c>
      <c r="B106" s="1">
        <v>45857</v>
      </c>
      <c r="C106" t="s">
        <v>155</v>
      </c>
      <c r="D106" t="s">
        <v>172</v>
      </c>
      <c r="E106">
        <v>4</v>
      </c>
    </row>
    <row r="107" spans="1:6" x14ac:dyDescent="0.25">
      <c r="A107" t="s">
        <v>214</v>
      </c>
      <c r="B107" s="1">
        <v>45857</v>
      </c>
      <c r="C107" t="s">
        <v>121</v>
      </c>
      <c r="D107" t="s">
        <v>172</v>
      </c>
      <c r="E107">
        <v>5.5</v>
      </c>
      <c r="F107" t="s">
        <v>103</v>
      </c>
    </row>
    <row r="108" spans="1:6" x14ac:dyDescent="0.25">
      <c r="A108" t="s">
        <v>215</v>
      </c>
      <c r="B108" s="1">
        <v>45863</v>
      </c>
      <c r="C108" t="s">
        <v>118</v>
      </c>
      <c r="D108" t="s">
        <v>102</v>
      </c>
      <c r="E108">
        <v>5.5</v>
      </c>
      <c r="F108" t="s">
        <v>103</v>
      </c>
    </row>
    <row r="109" spans="1:6" x14ac:dyDescent="0.25">
      <c r="A109" t="s">
        <v>216</v>
      </c>
      <c r="B109" s="1">
        <v>45863</v>
      </c>
      <c r="C109" t="s">
        <v>118</v>
      </c>
      <c r="D109" t="s">
        <v>102</v>
      </c>
      <c r="E109">
        <v>5.5</v>
      </c>
      <c r="F109" t="s">
        <v>103</v>
      </c>
    </row>
    <row r="110" spans="1:6" x14ac:dyDescent="0.25">
      <c r="A110" t="s">
        <v>217</v>
      </c>
      <c r="B110" s="1">
        <v>45863</v>
      </c>
      <c r="C110" t="s">
        <v>118</v>
      </c>
      <c r="D110" t="s">
        <v>102</v>
      </c>
      <c r="E110">
        <v>5.5</v>
      </c>
      <c r="F110" t="s">
        <v>103</v>
      </c>
    </row>
    <row r="111" spans="1:6" x14ac:dyDescent="0.25">
      <c r="A111" t="s">
        <v>218</v>
      </c>
      <c r="B111" s="1">
        <v>45863</v>
      </c>
      <c r="C111" t="s">
        <v>118</v>
      </c>
      <c r="D111" t="s">
        <v>102</v>
      </c>
      <c r="E111">
        <v>5.5</v>
      </c>
      <c r="F111" t="s">
        <v>103</v>
      </c>
    </row>
    <row r="112" spans="1:6" x14ac:dyDescent="0.25">
      <c r="A112" t="s">
        <v>211</v>
      </c>
      <c r="B112" s="1">
        <v>45864</v>
      </c>
      <c r="C112" t="s">
        <v>219</v>
      </c>
      <c r="D112" t="s">
        <v>189</v>
      </c>
      <c r="E112">
        <v>5.5</v>
      </c>
      <c r="F112" t="s">
        <v>103</v>
      </c>
    </row>
    <row r="113" spans="1:6" x14ac:dyDescent="0.25">
      <c r="A113" t="s">
        <v>212</v>
      </c>
      <c r="B113" s="1">
        <v>45864</v>
      </c>
      <c r="C113" t="s">
        <v>219</v>
      </c>
      <c r="D113" t="s">
        <v>189</v>
      </c>
      <c r="E113">
        <v>5.5</v>
      </c>
      <c r="F113" t="s">
        <v>103</v>
      </c>
    </row>
    <row r="114" spans="1:6" x14ac:dyDescent="0.25">
      <c r="A114" t="s">
        <v>220</v>
      </c>
      <c r="B114" s="1">
        <v>45864</v>
      </c>
      <c r="C114" t="s">
        <v>219</v>
      </c>
      <c r="D114" t="s">
        <v>189</v>
      </c>
      <c r="E114">
        <v>5.5</v>
      </c>
      <c r="F114" t="s">
        <v>103</v>
      </c>
    </row>
    <row r="115" spans="1:6" x14ac:dyDescent="0.25">
      <c r="A115" t="s">
        <v>221</v>
      </c>
      <c r="B115" s="1">
        <v>45864</v>
      </c>
      <c r="C115" t="s">
        <v>219</v>
      </c>
      <c r="D115" t="s">
        <v>189</v>
      </c>
      <c r="E115">
        <v>5.5</v>
      </c>
      <c r="F115" t="s">
        <v>103</v>
      </c>
    </row>
    <row r="116" spans="1:6" x14ac:dyDescent="0.25">
      <c r="A116" t="s">
        <v>215</v>
      </c>
      <c r="B116" s="1">
        <v>45864</v>
      </c>
      <c r="C116" t="s">
        <v>105</v>
      </c>
      <c r="D116" t="s">
        <v>142</v>
      </c>
      <c r="E116">
        <v>2.5</v>
      </c>
    </row>
    <row r="117" spans="1:6" x14ac:dyDescent="0.25">
      <c r="A117" t="s">
        <v>222</v>
      </c>
      <c r="B117" s="1">
        <v>45865</v>
      </c>
      <c r="C117" t="s">
        <v>99</v>
      </c>
      <c r="D117" t="s">
        <v>223</v>
      </c>
      <c r="E117">
        <v>5</v>
      </c>
      <c r="F117" t="s">
        <v>103</v>
      </c>
    </row>
    <row r="118" spans="1:6" x14ac:dyDescent="0.25">
      <c r="A118" t="s">
        <v>224</v>
      </c>
      <c r="B118" s="1">
        <v>45865</v>
      </c>
      <c r="C118" t="s">
        <v>99</v>
      </c>
      <c r="D118" t="s">
        <v>223</v>
      </c>
      <c r="E118">
        <v>5</v>
      </c>
      <c r="F118" t="s">
        <v>103</v>
      </c>
    </row>
    <row r="119" spans="1:6" x14ac:dyDescent="0.25">
      <c r="A119" t="s">
        <v>225</v>
      </c>
      <c r="B119" s="1">
        <v>45873</v>
      </c>
      <c r="C119" t="s">
        <v>219</v>
      </c>
      <c r="D119" t="s">
        <v>226</v>
      </c>
      <c r="E119">
        <v>6.5</v>
      </c>
      <c r="F119" t="s">
        <v>103</v>
      </c>
    </row>
    <row r="120" spans="1:6" x14ac:dyDescent="0.25">
      <c r="A120" t="s">
        <v>227</v>
      </c>
      <c r="B120" s="1">
        <v>45873</v>
      </c>
      <c r="C120" t="s">
        <v>219</v>
      </c>
      <c r="D120" t="s">
        <v>226</v>
      </c>
      <c r="E120">
        <v>6.5</v>
      </c>
      <c r="F120" t="s">
        <v>103</v>
      </c>
    </row>
    <row r="121" spans="1:6" x14ac:dyDescent="0.25">
      <c r="A121" t="s">
        <v>228</v>
      </c>
      <c r="B121" s="1">
        <v>45873</v>
      </c>
      <c r="C121" t="s">
        <v>219</v>
      </c>
      <c r="D121" t="s">
        <v>226</v>
      </c>
      <c r="E121">
        <v>6.5</v>
      </c>
      <c r="F121" t="s">
        <v>103</v>
      </c>
    </row>
    <row r="122" spans="1:6" x14ac:dyDescent="0.25">
      <c r="A122" t="s">
        <v>229</v>
      </c>
      <c r="B122" s="1">
        <v>45873</v>
      </c>
      <c r="C122" t="s">
        <v>219</v>
      </c>
      <c r="D122" t="s">
        <v>226</v>
      </c>
      <c r="E122">
        <v>6.5</v>
      </c>
      <c r="F122" t="s">
        <v>103</v>
      </c>
    </row>
    <row r="123" spans="1:6" x14ac:dyDescent="0.25">
      <c r="A123" t="s">
        <v>230</v>
      </c>
      <c r="B123" s="1">
        <v>45873</v>
      </c>
      <c r="C123" t="s">
        <v>219</v>
      </c>
      <c r="D123" t="s">
        <v>226</v>
      </c>
      <c r="E123">
        <v>6.5</v>
      </c>
      <c r="F123" t="s">
        <v>103</v>
      </c>
    </row>
    <row r="124" spans="1:6" x14ac:dyDescent="0.25">
      <c r="A124" t="s">
        <v>211</v>
      </c>
      <c r="B124" s="1">
        <v>45878</v>
      </c>
      <c r="C124" t="s">
        <v>219</v>
      </c>
      <c r="D124" t="s">
        <v>189</v>
      </c>
      <c r="E124">
        <v>5.5</v>
      </c>
      <c r="F124" t="s">
        <v>103</v>
      </c>
    </row>
    <row r="125" spans="1:6" x14ac:dyDescent="0.25">
      <c r="A125" t="s">
        <v>231</v>
      </c>
      <c r="B125" s="1">
        <v>45878</v>
      </c>
      <c r="C125" t="s">
        <v>219</v>
      </c>
      <c r="D125" t="s">
        <v>189</v>
      </c>
      <c r="E125">
        <v>5.5</v>
      </c>
      <c r="F125" t="s">
        <v>103</v>
      </c>
    </row>
    <row r="126" spans="1:6" x14ac:dyDescent="0.25">
      <c r="A126" t="s">
        <v>220</v>
      </c>
      <c r="B126" s="1">
        <v>45878</v>
      </c>
      <c r="C126" t="s">
        <v>219</v>
      </c>
      <c r="D126" t="s">
        <v>189</v>
      </c>
      <c r="E126">
        <v>5.5</v>
      </c>
      <c r="F126" t="s">
        <v>103</v>
      </c>
    </row>
    <row r="127" spans="1:6" x14ac:dyDescent="0.25">
      <c r="A127" t="s">
        <v>106</v>
      </c>
      <c r="B127" s="1">
        <v>45884</v>
      </c>
      <c r="C127" t="s">
        <v>102</v>
      </c>
      <c r="D127" t="s">
        <v>185</v>
      </c>
      <c r="E127">
        <v>4.5</v>
      </c>
    </row>
    <row r="128" spans="1:6" x14ac:dyDescent="0.25">
      <c r="A128" t="s">
        <v>167</v>
      </c>
      <c r="B128" s="1">
        <v>45884</v>
      </c>
      <c r="C128" t="s">
        <v>102</v>
      </c>
      <c r="D128" t="s">
        <v>185</v>
      </c>
      <c r="E128">
        <v>4.5</v>
      </c>
    </row>
    <row r="129" spans="1:6" x14ac:dyDescent="0.25">
      <c r="A129" t="s">
        <v>168</v>
      </c>
      <c r="B129" s="1">
        <v>45884</v>
      </c>
      <c r="C129" t="s">
        <v>102</v>
      </c>
      <c r="D129" t="s">
        <v>185</v>
      </c>
      <c r="E129">
        <v>4.5</v>
      </c>
    </row>
    <row r="130" spans="1:6" x14ac:dyDescent="0.25">
      <c r="A130" t="s">
        <v>211</v>
      </c>
      <c r="B130" s="1">
        <v>45885</v>
      </c>
      <c r="C130" t="s">
        <v>142</v>
      </c>
      <c r="D130" t="s">
        <v>189</v>
      </c>
      <c r="E130">
        <v>6</v>
      </c>
      <c r="F130" t="s">
        <v>103</v>
      </c>
    </row>
    <row r="131" spans="1:6" x14ac:dyDescent="0.25">
      <c r="A131" t="s">
        <v>212</v>
      </c>
      <c r="B131" s="1">
        <v>45885</v>
      </c>
      <c r="C131" t="s">
        <v>142</v>
      </c>
      <c r="D131" t="s">
        <v>189</v>
      </c>
      <c r="E131">
        <v>6</v>
      </c>
      <c r="F131" t="s">
        <v>103</v>
      </c>
    </row>
    <row r="132" spans="1:6" x14ac:dyDescent="0.25">
      <c r="A132" t="s">
        <v>232</v>
      </c>
      <c r="B132" s="1">
        <v>45888</v>
      </c>
      <c r="C132" t="s">
        <v>233</v>
      </c>
      <c r="D132" t="s">
        <v>100</v>
      </c>
      <c r="E132">
        <v>4</v>
      </c>
    </row>
    <row r="133" spans="1:6" x14ac:dyDescent="0.25">
      <c r="A133" t="s">
        <v>234</v>
      </c>
      <c r="B133" s="1">
        <v>45888</v>
      </c>
      <c r="C133" t="s">
        <v>233</v>
      </c>
      <c r="D133" t="s">
        <v>105</v>
      </c>
      <c r="E133">
        <v>5</v>
      </c>
    </row>
    <row r="134" spans="1:6" x14ac:dyDescent="0.25">
      <c r="A134" t="s">
        <v>235</v>
      </c>
      <c r="B134" s="1">
        <v>45888</v>
      </c>
      <c r="C134" t="s">
        <v>233</v>
      </c>
      <c r="D134" t="s">
        <v>105</v>
      </c>
      <c r="E134">
        <v>5</v>
      </c>
    </row>
    <row r="135" spans="1:6" x14ac:dyDescent="0.25">
      <c r="A135" t="s">
        <v>236</v>
      </c>
      <c r="B135" s="1">
        <v>45889</v>
      </c>
      <c r="C135" t="s">
        <v>105</v>
      </c>
      <c r="D135" t="s">
        <v>172</v>
      </c>
      <c r="E135">
        <v>7.5</v>
      </c>
      <c r="F135" t="s">
        <v>103</v>
      </c>
    </row>
    <row r="136" spans="1:6" x14ac:dyDescent="0.25">
      <c r="A136" t="s">
        <v>237</v>
      </c>
      <c r="B136" s="1">
        <v>45889</v>
      </c>
      <c r="C136" t="s">
        <v>105</v>
      </c>
      <c r="D136" t="s">
        <v>172</v>
      </c>
      <c r="E136">
        <v>7.5</v>
      </c>
      <c r="F136" t="s">
        <v>103</v>
      </c>
    </row>
    <row r="137" spans="1:6" x14ac:dyDescent="0.25">
      <c r="A137" t="s">
        <v>238</v>
      </c>
      <c r="B137" s="1">
        <v>45889</v>
      </c>
      <c r="C137" t="s">
        <v>105</v>
      </c>
      <c r="D137" t="s">
        <v>172</v>
      </c>
      <c r="E137">
        <v>7.5</v>
      </c>
      <c r="F137" t="s">
        <v>103</v>
      </c>
    </row>
    <row r="138" spans="1:6" x14ac:dyDescent="0.25">
      <c r="A138" t="s">
        <v>239</v>
      </c>
      <c r="B138" s="1">
        <v>45889</v>
      </c>
      <c r="C138" t="s">
        <v>105</v>
      </c>
      <c r="D138" t="s">
        <v>172</v>
      </c>
      <c r="E138">
        <v>7.5</v>
      </c>
      <c r="F138" t="s">
        <v>103</v>
      </c>
    </row>
    <row r="139" spans="1:6" x14ac:dyDescent="0.25">
      <c r="A139" t="s">
        <v>240</v>
      </c>
      <c r="B139" s="1">
        <v>45889</v>
      </c>
      <c r="C139" t="s">
        <v>105</v>
      </c>
      <c r="D139" t="s">
        <v>172</v>
      </c>
      <c r="E139">
        <v>7.5</v>
      </c>
      <c r="F139" t="s">
        <v>103</v>
      </c>
    </row>
    <row r="140" spans="1:6" x14ac:dyDescent="0.25">
      <c r="A140" t="s">
        <v>241</v>
      </c>
      <c r="B140" s="1">
        <v>45889</v>
      </c>
      <c r="C140" t="s">
        <v>105</v>
      </c>
      <c r="D140" t="s">
        <v>121</v>
      </c>
      <c r="E140">
        <v>2</v>
      </c>
    </row>
    <row r="141" spans="1:6" x14ac:dyDescent="0.25">
      <c r="A141" t="s">
        <v>106</v>
      </c>
      <c r="B141" s="1">
        <v>45895</v>
      </c>
      <c r="C141" t="s">
        <v>181</v>
      </c>
      <c r="D141" t="s">
        <v>121</v>
      </c>
      <c r="E141">
        <v>1.5</v>
      </c>
    </row>
    <row r="142" spans="1:6" x14ac:dyDescent="0.25">
      <c r="A142" t="s">
        <v>167</v>
      </c>
      <c r="B142" s="1">
        <v>45895</v>
      </c>
      <c r="C142" t="s">
        <v>181</v>
      </c>
      <c r="D142" t="s">
        <v>166</v>
      </c>
      <c r="E142">
        <v>4.5</v>
      </c>
    </row>
    <row r="143" spans="1:6" x14ac:dyDescent="0.25">
      <c r="A143" t="s">
        <v>168</v>
      </c>
      <c r="B143" s="1">
        <v>45895</v>
      </c>
      <c r="C143" t="s">
        <v>181</v>
      </c>
      <c r="D143" t="s">
        <v>166</v>
      </c>
      <c r="E143">
        <v>4.5</v>
      </c>
    </row>
    <row r="144" spans="1:6" x14ac:dyDescent="0.25">
      <c r="A144" t="s">
        <v>242</v>
      </c>
      <c r="B144" s="1">
        <v>45939</v>
      </c>
      <c r="C144" t="s">
        <v>233</v>
      </c>
      <c r="D144" t="s">
        <v>100</v>
      </c>
      <c r="E144">
        <v>4</v>
      </c>
    </row>
    <row r="145" spans="1:6" x14ac:dyDescent="0.25">
      <c r="A145" t="s">
        <v>243</v>
      </c>
      <c r="B145" s="1">
        <v>45942</v>
      </c>
      <c r="C145" t="s">
        <v>233</v>
      </c>
      <c r="D145" t="s">
        <v>132</v>
      </c>
      <c r="E145">
        <v>3</v>
      </c>
    </row>
    <row r="146" spans="1:6" x14ac:dyDescent="0.25">
      <c r="A146" t="s">
        <v>244</v>
      </c>
      <c r="B146" s="1">
        <v>45942</v>
      </c>
      <c r="C146" t="s">
        <v>99</v>
      </c>
      <c r="D146" t="s">
        <v>102</v>
      </c>
      <c r="E146">
        <v>6.5</v>
      </c>
      <c r="F146" t="s">
        <v>103</v>
      </c>
    </row>
    <row r="147" spans="1:6" x14ac:dyDescent="0.25">
      <c r="A147" t="s">
        <v>245</v>
      </c>
      <c r="B147" s="1">
        <v>45942</v>
      </c>
      <c r="C147" t="s">
        <v>99</v>
      </c>
      <c r="D147" t="s">
        <v>102</v>
      </c>
      <c r="E147">
        <v>6.5</v>
      </c>
      <c r="F147" t="s">
        <v>103</v>
      </c>
    </row>
    <row r="148" spans="1:6" x14ac:dyDescent="0.25">
      <c r="A148" t="s">
        <v>246</v>
      </c>
      <c r="B148" s="1">
        <v>45943</v>
      </c>
      <c r="C148" t="s">
        <v>233</v>
      </c>
      <c r="D148" t="s">
        <v>102</v>
      </c>
      <c r="E148">
        <v>5.5</v>
      </c>
      <c r="F148" t="s">
        <v>103</v>
      </c>
    </row>
    <row r="149" spans="1:6" x14ac:dyDescent="0.25">
      <c r="A149" t="s">
        <v>247</v>
      </c>
      <c r="B149" s="1">
        <v>45943</v>
      </c>
      <c r="C149" t="s">
        <v>233</v>
      </c>
      <c r="D149" t="s">
        <v>102</v>
      </c>
      <c r="E149">
        <v>5.5</v>
      </c>
      <c r="F149" t="s">
        <v>103</v>
      </c>
    </row>
    <row r="150" spans="1:6" x14ac:dyDescent="0.25">
      <c r="A150" t="s">
        <v>248</v>
      </c>
      <c r="B150" s="1">
        <v>45943</v>
      </c>
      <c r="C150" t="s">
        <v>233</v>
      </c>
      <c r="D150" t="s">
        <v>102</v>
      </c>
      <c r="E150">
        <v>5.5</v>
      </c>
      <c r="F150" t="s">
        <v>103</v>
      </c>
    </row>
    <row r="151" spans="1:6" x14ac:dyDescent="0.25">
      <c r="A151" t="s">
        <v>249</v>
      </c>
      <c r="B151" s="1">
        <v>45944</v>
      </c>
      <c r="C151" t="s">
        <v>99</v>
      </c>
      <c r="D151" t="s">
        <v>105</v>
      </c>
      <c r="E151">
        <v>5.5</v>
      </c>
      <c r="F151" t="s">
        <v>103</v>
      </c>
    </row>
    <row r="152" spans="1:6" x14ac:dyDescent="0.25">
      <c r="A152" t="s">
        <v>250</v>
      </c>
      <c r="B152" s="1">
        <v>45944</v>
      </c>
      <c r="C152" t="s">
        <v>99</v>
      </c>
      <c r="D152" t="s">
        <v>105</v>
      </c>
      <c r="E152">
        <v>5.5</v>
      </c>
      <c r="F152" t="s">
        <v>103</v>
      </c>
    </row>
    <row r="153" spans="1:6" x14ac:dyDescent="0.25">
      <c r="A153" t="s">
        <v>251</v>
      </c>
      <c r="B153" s="1">
        <v>45944</v>
      </c>
      <c r="C153" t="s">
        <v>99</v>
      </c>
      <c r="D153" t="s">
        <v>105</v>
      </c>
      <c r="E153">
        <v>5.5</v>
      </c>
      <c r="F153" t="s">
        <v>103</v>
      </c>
    </row>
    <row r="154" spans="1:6" x14ac:dyDescent="0.25">
      <c r="A154" t="s">
        <v>252</v>
      </c>
      <c r="B154" s="1">
        <v>45944</v>
      </c>
      <c r="C154" t="s">
        <v>99</v>
      </c>
      <c r="D154" t="s">
        <v>105</v>
      </c>
      <c r="E154">
        <v>5.5</v>
      </c>
      <c r="F154" t="s">
        <v>103</v>
      </c>
    </row>
    <row r="155" spans="1:6" x14ac:dyDescent="0.25">
      <c r="A155" t="s">
        <v>253</v>
      </c>
      <c r="B155" s="1">
        <v>45944</v>
      </c>
      <c r="C155" t="s">
        <v>99</v>
      </c>
      <c r="D155" t="s">
        <v>105</v>
      </c>
      <c r="E155">
        <v>5.5</v>
      </c>
      <c r="F155" t="s">
        <v>103</v>
      </c>
    </row>
    <row r="156" spans="1:6" x14ac:dyDescent="0.25">
      <c r="A156" t="s">
        <v>249</v>
      </c>
      <c r="B156" s="1">
        <v>45945</v>
      </c>
      <c r="C156" t="s">
        <v>233</v>
      </c>
      <c r="D156" t="s">
        <v>105</v>
      </c>
      <c r="E156">
        <v>5</v>
      </c>
    </row>
    <row r="157" spans="1:6" x14ac:dyDescent="0.25">
      <c r="A157" t="s">
        <v>250</v>
      </c>
      <c r="B157" s="1">
        <v>45945</v>
      </c>
      <c r="C157" t="s">
        <v>233</v>
      </c>
      <c r="D157" t="s">
        <v>105</v>
      </c>
      <c r="E157">
        <v>5</v>
      </c>
    </row>
    <row r="158" spans="1:6" x14ac:dyDescent="0.25">
      <c r="A158" t="s">
        <v>251</v>
      </c>
      <c r="B158" s="1">
        <v>45945</v>
      </c>
      <c r="C158" t="s">
        <v>233</v>
      </c>
      <c r="D158" t="s">
        <v>105</v>
      </c>
      <c r="E158">
        <v>5</v>
      </c>
    </row>
    <row r="159" spans="1:6" x14ac:dyDescent="0.25">
      <c r="A159" t="s">
        <v>254</v>
      </c>
      <c r="B159" s="1">
        <v>45950</v>
      </c>
      <c r="C159" t="s">
        <v>188</v>
      </c>
      <c r="D159" t="s">
        <v>255</v>
      </c>
      <c r="E159">
        <v>4</v>
      </c>
    </row>
    <row r="160" spans="1:6" x14ac:dyDescent="0.25">
      <c r="A160" t="s">
        <v>256</v>
      </c>
      <c r="B160" s="1">
        <v>45950</v>
      </c>
      <c r="C160" t="s">
        <v>188</v>
      </c>
      <c r="D160" t="s">
        <v>255</v>
      </c>
      <c r="E160">
        <v>4</v>
      </c>
    </row>
    <row r="161" spans="1:6" x14ac:dyDescent="0.25">
      <c r="A161" t="s">
        <v>257</v>
      </c>
      <c r="B161" s="1">
        <v>45951</v>
      </c>
      <c r="C161" t="s">
        <v>99</v>
      </c>
      <c r="D161" t="s">
        <v>105</v>
      </c>
      <c r="E161">
        <v>5.5</v>
      </c>
      <c r="F161" t="s">
        <v>103</v>
      </c>
    </row>
    <row r="162" spans="1:6" x14ac:dyDescent="0.25">
      <c r="A162" t="s">
        <v>258</v>
      </c>
      <c r="B162" s="1">
        <v>45951</v>
      </c>
      <c r="C162" t="s">
        <v>99</v>
      </c>
      <c r="D162" t="s">
        <v>105</v>
      </c>
      <c r="E162">
        <v>5.5</v>
      </c>
      <c r="F162" t="s">
        <v>103</v>
      </c>
    </row>
    <row r="163" spans="1:6" x14ac:dyDescent="0.25">
      <c r="A163" t="s">
        <v>259</v>
      </c>
      <c r="B163" s="1">
        <v>45951</v>
      </c>
      <c r="C163" t="s">
        <v>99</v>
      </c>
      <c r="D163" t="s">
        <v>105</v>
      </c>
      <c r="E163">
        <v>5.5</v>
      </c>
      <c r="F163" t="s">
        <v>103</v>
      </c>
    </row>
    <row r="164" spans="1:6" x14ac:dyDescent="0.25">
      <c r="A164" t="s">
        <v>260</v>
      </c>
      <c r="B164" s="1">
        <v>45951</v>
      </c>
      <c r="C164" t="s">
        <v>99</v>
      </c>
      <c r="D164" t="s">
        <v>105</v>
      </c>
      <c r="E164">
        <v>5.5</v>
      </c>
      <c r="F164" t="s">
        <v>103</v>
      </c>
    </row>
    <row r="165" spans="1:6" x14ac:dyDescent="0.25">
      <c r="A165" t="s">
        <v>257</v>
      </c>
      <c r="B165" s="1">
        <v>45952</v>
      </c>
      <c r="C165" t="s">
        <v>99</v>
      </c>
      <c r="D165" t="s">
        <v>105</v>
      </c>
      <c r="E165">
        <v>5.5</v>
      </c>
      <c r="F165" t="s">
        <v>103</v>
      </c>
    </row>
    <row r="166" spans="1:6" x14ac:dyDescent="0.25">
      <c r="A166" t="s">
        <v>258</v>
      </c>
      <c r="B166" s="1">
        <v>45952</v>
      </c>
      <c r="C166" t="s">
        <v>99</v>
      </c>
      <c r="D166" t="s">
        <v>105</v>
      </c>
      <c r="E166">
        <v>5.5</v>
      </c>
      <c r="F166" t="s">
        <v>103</v>
      </c>
    </row>
    <row r="167" spans="1:6" x14ac:dyDescent="0.25">
      <c r="A167" t="s">
        <v>261</v>
      </c>
      <c r="B167" s="1">
        <v>45956</v>
      </c>
      <c r="C167" t="s">
        <v>130</v>
      </c>
      <c r="D167" t="s">
        <v>102</v>
      </c>
      <c r="E167">
        <v>8</v>
      </c>
      <c r="F167" t="s">
        <v>122</v>
      </c>
    </row>
    <row r="168" spans="1:6" x14ac:dyDescent="0.25">
      <c r="A168" t="s">
        <v>262</v>
      </c>
      <c r="B168" s="1">
        <v>45956</v>
      </c>
      <c r="C168" t="s">
        <v>130</v>
      </c>
      <c r="D168" t="s">
        <v>102</v>
      </c>
      <c r="E168">
        <v>8</v>
      </c>
      <c r="F168" t="s">
        <v>122</v>
      </c>
    </row>
    <row r="169" spans="1:6" x14ac:dyDescent="0.25">
      <c r="A169" t="s">
        <v>263</v>
      </c>
      <c r="B169" s="1">
        <v>45956</v>
      </c>
      <c r="C169" t="s">
        <v>130</v>
      </c>
      <c r="D169" t="s">
        <v>102</v>
      </c>
      <c r="E169">
        <v>8</v>
      </c>
      <c r="F169" t="s">
        <v>122</v>
      </c>
    </row>
    <row r="170" spans="1:6" x14ac:dyDescent="0.25">
      <c r="A170" t="s">
        <v>264</v>
      </c>
      <c r="B170" s="1">
        <v>45956</v>
      </c>
      <c r="C170" t="s">
        <v>130</v>
      </c>
      <c r="D170" t="s">
        <v>102</v>
      </c>
      <c r="E170">
        <v>8</v>
      </c>
      <c r="F170" t="s">
        <v>122</v>
      </c>
    </row>
    <row r="171" spans="1:6" x14ac:dyDescent="0.25">
      <c r="A171" t="s">
        <v>265</v>
      </c>
      <c r="B171" s="1">
        <v>45956</v>
      </c>
      <c r="C171" t="s">
        <v>130</v>
      </c>
      <c r="D171" t="s">
        <v>102</v>
      </c>
      <c r="E171">
        <v>8</v>
      </c>
      <c r="F171" t="s">
        <v>122</v>
      </c>
    </row>
    <row r="172" spans="1:6" x14ac:dyDescent="0.25">
      <c r="A172" t="s">
        <v>266</v>
      </c>
      <c r="B172" s="1">
        <v>45958</v>
      </c>
      <c r="C172" t="s">
        <v>102</v>
      </c>
      <c r="D172" t="s">
        <v>166</v>
      </c>
      <c r="E172">
        <v>4</v>
      </c>
    </row>
    <row r="173" spans="1:6" x14ac:dyDescent="0.25">
      <c r="A173" t="s">
        <v>267</v>
      </c>
      <c r="B173" s="1">
        <v>45959</v>
      </c>
      <c r="C173" t="s">
        <v>102</v>
      </c>
      <c r="D173" t="s">
        <v>166</v>
      </c>
      <c r="E173">
        <v>4</v>
      </c>
    </row>
    <row r="174" spans="1:6" x14ac:dyDescent="0.25">
      <c r="A174" t="s">
        <v>268</v>
      </c>
      <c r="B174" s="1">
        <v>45959</v>
      </c>
      <c r="C174" t="s">
        <v>102</v>
      </c>
      <c r="D174" t="s">
        <v>166</v>
      </c>
      <c r="E174">
        <v>4</v>
      </c>
    </row>
    <row r="175" spans="1:6" x14ac:dyDescent="0.25">
      <c r="A175" t="s">
        <v>266</v>
      </c>
      <c r="B175" s="1">
        <v>45960</v>
      </c>
      <c r="C175" t="s">
        <v>102</v>
      </c>
      <c r="D175" t="s">
        <v>166</v>
      </c>
      <c r="E175">
        <v>4</v>
      </c>
    </row>
    <row r="176" spans="1:6" x14ac:dyDescent="0.25">
      <c r="A176" t="s">
        <v>267</v>
      </c>
      <c r="B176" s="1">
        <v>45961</v>
      </c>
      <c r="C176" t="s">
        <v>102</v>
      </c>
      <c r="D176" t="s">
        <v>107</v>
      </c>
      <c r="E176">
        <v>5</v>
      </c>
      <c r="F176" t="s">
        <v>103</v>
      </c>
    </row>
    <row r="177" spans="1:6" x14ac:dyDescent="0.25">
      <c r="A177" t="s">
        <v>268</v>
      </c>
      <c r="B177" s="1">
        <v>45961</v>
      </c>
      <c r="C177" t="s">
        <v>102</v>
      </c>
      <c r="D177" t="s">
        <v>107</v>
      </c>
      <c r="E177">
        <v>5</v>
      </c>
      <c r="F177" t="s">
        <v>103</v>
      </c>
    </row>
    <row r="178" spans="1:6" x14ac:dyDescent="0.25">
      <c r="A178" t="s">
        <v>266</v>
      </c>
      <c r="B178" s="1">
        <v>45962</v>
      </c>
      <c r="C178" t="s">
        <v>188</v>
      </c>
      <c r="D178" t="s">
        <v>255</v>
      </c>
      <c r="E178">
        <v>4</v>
      </c>
    </row>
    <row r="179" spans="1:6" x14ac:dyDescent="0.25">
      <c r="A179" t="s">
        <v>266</v>
      </c>
      <c r="B179" s="1">
        <v>45962</v>
      </c>
      <c r="C179" t="s">
        <v>102</v>
      </c>
      <c r="D179" t="s">
        <v>269</v>
      </c>
      <c r="E179">
        <v>5</v>
      </c>
    </row>
    <row r="180" spans="1:6" x14ac:dyDescent="0.25">
      <c r="A180" t="s">
        <v>266</v>
      </c>
      <c r="B180" s="1">
        <v>45962</v>
      </c>
      <c r="C180" t="s">
        <v>102</v>
      </c>
      <c r="D180" t="s">
        <v>255</v>
      </c>
      <c r="E180">
        <v>6</v>
      </c>
      <c r="F180" t="s">
        <v>103</v>
      </c>
    </row>
    <row r="181" spans="1:6" x14ac:dyDescent="0.25">
      <c r="A181" t="s">
        <v>270</v>
      </c>
      <c r="B181" s="1">
        <v>45963</v>
      </c>
      <c r="C181" t="s">
        <v>130</v>
      </c>
      <c r="D181" t="s">
        <v>100</v>
      </c>
      <c r="E181">
        <v>6.5</v>
      </c>
      <c r="F181" t="s">
        <v>103</v>
      </c>
    </row>
    <row r="182" spans="1:6" x14ac:dyDescent="0.25">
      <c r="A182" t="s">
        <v>271</v>
      </c>
      <c r="B182" s="1">
        <v>45963</v>
      </c>
      <c r="C182" t="s">
        <v>130</v>
      </c>
      <c r="D182" t="s">
        <v>126</v>
      </c>
      <c r="E182">
        <v>5.5</v>
      </c>
      <c r="F182" t="s">
        <v>103</v>
      </c>
    </row>
    <row r="183" spans="1:6" x14ac:dyDescent="0.25">
      <c r="A183" t="s">
        <v>272</v>
      </c>
      <c r="B183" s="1">
        <v>45963</v>
      </c>
      <c r="C183" t="s">
        <v>130</v>
      </c>
      <c r="D183" t="s">
        <v>100</v>
      </c>
      <c r="E183">
        <v>6.5</v>
      </c>
      <c r="F183" t="s">
        <v>103</v>
      </c>
    </row>
    <row r="184" spans="1:6" x14ac:dyDescent="0.25">
      <c r="A184" t="s">
        <v>273</v>
      </c>
      <c r="B184" s="1">
        <v>45963</v>
      </c>
      <c r="C184" t="s">
        <v>120</v>
      </c>
      <c r="D184" t="s">
        <v>100</v>
      </c>
      <c r="E184">
        <v>5.5</v>
      </c>
      <c r="F184" t="s">
        <v>103</v>
      </c>
    </row>
    <row r="185" spans="1:6" x14ac:dyDescent="0.25">
      <c r="A185" t="s">
        <v>274</v>
      </c>
      <c r="B185" s="1">
        <v>45964</v>
      </c>
      <c r="C185" t="s">
        <v>233</v>
      </c>
      <c r="D185" t="s">
        <v>100</v>
      </c>
      <c r="E185">
        <v>4</v>
      </c>
    </row>
    <row r="186" spans="1:6" x14ac:dyDescent="0.25">
      <c r="A186" t="s">
        <v>275</v>
      </c>
      <c r="B186" s="1">
        <v>45964</v>
      </c>
      <c r="C186" t="s">
        <v>233</v>
      </c>
      <c r="D186" t="s">
        <v>100</v>
      </c>
      <c r="E186">
        <v>4</v>
      </c>
    </row>
    <row r="187" spans="1:6" x14ac:dyDescent="0.25">
      <c r="A187" t="s">
        <v>276</v>
      </c>
      <c r="B187" s="1">
        <v>45964</v>
      </c>
      <c r="C187" t="s">
        <v>233</v>
      </c>
      <c r="D187" t="s">
        <v>100</v>
      </c>
      <c r="E187">
        <v>4</v>
      </c>
    </row>
    <row r="188" spans="1:6" x14ac:dyDescent="0.25">
      <c r="A188" t="s">
        <v>277</v>
      </c>
      <c r="B188" s="1">
        <v>45966</v>
      </c>
      <c r="C188" t="s">
        <v>181</v>
      </c>
      <c r="D188" t="s">
        <v>166</v>
      </c>
      <c r="E188">
        <v>4.5</v>
      </c>
    </row>
    <row r="189" spans="1:6" x14ac:dyDescent="0.25">
      <c r="A189" t="s">
        <v>278</v>
      </c>
      <c r="B189" s="1">
        <v>45966</v>
      </c>
      <c r="C189" t="s">
        <v>181</v>
      </c>
      <c r="D189" t="s">
        <v>166</v>
      </c>
      <c r="E189">
        <v>4.5</v>
      </c>
    </row>
    <row r="190" spans="1:6" x14ac:dyDescent="0.25">
      <c r="A190" t="s">
        <v>279</v>
      </c>
      <c r="B190" s="1">
        <v>45972</v>
      </c>
      <c r="C190" t="s">
        <v>130</v>
      </c>
      <c r="D190" t="s">
        <v>132</v>
      </c>
      <c r="E190">
        <v>5</v>
      </c>
    </row>
    <row r="191" spans="1:6" x14ac:dyDescent="0.25">
      <c r="A191" t="s">
        <v>280</v>
      </c>
      <c r="B191" s="1">
        <v>45972</v>
      </c>
      <c r="C191" t="s">
        <v>130</v>
      </c>
      <c r="D191" t="s">
        <v>132</v>
      </c>
      <c r="E191">
        <v>5</v>
      </c>
    </row>
    <row r="192" spans="1:6" x14ac:dyDescent="0.25">
      <c r="A192" t="s">
        <v>281</v>
      </c>
      <c r="B192" s="1">
        <v>45992</v>
      </c>
      <c r="C192" t="s">
        <v>233</v>
      </c>
      <c r="D192" t="s">
        <v>102</v>
      </c>
      <c r="E192">
        <v>5.5</v>
      </c>
    </row>
    <row r="193" spans="1:5" x14ac:dyDescent="0.25">
      <c r="A193" t="s">
        <v>282</v>
      </c>
      <c r="B193" s="1">
        <v>45992</v>
      </c>
      <c r="C193" t="s">
        <v>233</v>
      </c>
      <c r="D193" t="s">
        <v>102</v>
      </c>
      <c r="E193">
        <v>5.5</v>
      </c>
    </row>
    <row r="194" spans="1:5" x14ac:dyDescent="0.25">
      <c r="A194" t="s">
        <v>283</v>
      </c>
      <c r="B194" s="1">
        <v>45992</v>
      </c>
      <c r="C194" t="s">
        <v>233</v>
      </c>
      <c r="D194" t="s">
        <v>102</v>
      </c>
      <c r="E194">
        <v>5.5</v>
      </c>
    </row>
    <row r="195" spans="1:5" x14ac:dyDescent="0.25">
      <c r="A195" t="s">
        <v>281</v>
      </c>
      <c r="B195" s="1">
        <v>45994</v>
      </c>
      <c r="C195" t="s">
        <v>233</v>
      </c>
      <c r="D195" t="s">
        <v>105</v>
      </c>
      <c r="E195">
        <v>5</v>
      </c>
    </row>
    <row r="196" spans="1:5" x14ac:dyDescent="0.25">
      <c r="A196" t="s">
        <v>282</v>
      </c>
      <c r="B196" s="1">
        <v>45994</v>
      </c>
      <c r="C196" t="s">
        <v>233</v>
      </c>
      <c r="D196" t="s">
        <v>105</v>
      </c>
      <c r="E196">
        <v>5</v>
      </c>
    </row>
    <row r="197" spans="1:5" x14ac:dyDescent="0.25">
      <c r="A197" t="s">
        <v>281</v>
      </c>
      <c r="B197" s="1">
        <v>45995</v>
      </c>
      <c r="C197" t="s">
        <v>233</v>
      </c>
      <c r="D197" t="s">
        <v>105</v>
      </c>
      <c r="E197">
        <v>5</v>
      </c>
    </row>
    <row r="198" spans="1:5" x14ac:dyDescent="0.25">
      <c r="A198" t="s">
        <v>282</v>
      </c>
      <c r="B198" s="1">
        <v>45995</v>
      </c>
      <c r="C198" t="s">
        <v>233</v>
      </c>
      <c r="D198" t="s">
        <v>105</v>
      </c>
      <c r="E198">
        <v>5</v>
      </c>
    </row>
    <row r="199" spans="1:5" x14ac:dyDescent="0.25">
      <c r="A199" t="s">
        <v>283</v>
      </c>
      <c r="B199" s="1">
        <v>45995</v>
      </c>
      <c r="C199" t="s">
        <v>132</v>
      </c>
      <c r="D199" t="s">
        <v>121</v>
      </c>
      <c r="E199">
        <v>5</v>
      </c>
    </row>
    <row r="200" spans="1:5" x14ac:dyDescent="0.25">
      <c r="A200" t="s">
        <v>284</v>
      </c>
      <c r="B200" s="1">
        <v>45996</v>
      </c>
      <c r="C200" t="s">
        <v>105</v>
      </c>
      <c r="D200" t="s">
        <v>183</v>
      </c>
      <c r="E200">
        <v>8</v>
      </c>
    </row>
    <row r="201" spans="1:5" x14ac:dyDescent="0.25">
      <c r="A201" t="s">
        <v>285</v>
      </c>
      <c r="B201" s="1">
        <v>45996</v>
      </c>
      <c r="C201" s="6" t="s">
        <v>105</v>
      </c>
      <c r="D201" s="6" t="s">
        <v>183</v>
      </c>
      <c r="E201">
        <v>8</v>
      </c>
    </row>
    <row r="202" spans="1:5" x14ac:dyDescent="0.25">
      <c r="A202" t="s">
        <v>286</v>
      </c>
      <c r="B202" s="1">
        <v>45996</v>
      </c>
      <c r="C202" s="6" t="s">
        <v>105</v>
      </c>
      <c r="D202" s="6" t="s">
        <v>183</v>
      </c>
      <c r="E202">
        <v>8</v>
      </c>
    </row>
    <row r="203" spans="1:5" x14ac:dyDescent="0.25">
      <c r="A203" t="s">
        <v>287</v>
      </c>
      <c r="B203" s="1">
        <v>45996</v>
      </c>
      <c r="C203" s="6" t="s">
        <v>105</v>
      </c>
      <c r="D203" s="6" t="s">
        <v>183</v>
      </c>
      <c r="E203">
        <v>8</v>
      </c>
    </row>
    <row r="204" spans="1:5" x14ac:dyDescent="0.25">
      <c r="A204" t="s">
        <v>288</v>
      </c>
      <c r="B204" s="1">
        <v>45996</v>
      </c>
      <c r="C204" s="6" t="s">
        <v>105</v>
      </c>
      <c r="D204" s="6" t="s">
        <v>183</v>
      </c>
      <c r="E204">
        <v>8</v>
      </c>
    </row>
    <row r="205" spans="1:5" x14ac:dyDescent="0.25">
      <c r="A205" t="s">
        <v>289</v>
      </c>
      <c r="B205" s="1">
        <v>45996</v>
      </c>
      <c r="C205" s="6" t="s">
        <v>177</v>
      </c>
      <c r="D205" s="6" t="s">
        <v>183</v>
      </c>
      <c r="E205">
        <v>4</v>
      </c>
    </row>
    <row r="206" spans="1:5" x14ac:dyDescent="0.25">
      <c r="A206" t="s">
        <v>290</v>
      </c>
      <c r="B206" s="1">
        <v>45996</v>
      </c>
      <c r="C206" s="6" t="s">
        <v>177</v>
      </c>
      <c r="D206" s="6" t="s">
        <v>183</v>
      </c>
      <c r="E206">
        <v>4</v>
      </c>
    </row>
    <row r="207" spans="1:5" x14ac:dyDescent="0.25">
      <c r="A207" t="s">
        <v>291</v>
      </c>
      <c r="B207" s="1">
        <v>45997</v>
      </c>
      <c r="C207" t="s">
        <v>233</v>
      </c>
      <c r="D207" t="s">
        <v>105</v>
      </c>
      <c r="E207">
        <v>5</v>
      </c>
    </row>
    <row r="208" spans="1:5" x14ac:dyDescent="0.25">
      <c r="A208" t="s">
        <v>292</v>
      </c>
      <c r="B208" s="1">
        <v>45997</v>
      </c>
      <c r="C208" t="s">
        <v>233</v>
      </c>
      <c r="D208" t="s">
        <v>105</v>
      </c>
      <c r="E208">
        <v>5</v>
      </c>
    </row>
    <row r="209" spans="1:5" x14ac:dyDescent="0.25">
      <c r="A209" t="s">
        <v>293</v>
      </c>
      <c r="B209" s="1">
        <v>46001</v>
      </c>
      <c r="C209" t="s">
        <v>181</v>
      </c>
      <c r="D209" t="s">
        <v>177</v>
      </c>
      <c r="E209">
        <v>4</v>
      </c>
    </row>
    <row r="210" spans="1:5" x14ac:dyDescent="0.25">
      <c r="A210" s="6" t="s">
        <v>291</v>
      </c>
      <c r="B210" s="1">
        <v>46002</v>
      </c>
      <c r="C210" t="s">
        <v>233</v>
      </c>
      <c r="D210" t="s">
        <v>100</v>
      </c>
      <c r="E210">
        <v>4</v>
      </c>
    </row>
    <row r="211" spans="1:5" x14ac:dyDescent="0.25">
      <c r="A211" s="6" t="s">
        <v>292</v>
      </c>
      <c r="B211" s="1">
        <v>46002</v>
      </c>
      <c r="C211" t="s">
        <v>233</v>
      </c>
      <c r="D211" t="s">
        <v>100</v>
      </c>
      <c r="E211">
        <v>4</v>
      </c>
    </row>
    <row r="212" spans="1:5" x14ac:dyDescent="0.25">
      <c r="A212" s="6" t="s">
        <v>294</v>
      </c>
      <c r="B212" s="1">
        <v>46002</v>
      </c>
      <c r="C212" t="s">
        <v>233</v>
      </c>
      <c r="D212" t="s">
        <v>100</v>
      </c>
      <c r="E212">
        <v>4</v>
      </c>
    </row>
  </sheetData>
  <autoFilter ref="A1:G212" xr:uid="{B4397F35-7F6D-4B54-8504-DAD0B6D465CF}"/>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39997558519241921"/>
  </sheetPr>
  <dimension ref="A1:G56"/>
  <sheetViews>
    <sheetView topLeftCell="A13" workbookViewId="0">
      <selection activeCell="A2" sqref="A1:B1048576"/>
    </sheetView>
  </sheetViews>
  <sheetFormatPr defaultRowHeight="15" x14ac:dyDescent="0.25"/>
  <cols>
    <col min="1" max="1" width="10.85546875" style="2" customWidth="1"/>
    <col min="2" max="2" width="84.85546875" customWidth="1"/>
    <col min="3" max="3" width="15.28515625" style="29" customWidth="1"/>
    <col min="4" max="4" width="13.140625" style="29" customWidth="1"/>
    <col min="5" max="5" width="14.7109375" customWidth="1"/>
    <col min="6" max="6" width="25.140625" customWidth="1"/>
    <col min="7" max="7" width="19.28515625" bestFit="1" customWidth="1"/>
  </cols>
  <sheetData>
    <row r="1" spans="1:7" x14ac:dyDescent="0.25">
      <c r="A1" s="8" t="s">
        <v>83</v>
      </c>
      <c r="B1" s="9" t="s">
        <v>84</v>
      </c>
      <c r="C1" s="27" t="s">
        <v>85</v>
      </c>
      <c r="D1" s="27" t="s">
        <v>86</v>
      </c>
      <c r="E1" s="9" t="s">
        <v>16</v>
      </c>
      <c r="F1" s="9" t="s">
        <v>87</v>
      </c>
      <c r="G1" s="9" t="s">
        <v>25</v>
      </c>
    </row>
    <row r="2" spans="1:7" x14ac:dyDescent="0.25">
      <c r="A2" s="10">
        <v>45658</v>
      </c>
      <c r="B2" s="11"/>
      <c r="C2" s="28"/>
      <c r="D2" s="28"/>
      <c r="E2" s="11"/>
      <c r="F2" s="11"/>
      <c r="G2" s="12">
        <f>SUM(E:E)</f>
        <v>310</v>
      </c>
    </row>
    <row r="3" spans="1:7" x14ac:dyDescent="0.25">
      <c r="A3" s="10">
        <v>45659</v>
      </c>
      <c r="B3" s="11" t="s">
        <v>56</v>
      </c>
      <c r="C3" s="28">
        <v>0.32291666666666669</v>
      </c>
      <c r="D3" s="28">
        <v>0.58333333333333337</v>
      </c>
      <c r="E3" s="30">
        <f>MOD((D3-C3),1) *24 - F3</f>
        <v>5.75</v>
      </c>
      <c r="F3" s="11">
        <v>0.5</v>
      </c>
      <c r="G3" s="11"/>
    </row>
    <row r="4" spans="1:7" x14ac:dyDescent="0.25">
      <c r="A4" s="10">
        <v>45660</v>
      </c>
      <c r="B4" s="11" t="s">
        <v>56</v>
      </c>
      <c r="C4" s="28">
        <v>0.32291666666666669</v>
      </c>
      <c r="D4" s="28">
        <v>0.58333333333333337</v>
      </c>
      <c r="E4" s="30">
        <f t="shared" ref="E4:E56" si="0">MOD((D4-C4),1) *24 - F4</f>
        <v>5.75</v>
      </c>
      <c r="F4" s="11">
        <v>0.5</v>
      </c>
      <c r="G4" s="11"/>
    </row>
    <row r="5" spans="1:7" x14ac:dyDescent="0.25">
      <c r="A5" s="10">
        <v>45660</v>
      </c>
      <c r="B5" s="11" t="s">
        <v>91</v>
      </c>
      <c r="C5" s="28">
        <v>0.70833333333333337</v>
      </c>
      <c r="D5" s="28">
        <v>0.89583333333333337</v>
      </c>
      <c r="E5" s="30">
        <f t="shared" si="0"/>
        <v>4.5</v>
      </c>
      <c r="F5" s="11"/>
      <c r="G5" s="11"/>
    </row>
    <row r="6" spans="1:7" x14ac:dyDescent="0.25">
      <c r="A6" s="10">
        <v>45661</v>
      </c>
      <c r="B6" s="11" t="s">
        <v>56</v>
      </c>
      <c r="C6" s="28">
        <v>0.32291666666666669</v>
      </c>
      <c r="D6" s="28">
        <v>0.58333333333333337</v>
      </c>
      <c r="E6" s="30">
        <f t="shared" si="0"/>
        <v>5.75</v>
      </c>
      <c r="F6" s="11">
        <v>0.5</v>
      </c>
      <c r="G6" s="11"/>
    </row>
    <row r="7" spans="1:7" x14ac:dyDescent="0.25">
      <c r="A7" s="10">
        <v>45662</v>
      </c>
      <c r="B7" s="11" t="s">
        <v>56</v>
      </c>
      <c r="C7" s="28">
        <v>0.32291666666666669</v>
      </c>
      <c r="D7" s="28">
        <v>0.58333333333333337</v>
      </c>
      <c r="E7" s="30">
        <f t="shared" si="0"/>
        <v>5.75</v>
      </c>
      <c r="F7" s="11">
        <v>0.5</v>
      </c>
      <c r="G7" s="11"/>
    </row>
    <row r="8" spans="1:7" x14ac:dyDescent="0.25">
      <c r="A8" s="10">
        <v>45663</v>
      </c>
      <c r="B8" s="11" t="s">
        <v>92</v>
      </c>
      <c r="C8" s="28">
        <v>0.33333333333333331</v>
      </c>
      <c r="D8" s="28">
        <v>0.45833333333333331</v>
      </c>
      <c r="E8" s="30">
        <f t="shared" si="0"/>
        <v>3</v>
      </c>
      <c r="F8" s="11"/>
      <c r="G8" s="11"/>
    </row>
    <row r="9" spans="1:7" x14ac:dyDescent="0.25">
      <c r="A9" s="10">
        <v>45663</v>
      </c>
      <c r="B9" s="11" t="s">
        <v>56</v>
      </c>
      <c r="C9" s="28">
        <v>0.33333333333333331</v>
      </c>
      <c r="D9" s="28">
        <v>0.5</v>
      </c>
      <c r="E9" s="30">
        <f t="shared" si="0"/>
        <v>4</v>
      </c>
      <c r="F9" s="11"/>
      <c r="G9" s="11"/>
    </row>
    <row r="10" spans="1:7" x14ac:dyDescent="0.25">
      <c r="A10" s="10">
        <v>45663</v>
      </c>
      <c r="B10" s="11" t="s">
        <v>53</v>
      </c>
      <c r="C10" s="28">
        <v>0.58333333333333337</v>
      </c>
      <c r="D10" s="28">
        <v>2.0833333333333332E-2</v>
      </c>
      <c r="E10" s="30">
        <f t="shared" si="0"/>
        <v>9.5</v>
      </c>
      <c r="F10" s="11">
        <v>1</v>
      </c>
      <c r="G10" s="11"/>
    </row>
    <row r="11" spans="1:7" x14ac:dyDescent="0.25">
      <c r="A11" s="10">
        <v>45663</v>
      </c>
      <c r="B11" s="11" t="s">
        <v>58</v>
      </c>
      <c r="C11" s="28">
        <v>0.58333333333333337</v>
      </c>
      <c r="D11" s="28">
        <v>0.91666666666666663</v>
      </c>
      <c r="E11" s="30">
        <f t="shared" si="0"/>
        <v>7.4999999999999982</v>
      </c>
      <c r="F11" s="11">
        <v>0.5</v>
      </c>
      <c r="G11" s="11"/>
    </row>
    <row r="12" spans="1:7" x14ac:dyDescent="0.25">
      <c r="A12" s="10">
        <v>45664</v>
      </c>
      <c r="B12" s="11" t="s">
        <v>58</v>
      </c>
      <c r="C12" s="28">
        <v>0.41666666666666669</v>
      </c>
      <c r="D12" s="28">
        <v>0.70833333333333337</v>
      </c>
      <c r="E12" s="30">
        <f t="shared" si="0"/>
        <v>6.5</v>
      </c>
      <c r="F12" s="11">
        <v>0.5</v>
      </c>
      <c r="G12" s="11"/>
    </row>
    <row r="13" spans="1:7" x14ac:dyDescent="0.25">
      <c r="A13" s="10">
        <v>45665</v>
      </c>
      <c r="B13" s="11" t="s">
        <v>56</v>
      </c>
      <c r="C13" s="28">
        <v>0.32291666666666669</v>
      </c>
      <c r="D13" s="28">
        <v>0.58333333333333337</v>
      </c>
      <c r="E13" s="30">
        <f t="shared" si="0"/>
        <v>5.75</v>
      </c>
      <c r="F13" s="11">
        <v>0.5</v>
      </c>
      <c r="G13" s="11"/>
    </row>
    <row r="14" spans="1:7" x14ac:dyDescent="0.25">
      <c r="A14" s="10">
        <v>45666</v>
      </c>
      <c r="B14" s="11" t="s">
        <v>56</v>
      </c>
      <c r="C14" s="28">
        <v>0.32291666666666669</v>
      </c>
      <c r="D14" s="28">
        <v>0.58333333333333337</v>
      </c>
      <c r="E14" s="30">
        <f t="shared" si="0"/>
        <v>5.75</v>
      </c>
      <c r="F14" s="11">
        <v>0.5</v>
      </c>
      <c r="G14" s="11"/>
    </row>
    <row r="15" spans="1:7" x14ac:dyDescent="0.25">
      <c r="A15" s="10">
        <v>45667</v>
      </c>
      <c r="B15" s="11" t="s">
        <v>56</v>
      </c>
      <c r="C15" s="28">
        <v>0.32291666666666669</v>
      </c>
      <c r="D15" s="28">
        <v>0.58333333333333337</v>
      </c>
      <c r="E15" s="30">
        <f t="shared" si="0"/>
        <v>5.75</v>
      </c>
      <c r="F15" s="11">
        <v>0.5</v>
      </c>
      <c r="G15" s="11"/>
    </row>
    <row r="16" spans="1:7" x14ac:dyDescent="0.25">
      <c r="A16" s="10">
        <v>45667</v>
      </c>
      <c r="B16" s="11" t="s">
        <v>56</v>
      </c>
      <c r="C16" s="28">
        <v>0.70833333333333337</v>
      </c>
      <c r="D16" s="28">
        <v>0.89583333333333337</v>
      </c>
      <c r="E16" s="30">
        <f t="shared" si="0"/>
        <v>4.5</v>
      </c>
      <c r="F16" s="11"/>
      <c r="G16" s="11"/>
    </row>
    <row r="17" spans="1:7" x14ac:dyDescent="0.25">
      <c r="A17" s="10">
        <v>45668</v>
      </c>
      <c r="B17" s="11" t="s">
        <v>56</v>
      </c>
      <c r="C17" s="28">
        <v>0.32291666666666669</v>
      </c>
      <c r="D17" s="28">
        <v>0.58333333333333337</v>
      </c>
      <c r="E17" s="30">
        <f t="shared" si="0"/>
        <v>5.75</v>
      </c>
      <c r="F17" s="11">
        <v>0.5</v>
      </c>
      <c r="G17" s="11"/>
    </row>
    <row r="18" spans="1:7" x14ac:dyDescent="0.25">
      <c r="A18" s="10">
        <v>45668</v>
      </c>
      <c r="B18" s="11" t="s">
        <v>56</v>
      </c>
      <c r="C18" s="28">
        <v>0.75</v>
      </c>
      <c r="D18" s="28">
        <v>0.95833333333333337</v>
      </c>
      <c r="E18" s="30">
        <f t="shared" si="0"/>
        <v>5.0000000000000009</v>
      </c>
      <c r="F18" s="11"/>
      <c r="G18" s="11"/>
    </row>
    <row r="19" spans="1:7" x14ac:dyDescent="0.25">
      <c r="A19" s="10">
        <v>45669</v>
      </c>
      <c r="B19" s="11" t="s">
        <v>56</v>
      </c>
      <c r="C19" s="28">
        <v>0.32291666666666669</v>
      </c>
      <c r="D19" s="28">
        <v>0.58333333333333337</v>
      </c>
      <c r="E19" s="30">
        <f t="shared" si="0"/>
        <v>5.75</v>
      </c>
      <c r="F19" s="11">
        <v>0.5</v>
      </c>
      <c r="G19" s="11"/>
    </row>
    <row r="20" spans="1:7" x14ac:dyDescent="0.25">
      <c r="A20" s="10">
        <v>45669</v>
      </c>
      <c r="B20" s="11" t="s">
        <v>52</v>
      </c>
      <c r="C20" s="28">
        <v>0.58333333333333337</v>
      </c>
      <c r="D20" s="28">
        <v>0</v>
      </c>
      <c r="E20" s="30">
        <f t="shared" si="0"/>
        <v>9</v>
      </c>
      <c r="F20" s="11">
        <v>1</v>
      </c>
      <c r="G20" s="11"/>
    </row>
    <row r="21" spans="1:7" x14ac:dyDescent="0.25">
      <c r="A21" s="10">
        <v>45670</v>
      </c>
      <c r="B21" s="11" t="s">
        <v>56</v>
      </c>
      <c r="C21" s="28">
        <v>0.33333333333333331</v>
      </c>
      <c r="D21" s="28">
        <v>0.5</v>
      </c>
      <c r="E21" s="30">
        <f t="shared" si="0"/>
        <v>4</v>
      </c>
      <c r="F21" s="11"/>
      <c r="G21" s="11"/>
    </row>
    <row r="22" spans="1:7" x14ac:dyDescent="0.25">
      <c r="A22" s="10">
        <v>45670</v>
      </c>
      <c r="B22" s="11" t="s">
        <v>53</v>
      </c>
      <c r="C22" s="28">
        <v>0.39583333333333331</v>
      </c>
      <c r="D22" s="28">
        <v>0.72916666666666663</v>
      </c>
      <c r="E22" s="30">
        <f t="shared" si="0"/>
        <v>7.5</v>
      </c>
      <c r="F22" s="11">
        <v>0.5</v>
      </c>
      <c r="G22" s="11"/>
    </row>
    <row r="23" spans="1:7" x14ac:dyDescent="0.25">
      <c r="A23" s="10">
        <v>45670</v>
      </c>
      <c r="B23" s="11" t="s">
        <v>48</v>
      </c>
      <c r="C23" s="28">
        <v>0.45833333333333331</v>
      </c>
      <c r="D23" s="28">
        <v>0.91666666666666663</v>
      </c>
      <c r="E23" s="30">
        <f t="shared" si="0"/>
        <v>10</v>
      </c>
      <c r="F23" s="11">
        <v>1</v>
      </c>
      <c r="G23" s="11"/>
    </row>
    <row r="24" spans="1:7" x14ac:dyDescent="0.25">
      <c r="A24" s="10">
        <v>45670</v>
      </c>
      <c r="B24" s="11" t="s">
        <v>58</v>
      </c>
      <c r="C24" s="28">
        <v>0.52083333333333337</v>
      </c>
      <c r="D24" s="28">
        <v>0.79166666666666663</v>
      </c>
      <c r="E24" s="30">
        <f t="shared" si="0"/>
        <v>5.9999999999999982</v>
      </c>
      <c r="F24" s="11">
        <v>0.5</v>
      </c>
      <c r="G24" s="11"/>
    </row>
    <row r="25" spans="1:7" x14ac:dyDescent="0.25">
      <c r="A25" s="10">
        <v>45671</v>
      </c>
      <c r="B25" s="11" t="s">
        <v>58</v>
      </c>
      <c r="C25" s="28">
        <v>0.33333333333333331</v>
      </c>
      <c r="D25" s="28">
        <v>0.66666666666666663</v>
      </c>
      <c r="E25" s="30">
        <f t="shared" si="0"/>
        <v>7.5</v>
      </c>
      <c r="F25" s="11">
        <v>0.5</v>
      </c>
      <c r="G25" s="11"/>
    </row>
    <row r="26" spans="1:7" x14ac:dyDescent="0.25">
      <c r="A26" s="10">
        <v>45671</v>
      </c>
      <c r="B26" s="11" t="s">
        <v>53</v>
      </c>
      <c r="C26" s="28">
        <v>0.45833333333333331</v>
      </c>
      <c r="D26" s="28">
        <v>0.75</v>
      </c>
      <c r="E26" s="30">
        <f t="shared" si="0"/>
        <v>6.5</v>
      </c>
      <c r="F26" s="11">
        <v>0.5</v>
      </c>
      <c r="G26" s="11"/>
    </row>
    <row r="27" spans="1:7" x14ac:dyDescent="0.25">
      <c r="A27" s="10">
        <v>45672</v>
      </c>
      <c r="B27" s="11"/>
      <c r="C27" s="28"/>
      <c r="D27" s="28"/>
      <c r="E27" s="30">
        <f t="shared" si="0"/>
        <v>0</v>
      </c>
      <c r="F27" s="11"/>
      <c r="G27" s="11"/>
    </row>
    <row r="28" spans="1:7" x14ac:dyDescent="0.25">
      <c r="A28" s="10">
        <v>45673</v>
      </c>
      <c r="B28" s="11" t="s">
        <v>56</v>
      </c>
      <c r="C28" s="28">
        <v>0.32291666666666669</v>
      </c>
      <c r="D28" s="28">
        <v>0.58333333333333337</v>
      </c>
      <c r="E28" s="30">
        <f t="shared" si="0"/>
        <v>5.75</v>
      </c>
      <c r="F28" s="11">
        <v>0.5</v>
      </c>
      <c r="G28" s="11"/>
    </row>
    <row r="29" spans="1:7" x14ac:dyDescent="0.25">
      <c r="A29" s="10">
        <v>45674</v>
      </c>
      <c r="B29" s="11" t="s">
        <v>56</v>
      </c>
      <c r="C29" s="28">
        <v>0.32291666666666669</v>
      </c>
      <c r="D29" s="28">
        <v>0.58333333333333337</v>
      </c>
      <c r="E29" s="30">
        <f t="shared" si="0"/>
        <v>5.75</v>
      </c>
      <c r="F29" s="11">
        <v>0.5</v>
      </c>
      <c r="G29" s="11"/>
    </row>
    <row r="30" spans="1:7" x14ac:dyDescent="0.25">
      <c r="A30" s="10">
        <v>45674</v>
      </c>
      <c r="B30" s="11" t="s">
        <v>58</v>
      </c>
      <c r="C30" s="28">
        <v>0.66666666666666663</v>
      </c>
      <c r="D30" s="28">
        <v>0.89583333333333337</v>
      </c>
      <c r="E30" s="30">
        <f t="shared" si="0"/>
        <v>5.5000000000000018</v>
      </c>
      <c r="F30" s="11"/>
      <c r="G30" s="11"/>
    </row>
    <row r="31" spans="1:7" x14ac:dyDescent="0.25">
      <c r="A31" s="10">
        <v>45674</v>
      </c>
      <c r="B31" s="11" t="s">
        <v>53</v>
      </c>
      <c r="C31" s="28">
        <v>0.70833333333333337</v>
      </c>
      <c r="D31" s="28">
        <v>0.875</v>
      </c>
      <c r="E31" s="30">
        <f t="shared" si="0"/>
        <v>3.9999999999999991</v>
      </c>
      <c r="F31" s="11"/>
      <c r="G31" s="11"/>
    </row>
    <row r="32" spans="1:7" x14ac:dyDescent="0.25">
      <c r="A32" s="10">
        <v>45675</v>
      </c>
      <c r="B32" s="11" t="s">
        <v>56</v>
      </c>
      <c r="C32" s="28">
        <v>0.32291666666666669</v>
      </c>
      <c r="D32" s="28">
        <v>0.58333333333333337</v>
      </c>
      <c r="E32" s="30">
        <f t="shared" si="0"/>
        <v>5.75</v>
      </c>
      <c r="F32" s="11">
        <v>0.5</v>
      </c>
      <c r="G32" s="11"/>
    </row>
    <row r="33" spans="1:7" x14ac:dyDescent="0.25">
      <c r="A33" s="10">
        <v>45675</v>
      </c>
      <c r="B33" s="11" t="s">
        <v>56</v>
      </c>
      <c r="C33" s="28">
        <v>0.75</v>
      </c>
      <c r="D33" s="28">
        <v>0.9375</v>
      </c>
      <c r="E33" s="30">
        <f t="shared" si="0"/>
        <v>4.5</v>
      </c>
      <c r="F33" s="11"/>
      <c r="G33" s="11"/>
    </row>
    <row r="34" spans="1:7" x14ac:dyDescent="0.25">
      <c r="A34" s="10">
        <v>45676</v>
      </c>
      <c r="B34" s="11" t="s">
        <v>56</v>
      </c>
      <c r="C34" s="28">
        <v>0.32291666666666669</v>
      </c>
      <c r="D34" s="28">
        <v>0.58333333333333337</v>
      </c>
      <c r="E34" s="30">
        <f t="shared" si="0"/>
        <v>5.75</v>
      </c>
      <c r="F34" s="11">
        <v>0.5</v>
      </c>
      <c r="G34" s="11"/>
    </row>
    <row r="35" spans="1:7" x14ac:dyDescent="0.25">
      <c r="A35" s="10">
        <v>45677</v>
      </c>
      <c r="B35" s="11" t="s">
        <v>56</v>
      </c>
      <c r="C35" s="28">
        <v>0.33333333333333331</v>
      </c>
      <c r="D35" s="28">
        <v>0.5</v>
      </c>
      <c r="E35" s="30">
        <f t="shared" si="0"/>
        <v>4</v>
      </c>
      <c r="F35" s="11"/>
      <c r="G35" s="11"/>
    </row>
    <row r="36" spans="1:7" x14ac:dyDescent="0.25">
      <c r="A36" s="10">
        <v>45677</v>
      </c>
      <c r="B36" s="11" t="s">
        <v>53</v>
      </c>
      <c r="C36" s="28">
        <v>0.45833333333333331</v>
      </c>
      <c r="D36" s="28">
        <v>0.75</v>
      </c>
      <c r="E36" s="30">
        <f t="shared" si="0"/>
        <v>6.5</v>
      </c>
      <c r="F36" s="11">
        <v>0.5</v>
      </c>
      <c r="G36" s="11"/>
    </row>
    <row r="37" spans="1:7" x14ac:dyDescent="0.25">
      <c r="A37" s="10">
        <v>45677</v>
      </c>
      <c r="B37" s="11" t="s">
        <v>58</v>
      </c>
      <c r="C37" s="28">
        <v>0.54166666666666663</v>
      </c>
      <c r="D37" s="28">
        <v>0.91666666666666663</v>
      </c>
      <c r="E37" s="30">
        <f t="shared" si="0"/>
        <v>8</v>
      </c>
      <c r="F37" s="11">
        <v>1</v>
      </c>
      <c r="G37" s="11"/>
    </row>
    <row r="38" spans="1:7" x14ac:dyDescent="0.25">
      <c r="A38" s="10">
        <v>45678</v>
      </c>
      <c r="B38" s="11" t="s">
        <v>58</v>
      </c>
      <c r="C38" s="28">
        <v>0.29166666666666669</v>
      </c>
      <c r="D38" s="28">
        <v>0.58333333333333337</v>
      </c>
      <c r="E38" s="30">
        <f t="shared" si="0"/>
        <v>6.5</v>
      </c>
      <c r="F38" s="11">
        <v>0.5</v>
      </c>
      <c r="G38" s="11"/>
    </row>
    <row r="39" spans="1:7" x14ac:dyDescent="0.25">
      <c r="A39" s="10">
        <v>45679</v>
      </c>
      <c r="B39" s="11" t="s">
        <v>56</v>
      </c>
      <c r="C39" s="28">
        <v>0.32291666666666669</v>
      </c>
      <c r="D39" s="28">
        <v>0.58333333333333337</v>
      </c>
      <c r="E39" s="30">
        <f t="shared" si="0"/>
        <v>5.75</v>
      </c>
      <c r="F39" s="11">
        <v>0.5</v>
      </c>
      <c r="G39" s="11"/>
    </row>
    <row r="40" spans="1:7" x14ac:dyDescent="0.25">
      <c r="A40" s="10">
        <v>45680</v>
      </c>
      <c r="B40" s="11" t="s">
        <v>56</v>
      </c>
      <c r="C40" s="28">
        <v>0.32291666666666669</v>
      </c>
      <c r="D40" s="28">
        <v>0.58333333333333337</v>
      </c>
      <c r="E40" s="30">
        <f t="shared" si="0"/>
        <v>5.75</v>
      </c>
      <c r="F40" s="11">
        <v>0.5</v>
      </c>
      <c r="G40" s="11"/>
    </row>
    <row r="41" spans="1:7" x14ac:dyDescent="0.25">
      <c r="A41" s="10">
        <v>45681</v>
      </c>
      <c r="B41" s="11" t="s">
        <v>56</v>
      </c>
      <c r="C41" s="28">
        <v>0.32291666666666669</v>
      </c>
      <c r="D41" s="28">
        <v>0.58333333333333337</v>
      </c>
      <c r="E41" s="30">
        <f t="shared" si="0"/>
        <v>5.75</v>
      </c>
      <c r="F41" s="11">
        <v>0.5</v>
      </c>
      <c r="G41" s="11"/>
    </row>
    <row r="42" spans="1:7" x14ac:dyDescent="0.25">
      <c r="A42" s="10">
        <v>45681</v>
      </c>
      <c r="B42" s="11" t="s">
        <v>56</v>
      </c>
      <c r="C42" s="28">
        <v>0.70833333333333337</v>
      </c>
      <c r="D42" s="28">
        <v>0.89583333333333337</v>
      </c>
      <c r="E42" s="30">
        <f t="shared" si="0"/>
        <v>4.5</v>
      </c>
      <c r="F42" s="11"/>
      <c r="G42" s="11"/>
    </row>
    <row r="43" spans="1:7" x14ac:dyDescent="0.25">
      <c r="A43" s="10">
        <v>45682</v>
      </c>
      <c r="B43" s="11" t="s">
        <v>56</v>
      </c>
      <c r="C43" s="28">
        <v>0.32291666666666669</v>
      </c>
      <c r="D43" s="28">
        <v>0.58333333333333337</v>
      </c>
      <c r="E43" s="30">
        <f t="shared" si="0"/>
        <v>5.75</v>
      </c>
      <c r="F43" s="11">
        <v>0.5</v>
      </c>
      <c r="G43" s="11"/>
    </row>
    <row r="44" spans="1:7" x14ac:dyDescent="0.25">
      <c r="A44" s="10">
        <v>45682</v>
      </c>
      <c r="B44" s="11" t="s">
        <v>91</v>
      </c>
      <c r="C44" s="28">
        <v>0.75</v>
      </c>
      <c r="D44" s="28">
        <v>0.9375</v>
      </c>
      <c r="E44" s="30">
        <f t="shared" si="0"/>
        <v>4.5</v>
      </c>
      <c r="F44" s="11"/>
      <c r="G44" s="11"/>
    </row>
    <row r="45" spans="1:7" x14ac:dyDescent="0.25">
      <c r="A45" s="10">
        <v>45683</v>
      </c>
      <c r="B45" s="11" t="s">
        <v>56</v>
      </c>
      <c r="C45" s="28">
        <v>0.32291666666666669</v>
      </c>
      <c r="D45" s="28">
        <v>0.58333333333333337</v>
      </c>
      <c r="E45" s="30">
        <f t="shared" si="0"/>
        <v>5.75</v>
      </c>
      <c r="F45" s="11">
        <v>0.5</v>
      </c>
      <c r="G45" s="11"/>
    </row>
    <row r="46" spans="1:7" x14ac:dyDescent="0.25">
      <c r="A46" s="10">
        <v>45683</v>
      </c>
      <c r="B46" s="11" t="s">
        <v>53</v>
      </c>
      <c r="C46" s="28">
        <v>0.625</v>
      </c>
      <c r="D46" s="28">
        <v>0.91666666666666663</v>
      </c>
      <c r="E46" s="30">
        <f t="shared" si="0"/>
        <v>6.4999999999999991</v>
      </c>
      <c r="F46" s="11">
        <v>0.5</v>
      </c>
      <c r="G46" s="11"/>
    </row>
    <row r="47" spans="1:7" x14ac:dyDescent="0.25">
      <c r="A47" s="10">
        <v>45683</v>
      </c>
      <c r="B47" s="11" t="s">
        <v>58</v>
      </c>
      <c r="C47" s="28">
        <v>0.65625</v>
      </c>
      <c r="D47" s="28">
        <v>4.1666666666666664E-2</v>
      </c>
      <c r="E47" s="30">
        <f t="shared" si="0"/>
        <v>8.25</v>
      </c>
      <c r="F47" s="11">
        <v>1</v>
      </c>
      <c r="G47" s="11"/>
    </row>
    <row r="48" spans="1:7" x14ac:dyDescent="0.25">
      <c r="A48" s="10">
        <v>45684</v>
      </c>
      <c r="B48" s="11" t="s">
        <v>56</v>
      </c>
      <c r="C48" s="28">
        <v>0.33333333333333331</v>
      </c>
      <c r="D48" s="28">
        <v>0.5</v>
      </c>
      <c r="E48" s="30">
        <f t="shared" si="0"/>
        <v>4</v>
      </c>
      <c r="F48" s="11"/>
      <c r="G48" s="11"/>
    </row>
    <row r="49" spans="1:7" x14ac:dyDescent="0.25">
      <c r="A49" s="10">
        <v>45684</v>
      </c>
      <c r="B49" s="11" t="s">
        <v>58</v>
      </c>
      <c r="C49" s="28">
        <v>0.54166666666666663</v>
      </c>
      <c r="D49" s="28">
        <v>0.85416666666666663</v>
      </c>
      <c r="E49" s="30">
        <f t="shared" si="0"/>
        <v>7</v>
      </c>
      <c r="F49" s="11">
        <v>0.5</v>
      </c>
      <c r="G49" s="11"/>
    </row>
    <row r="50" spans="1:7" x14ac:dyDescent="0.25">
      <c r="A50" s="10">
        <v>45685</v>
      </c>
      <c r="B50" s="11" t="s">
        <v>58</v>
      </c>
      <c r="C50" s="28">
        <v>0.41666666666666669</v>
      </c>
      <c r="D50" s="28">
        <v>0.70833333333333337</v>
      </c>
      <c r="E50" s="30">
        <f t="shared" si="0"/>
        <v>6.5</v>
      </c>
      <c r="F50" s="11">
        <v>0.5</v>
      </c>
      <c r="G50" s="11"/>
    </row>
    <row r="51" spans="1:7" x14ac:dyDescent="0.25">
      <c r="A51" s="10">
        <v>45686</v>
      </c>
      <c r="B51" s="11" t="s">
        <v>56</v>
      </c>
      <c r="C51" s="28">
        <v>0.32291666666666669</v>
      </c>
      <c r="D51" s="28">
        <v>0.58333333333333337</v>
      </c>
      <c r="E51" s="30">
        <f t="shared" si="0"/>
        <v>5.75</v>
      </c>
      <c r="F51" s="11">
        <v>0.5</v>
      </c>
      <c r="G51" s="11"/>
    </row>
    <row r="52" spans="1:7" x14ac:dyDescent="0.25">
      <c r="A52" s="10">
        <v>45686</v>
      </c>
      <c r="B52" s="11" t="s">
        <v>92</v>
      </c>
      <c r="C52" s="28">
        <v>0.6875</v>
      </c>
      <c r="D52" s="28">
        <v>0.85416666666666663</v>
      </c>
      <c r="E52" s="30">
        <f t="shared" si="0"/>
        <v>3.9999999999999991</v>
      </c>
      <c r="F52" s="11"/>
      <c r="G52" s="11"/>
    </row>
    <row r="53" spans="1:7" x14ac:dyDescent="0.25">
      <c r="A53" s="10">
        <v>45687</v>
      </c>
      <c r="B53" s="11" t="s">
        <v>56</v>
      </c>
      <c r="C53" s="28">
        <v>0.32291666666666669</v>
      </c>
      <c r="D53" s="28">
        <v>0.58333333333333337</v>
      </c>
      <c r="E53" s="30">
        <f t="shared" si="0"/>
        <v>5.75</v>
      </c>
      <c r="F53" s="11">
        <v>0.5</v>
      </c>
      <c r="G53" s="11"/>
    </row>
    <row r="54" spans="1:7" x14ac:dyDescent="0.25">
      <c r="A54" s="10">
        <v>45687</v>
      </c>
      <c r="B54" s="11" t="s">
        <v>56</v>
      </c>
      <c r="C54" s="28">
        <v>0.70833333333333337</v>
      </c>
      <c r="D54" s="28">
        <v>0.9375</v>
      </c>
      <c r="E54" s="30">
        <f t="shared" si="0"/>
        <v>5.4999999999999991</v>
      </c>
      <c r="F54" s="11"/>
      <c r="G54" s="11"/>
    </row>
    <row r="55" spans="1:7" x14ac:dyDescent="0.25">
      <c r="A55" s="10">
        <v>45688</v>
      </c>
      <c r="B55" s="11" t="s">
        <v>56</v>
      </c>
      <c r="C55" s="28">
        <v>0.32291666666666669</v>
      </c>
      <c r="D55" s="28">
        <v>0.58333333333333337</v>
      </c>
      <c r="E55" s="30">
        <f t="shared" si="0"/>
        <v>5.75</v>
      </c>
      <c r="F55" s="11">
        <v>0.5</v>
      </c>
      <c r="G55" s="11"/>
    </row>
    <row r="56" spans="1:7" x14ac:dyDescent="0.25">
      <c r="A56" s="10">
        <v>45688</v>
      </c>
      <c r="B56" s="11" t="s">
        <v>56</v>
      </c>
      <c r="C56" s="28">
        <v>0.70833333333333337</v>
      </c>
      <c r="D56" s="28">
        <v>0.89583333333333337</v>
      </c>
      <c r="E56" s="30">
        <f t="shared" si="0"/>
        <v>4.5</v>
      </c>
      <c r="F56" s="11"/>
      <c r="G56" s="11"/>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39997558519241921"/>
  </sheetPr>
  <dimension ref="A1:G58"/>
  <sheetViews>
    <sheetView workbookViewId="0">
      <selection activeCell="A2" sqref="A1:B1048576"/>
    </sheetView>
  </sheetViews>
  <sheetFormatPr defaultRowHeight="15" x14ac:dyDescent="0.25"/>
  <cols>
    <col min="1" max="1" width="9.5703125" customWidth="1"/>
    <col min="2" max="2" width="86.5703125" customWidth="1"/>
    <col min="3" max="3" width="12.85546875" customWidth="1"/>
    <col min="4" max="4" width="12.140625" customWidth="1"/>
    <col min="5" max="5" width="16.28515625" customWidth="1"/>
    <col min="6" max="6" width="25" bestFit="1" customWidth="1"/>
    <col min="7" max="7" width="19.28515625" bestFit="1" customWidth="1"/>
  </cols>
  <sheetData>
    <row r="1" spans="1:7" x14ac:dyDescent="0.25">
      <c r="A1" s="13">
        <v>45689</v>
      </c>
      <c r="B1" s="11" t="s">
        <v>56</v>
      </c>
      <c r="C1" s="11" t="s">
        <v>295</v>
      </c>
      <c r="D1" s="11" t="s">
        <v>100</v>
      </c>
      <c r="E1" s="11">
        <v>5.75</v>
      </c>
      <c r="F1" s="11" t="s">
        <v>103</v>
      </c>
      <c r="G1" s="12">
        <f>SUM(E:E)</f>
        <v>305.75</v>
      </c>
    </row>
    <row r="2" spans="1:7" x14ac:dyDescent="0.25">
      <c r="A2" s="13">
        <v>45689</v>
      </c>
      <c r="B2" s="11" t="s">
        <v>56</v>
      </c>
      <c r="C2" s="11" t="s">
        <v>188</v>
      </c>
      <c r="D2" s="11" t="s">
        <v>255</v>
      </c>
      <c r="E2" s="11">
        <v>4</v>
      </c>
      <c r="F2" s="11"/>
    </row>
    <row r="3" spans="1:7" x14ac:dyDescent="0.25">
      <c r="A3" s="13">
        <v>45690</v>
      </c>
      <c r="B3" s="11" t="s">
        <v>56</v>
      </c>
      <c r="C3" s="11" t="s">
        <v>295</v>
      </c>
      <c r="D3" s="11" t="s">
        <v>100</v>
      </c>
      <c r="E3" s="11">
        <v>5.75</v>
      </c>
      <c r="F3" s="11" t="s">
        <v>103</v>
      </c>
    </row>
    <row r="4" spans="1:7" x14ac:dyDescent="0.25">
      <c r="A4" s="13">
        <v>45691</v>
      </c>
      <c r="B4" s="11"/>
      <c r="C4" s="11"/>
      <c r="D4" s="11"/>
      <c r="E4" s="11"/>
      <c r="F4" s="11"/>
    </row>
    <row r="5" spans="1:7" x14ac:dyDescent="0.25">
      <c r="A5" s="13">
        <v>45692</v>
      </c>
      <c r="B5" s="11"/>
      <c r="C5" s="11"/>
      <c r="D5" s="11"/>
      <c r="E5" s="11"/>
      <c r="F5" s="11"/>
    </row>
    <row r="6" spans="1:7" x14ac:dyDescent="0.25">
      <c r="A6" s="13">
        <v>45693</v>
      </c>
      <c r="B6" s="11" t="s">
        <v>56</v>
      </c>
      <c r="C6" s="11" t="s">
        <v>295</v>
      </c>
      <c r="D6" s="11" t="s">
        <v>100</v>
      </c>
      <c r="E6" s="11">
        <v>5.75</v>
      </c>
      <c r="F6" s="11" t="s">
        <v>103</v>
      </c>
    </row>
    <row r="7" spans="1:7" x14ac:dyDescent="0.25">
      <c r="A7" s="13">
        <v>45694</v>
      </c>
      <c r="B7" s="11" t="s">
        <v>56</v>
      </c>
      <c r="C7" s="11" t="s">
        <v>295</v>
      </c>
      <c r="D7" s="11" t="s">
        <v>100</v>
      </c>
      <c r="E7" s="11">
        <v>5.75</v>
      </c>
      <c r="F7" s="11" t="s">
        <v>103</v>
      </c>
    </row>
    <row r="8" spans="1:7" x14ac:dyDescent="0.25">
      <c r="A8" s="13">
        <v>45695</v>
      </c>
      <c r="B8" s="11" t="s">
        <v>56</v>
      </c>
      <c r="C8" s="11" t="s">
        <v>295</v>
      </c>
      <c r="D8" s="11" t="s">
        <v>100</v>
      </c>
      <c r="E8" s="11">
        <v>5.75</v>
      </c>
      <c r="F8" s="11" t="s">
        <v>103</v>
      </c>
    </row>
    <row r="9" spans="1:7" x14ac:dyDescent="0.25">
      <c r="A9" s="13">
        <v>45695</v>
      </c>
      <c r="B9" s="11" t="s">
        <v>56</v>
      </c>
      <c r="C9" s="11" t="s">
        <v>296</v>
      </c>
      <c r="D9" s="11" t="s">
        <v>269</v>
      </c>
      <c r="E9" s="11">
        <v>4.5</v>
      </c>
      <c r="F9" s="11"/>
    </row>
    <row r="10" spans="1:7" x14ac:dyDescent="0.25">
      <c r="A10" s="13">
        <v>45695</v>
      </c>
      <c r="B10" s="11" t="s">
        <v>49</v>
      </c>
      <c r="C10" s="11" t="s">
        <v>121</v>
      </c>
      <c r="D10" s="11" t="s">
        <v>107</v>
      </c>
      <c r="E10" s="11">
        <v>4.5</v>
      </c>
      <c r="F10" s="11"/>
    </row>
    <row r="11" spans="1:7" x14ac:dyDescent="0.25">
      <c r="A11" s="13">
        <v>45696</v>
      </c>
      <c r="B11" s="11" t="s">
        <v>56</v>
      </c>
      <c r="C11" s="11" t="s">
        <v>295</v>
      </c>
      <c r="D11" s="11" t="s">
        <v>100</v>
      </c>
      <c r="E11" s="11">
        <v>5.75</v>
      </c>
      <c r="F11" s="11" t="s">
        <v>103</v>
      </c>
    </row>
    <row r="12" spans="1:7" x14ac:dyDescent="0.25">
      <c r="A12" s="13">
        <v>45696</v>
      </c>
      <c r="B12" s="11" t="s">
        <v>56</v>
      </c>
      <c r="C12" s="11" t="s">
        <v>188</v>
      </c>
      <c r="D12" s="11" t="s">
        <v>111</v>
      </c>
      <c r="E12" s="11">
        <v>3.5</v>
      </c>
      <c r="F12" s="11"/>
    </row>
    <row r="13" spans="1:7" x14ac:dyDescent="0.25">
      <c r="A13" s="13">
        <v>45697</v>
      </c>
      <c r="B13" s="11" t="s">
        <v>56</v>
      </c>
      <c r="C13" s="11" t="s">
        <v>295</v>
      </c>
      <c r="D13" s="11" t="s">
        <v>100</v>
      </c>
      <c r="E13" s="11">
        <v>5.75</v>
      </c>
      <c r="F13" s="11" t="s">
        <v>103</v>
      </c>
    </row>
    <row r="14" spans="1:7" x14ac:dyDescent="0.25">
      <c r="A14" s="13">
        <v>45697</v>
      </c>
      <c r="B14" s="11" t="s">
        <v>53</v>
      </c>
      <c r="C14" s="11" t="s">
        <v>219</v>
      </c>
      <c r="D14" s="11" t="s">
        <v>111</v>
      </c>
      <c r="E14" s="11">
        <v>4</v>
      </c>
      <c r="F14" s="11"/>
    </row>
    <row r="15" spans="1:7" x14ac:dyDescent="0.25">
      <c r="A15" s="13">
        <v>45697</v>
      </c>
      <c r="B15" s="11" t="s">
        <v>58</v>
      </c>
      <c r="C15" s="11" t="s">
        <v>219</v>
      </c>
      <c r="D15" s="11" t="s">
        <v>172</v>
      </c>
      <c r="E15" s="11">
        <v>5</v>
      </c>
      <c r="F15" s="11"/>
    </row>
    <row r="16" spans="1:7" x14ac:dyDescent="0.25">
      <c r="A16" s="13">
        <v>45698</v>
      </c>
      <c r="B16" s="11" t="s">
        <v>49</v>
      </c>
      <c r="C16" s="11" t="s">
        <v>120</v>
      </c>
      <c r="D16" s="11" t="s">
        <v>100</v>
      </c>
      <c r="E16" s="11">
        <v>5.5</v>
      </c>
      <c r="F16" s="11" t="s">
        <v>103</v>
      </c>
    </row>
    <row r="17" spans="1:6" x14ac:dyDescent="0.25">
      <c r="A17" s="13">
        <v>45698</v>
      </c>
      <c r="B17" s="11" t="s">
        <v>56</v>
      </c>
      <c r="C17" s="11" t="s">
        <v>120</v>
      </c>
      <c r="D17" s="11" t="s">
        <v>121</v>
      </c>
      <c r="E17" s="11">
        <v>8</v>
      </c>
      <c r="F17" s="11" t="s">
        <v>122</v>
      </c>
    </row>
    <row r="18" spans="1:6" x14ac:dyDescent="0.25">
      <c r="A18" s="13">
        <v>45698</v>
      </c>
      <c r="B18" s="11" t="s">
        <v>47</v>
      </c>
      <c r="C18" s="11" t="s">
        <v>120</v>
      </c>
      <c r="D18" s="11" t="s">
        <v>132</v>
      </c>
      <c r="E18" s="11">
        <v>4</v>
      </c>
      <c r="F18" s="11"/>
    </row>
    <row r="19" spans="1:6" x14ac:dyDescent="0.25">
      <c r="A19" s="13">
        <v>45698</v>
      </c>
      <c r="B19" s="11" t="s">
        <v>53</v>
      </c>
      <c r="C19" s="11" t="s">
        <v>105</v>
      </c>
      <c r="D19" s="11" t="s">
        <v>226</v>
      </c>
      <c r="E19" s="11">
        <v>9</v>
      </c>
      <c r="F19" s="11" t="s">
        <v>122</v>
      </c>
    </row>
    <row r="20" spans="1:6" x14ac:dyDescent="0.25">
      <c r="A20" s="13">
        <v>45698</v>
      </c>
      <c r="B20" s="11" t="s">
        <v>58</v>
      </c>
      <c r="C20" s="11" t="s">
        <v>121</v>
      </c>
      <c r="D20" s="11" t="s">
        <v>189</v>
      </c>
      <c r="E20" s="11">
        <v>6.5</v>
      </c>
      <c r="F20" s="11" t="s">
        <v>103</v>
      </c>
    </row>
    <row r="21" spans="1:6" x14ac:dyDescent="0.25">
      <c r="A21" s="13">
        <v>45699</v>
      </c>
      <c r="B21" s="11" t="s">
        <v>53</v>
      </c>
      <c r="C21" s="11" t="s">
        <v>297</v>
      </c>
      <c r="D21" s="11" t="s">
        <v>155</v>
      </c>
      <c r="E21" s="11">
        <v>10.5</v>
      </c>
      <c r="F21" s="11" t="s">
        <v>103</v>
      </c>
    </row>
    <row r="22" spans="1:6" x14ac:dyDescent="0.25">
      <c r="A22" s="13">
        <v>45700</v>
      </c>
      <c r="B22" s="11" t="s">
        <v>56</v>
      </c>
      <c r="C22" s="11" t="s">
        <v>295</v>
      </c>
      <c r="D22" s="11" t="s">
        <v>100</v>
      </c>
      <c r="E22" s="11">
        <v>5.75</v>
      </c>
      <c r="F22" s="11" t="s">
        <v>103</v>
      </c>
    </row>
    <row r="23" spans="1:6" x14ac:dyDescent="0.25">
      <c r="A23" s="13">
        <v>45701</v>
      </c>
      <c r="B23" s="11" t="s">
        <v>56</v>
      </c>
      <c r="C23" s="11" t="s">
        <v>295</v>
      </c>
      <c r="D23" s="11" t="s">
        <v>100</v>
      </c>
      <c r="E23" s="11">
        <v>5.75</v>
      </c>
      <c r="F23" s="11" t="s">
        <v>103</v>
      </c>
    </row>
    <row r="24" spans="1:6" x14ac:dyDescent="0.25">
      <c r="A24" s="13">
        <v>45701</v>
      </c>
      <c r="B24" s="11" t="s">
        <v>44</v>
      </c>
      <c r="C24" s="11" t="s">
        <v>105</v>
      </c>
      <c r="D24" s="11" t="s">
        <v>142</v>
      </c>
      <c r="E24" s="11">
        <v>2.5</v>
      </c>
      <c r="F24" s="11"/>
    </row>
    <row r="25" spans="1:6" x14ac:dyDescent="0.25">
      <c r="A25" s="13">
        <v>45702</v>
      </c>
      <c r="B25" s="11" t="s">
        <v>56</v>
      </c>
      <c r="C25" s="11" t="s">
        <v>295</v>
      </c>
      <c r="D25" s="11" t="s">
        <v>100</v>
      </c>
      <c r="E25" s="11">
        <v>5.75</v>
      </c>
      <c r="F25" s="11" t="s">
        <v>103</v>
      </c>
    </row>
    <row r="26" spans="1:6" x14ac:dyDescent="0.25">
      <c r="A26" s="13">
        <v>45702</v>
      </c>
      <c r="B26" s="11" t="s">
        <v>49</v>
      </c>
      <c r="C26" s="11" t="s">
        <v>121</v>
      </c>
      <c r="D26" s="11" t="s">
        <v>107</v>
      </c>
      <c r="E26" s="11">
        <v>4.5</v>
      </c>
      <c r="F26" s="11"/>
    </row>
    <row r="27" spans="1:6" x14ac:dyDescent="0.25">
      <c r="A27" s="13">
        <v>45703</v>
      </c>
      <c r="B27" s="11" t="s">
        <v>56</v>
      </c>
      <c r="C27" s="11" t="s">
        <v>295</v>
      </c>
      <c r="D27" s="11" t="s">
        <v>100</v>
      </c>
      <c r="E27" s="11">
        <v>5.75</v>
      </c>
      <c r="F27" s="11" t="s">
        <v>103</v>
      </c>
    </row>
    <row r="28" spans="1:6" x14ac:dyDescent="0.25">
      <c r="A28" s="13">
        <v>45703</v>
      </c>
      <c r="B28" s="11" t="s">
        <v>56</v>
      </c>
      <c r="C28" s="11" t="s">
        <v>219</v>
      </c>
      <c r="D28" s="11" t="s">
        <v>111</v>
      </c>
      <c r="E28" s="11">
        <v>4</v>
      </c>
      <c r="F28" s="11"/>
    </row>
    <row r="29" spans="1:6" x14ac:dyDescent="0.25">
      <c r="A29" s="13">
        <v>45704</v>
      </c>
      <c r="B29" s="11" t="s">
        <v>56</v>
      </c>
      <c r="C29" s="11" t="s">
        <v>295</v>
      </c>
      <c r="D29" s="11" t="s">
        <v>100</v>
      </c>
      <c r="E29" s="11">
        <v>5.75</v>
      </c>
      <c r="F29" s="11" t="s">
        <v>103</v>
      </c>
    </row>
    <row r="30" spans="1:6" x14ac:dyDescent="0.25">
      <c r="A30" s="13">
        <v>45704</v>
      </c>
      <c r="B30" s="11" t="s">
        <v>58</v>
      </c>
      <c r="C30" s="11" t="s">
        <v>219</v>
      </c>
      <c r="D30" s="11" t="s">
        <v>172</v>
      </c>
      <c r="E30" s="11">
        <v>5</v>
      </c>
      <c r="F30" s="11"/>
    </row>
    <row r="31" spans="1:6" x14ac:dyDescent="0.25">
      <c r="A31" s="13">
        <v>45705</v>
      </c>
      <c r="B31" s="11" t="s">
        <v>56</v>
      </c>
      <c r="C31" s="11" t="s">
        <v>120</v>
      </c>
      <c r="D31" s="11" t="s">
        <v>132</v>
      </c>
      <c r="E31" s="11">
        <v>4</v>
      </c>
      <c r="F31" s="11"/>
    </row>
    <row r="32" spans="1:6" x14ac:dyDescent="0.25">
      <c r="A32" s="13">
        <v>45705</v>
      </c>
      <c r="B32" s="11" t="s">
        <v>49</v>
      </c>
      <c r="C32" s="11" t="s">
        <v>99</v>
      </c>
      <c r="D32" s="11" t="s">
        <v>126</v>
      </c>
      <c r="E32" s="11">
        <v>4</v>
      </c>
      <c r="F32" s="11"/>
    </row>
    <row r="33" spans="1:6" x14ac:dyDescent="0.25">
      <c r="A33" s="13">
        <v>45705</v>
      </c>
      <c r="B33" s="11" t="s">
        <v>58</v>
      </c>
      <c r="C33" s="11" t="s">
        <v>132</v>
      </c>
      <c r="D33" s="11" t="s">
        <v>177</v>
      </c>
      <c r="E33" s="11">
        <v>7</v>
      </c>
      <c r="F33" s="11" t="s">
        <v>103</v>
      </c>
    </row>
    <row r="34" spans="1:6" x14ac:dyDescent="0.25">
      <c r="A34" s="13">
        <v>45705</v>
      </c>
      <c r="B34" s="11" t="s">
        <v>46</v>
      </c>
      <c r="C34" s="11" t="s">
        <v>126</v>
      </c>
      <c r="D34" s="11" t="s">
        <v>166</v>
      </c>
      <c r="E34" s="11">
        <v>6.5</v>
      </c>
      <c r="F34" s="11" t="s">
        <v>103</v>
      </c>
    </row>
    <row r="35" spans="1:6" x14ac:dyDescent="0.25">
      <c r="A35" s="13">
        <v>45705</v>
      </c>
      <c r="B35" s="11" t="s">
        <v>53</v>
      </c>
      <c r="C35" s="11" t="s">
        <v>105</v>
      </c>
      <c r="D35" s="11" t="s">
        <v>172</v>
      </c>
      <c r="E35" s="11">
        <v>7.5</v>
      </c>
      <c r="F35" s="11" t="s">
        <v>103</v>
      </c>
    </row>
    <row r="36" spans="1:6" x14ac:dyDescent="0.25">
      <c r="A36" s="13">
        <v>45706</v>
      </c>
      <c r="B36" s="11" t="s">
        <v>53</v>
      </c>
      <c r="C36" s="11" t="s">
        <v>104</v>
      </c>
      <c r="D36" s="11" t="s">
        <v>269</v>
      </c>
      <c r="E36" s="11">
        <v>9</v>
      </c>
      <c r="F36" s="11" t="s">
        <v>122</v>
      </c>
    </row>
    <row r="37" spans="1:6" x14ac:dyDescent="0.25">
      <c r="A37" s="13">
        <v>45706</v>
      </c>
      <c r="B37" s="11" t="s">
        <v>58</v>
      </c>
      <c r="C37" s="11" t="s">
        <v>102</v>
      </c>
      <c r="D37" s="11" t="s">
        <v>185</v>
      </c>
      <c r="E37" s="11">
        <v>4.5</v>
      </c>
      <c r="F37" s="11"/>
    </row>
    <row r="38" spans="1:6" x14ac:dyDescent="0.25">
      <c r="A38" s="13">
        <v>45707</v>
      </c>
      <c r="B38" s="11"/>
      <c r="C38" s="11"/>
      <c r="D38" s="11"/>
      <c r="E38" s="11"/>
      <c r="F38" s="11"/>
    </row>
    <row r="39" spans="1:6" x14ac:dyDescent="0.25">
      <c r="A39" s="13">
        <v>45708</v>
      </c>
      <c r="B39" s="11" t="s">
        <v>56</v>
      </c>
      <c r="C39" s="11" t="s">
        <v>295</v>
      </c>
      <c r="D39" s="11" t="s">
        <v>100</v>
      </c>
      <c r="E39" s="11">
        <v>5.75</v>
      </c>
      <c r="F39" s="11" t="s">
        <v>103</v>
      </c>
    </row>
    <row r="40" spans="1:6" x14ac:dyDescent="0.25">
      <c r="A40" s="13">
        <v>45709</v>
      </c>
      <c r="B40" s="11" t="s">
        <v>56</v>
      </c>
      <c r="C40" s="11" t="s">
        <v>295</v>
      </c>
      <c r="D40" s="11" t="s">
        <v>100</v>
      </c>
      <c r="E40" s="11">
        <v>5.75</v>
      </c>
      <c r="F40" s="11" t="s">
        <v>103</v>
      </c>
    </row>
    <row r="41" spans="1:6" x14ac:dyDescent="0.25">
      <c r="A41" s="13">
        <v>45709</v>
      </c>
      <c r="B41" s="11" t="s">
        <v>49</v>
      </c>
      <c r="C41" s="11" t="s">
        <v>121</v>
      </c>
      <c r="D41" s="11" t="s">
        <v>107</v>
      </c>
      <c r="E41" s="11">
        <v>4.5</v>
      </c>
      <c r="F41" s="11"/>
    </row>
    <row r="42" spans="1:6" x14ac:dyDescent="0.25">
      <c r="A42" s="13">
        <v>45710</v>
      </c>
      <c r="B42" s="11" t="s">
        <v>56</v>
      </c>
      <c r="C42" s="11" t="s">
        <v>295</v>
      </c>
      <c r="D42" s="11" t="s">
        <v>100</v>
      </c>
      <c r="E42" s="11">
        <v>5.75</v>
      </c>
      <c r="F42" s="11" t="s">
        <v>103</v>
      </c>
    </row>
    <row r="43" spans="1:6" x14ac:dyDescent="0.25">
      <c r="A43" s="13">
        <v>45710</v>
      </c>
      <c r="B43" s="11" t="s">
        <v>56</v>
      </c>
      <c r="C43" s="11" t="s">
        <v>105</v>
      </c>
      <c r="D43" s="11" t="s">
        <v>172</v>
      </c>
      <c r="E43" s="11">
        <v>9</v>
      </c>
      <c r="F43" s="11" t="s">
        <v>122</v>
      </c>
    </row>
    <row r="44" spans="1:6" x14ac:dyDescent="0.25">
      <c r="A44" s="13">
        <v>45710</v>
      </c>
      <c r="B44" s="11" t="s">
        <v>49</v>
      </c>
      <c r="C44" s="11" t="s">
        <v>188</v>
      </c>
      <c r="D44" s="11" t="s">
        <v>255</v>
      </c>
      <c r="E44" s="11">
        <v>4</v>
      </c>
      <c r="F44" s="11"/>
    </row>
    <row r="45" spans="1:6" x14ac:dyDescent="0.25">
      <c r="A45" s="13">
        <v>45711</v>
      </c>
      <c r="B45" s="11" t="s">
        <v>56</v>
      </c>
      <c r="C45" s="11" t="s">
        <v>295</v>
      </c>
      <c r="D45" s="11" t="s">
        <v>100</v>
      </c>
      <c r="E45" s="11">
        <v>5.75</v>
      </c>
      <c r="F45" s="11" t="s">
        <v>103</v>
      </c>
    </row>
    <row r="46" spans="1:6" x14ac:dyDescent="0.25">
      <c r="A46" s="13">
        <v>45711</v>
      </c>
      <c r="B46" s="11" t="s">
        <v>58</v>
      </c>
      <c r="C46" s="11" t="s">
        <v>219</v>
      </c>
      <c r="D46" s="11" t="s">
        <v>172</v>
      </c>
      <c r="E46" s="11">
        <v>5</v>
      </c>
      <c r="F46" s="11"/>
    </row>
    <row r="47" spans="1:6" x14ac:dyDescent="0.25">
      <c r="A47" s="13">
        <v>45712</v>
      </c>
      <c r="B47" s="11" t="s">
        <v>56</v>
      </c>
      <c r="C47" s="11" t="s">
        <v>120</v>
      </c>
      <c r="D47" s="11" t="s">
        <v>132</v>
      </c>
      <c r="E47" s="11">
        <v>4</v>
      </c>
      <c r="F47" s="11"/>
    </row>
    <row r="48" spans="1:6" x14ac:dyDescent="0.25">
      <c r="A48" s="13">
        <v>45712</v>
      </c>
      <c r="B48" s="11" t="s">
        <v>53</v>
      </c>
      <c r="C48" s="11" t="s">
        <v>298</v>
      </c>
      <c r="D48" s="11" t="s">
        <v>181</v>
      </c>
      <c r="E48" s="11">
        <v>5.5</v>
      </c>
      <c r="F48" s="11" t="s">
        <v>103</v>
      </c>
    </row>
    <row r="49" spans="1:6" x14ac:dyDescent="0.25">
      <c r="A49" s="13">
        <v>45712</v>
      </c>
      <c r="B49" s="11" t="s">
        <v>58</v>
      </c>
      <c r="C49" s="11" t="s">
        <v>296</v>
      </c>
      <c r="D49" s="11" t="s">
        <v>255</v>
      </c>
      <c r="E49" s="11">
        <v>5.5</v>
      </c>
      <c r="F49" s="11" t="s">
        <v>103</v>
      </c>
    </row>
    <row r="50" spans="1:6" x14ac:dyDescent="0.25">
      <c r="A50" s="13">
        <v>45713</v>
      </c>
      <c r="B50" s="11" t="s">
        <v>53</v>
      </c>
      <c r="C50" s="11" t="s">
        <v>126</v>
      </c>
      <c r="D50" s="11" t="s">
        <v>189</v>
      </c>
      <c r="E50" s="11">
        <v>10</v>
      </c>
      <c r="F50" s="11" t="s">
        <v>122</v>
      </c>
    </row>
    <row r="51" spans="1:6" x14ac:dyDescent="0.25">
      <c r="A51" s="13">
        <v>45714</v>
      </c>
      <c r="B51" s="11" t="s">
        <v>56</v>
      </c>
      <c r="C51" s="11" t="s">
        <v>295</v>
      </c>
      <c r="D51" s="11" t="s">
        <v>100</v>
      </c>
      <c r="E51" s="11">
        <v>5.75</v>
      </c>
      <c r="F51" s="11" t="s">
        <v>103</v>
      </c>
    </row>
    <row r="52" spans="1:6" x14ac:dyDescent="0.25">
      <c r="A52" s="13">
        <v>45714</v>
      </c>
      <c r="B52" s="11" t="s">
        <v>56</v>
      </c>
      <c r="C52" s="11" t="s">
        <v>142</v>
      </c>
      <c r="D52" s="11" t="s">
        <v>111</v>
      </c>
      <c r="E52" s="11">
        <v>4.5</v>
      </c>
      <c r="F52" s="11"/>
    </row>
    <row r="53" spans="1:6" x14ac:dyDescent="0.25">
      <c r="A53" s="13">
        <v>45715</v>
      </c>
      <c r="B53" s="11" t="s">
        <v>56</v>
      </c>
      <c r="C53" s="11" t="s">
        <v>295</v>
      </c>
      <c r="D53" s="11" t="s">
        <v>100</v>
      </c>
      <c r="E53" s="11">
        <v>5.75</v>
      </c>
      <c r="F53" s="11" t="s">
        <v>103</v>
      </c>
    </row>
    <row r="54" spans="1:6" x14ac:dyDescent="0.25">
      <c r="A54" s="13">
        <v>45715</v>
      </c>
      <c r="B54" s="11" t="s">
        <v>44</v>
      </c>
      <c r="C54" s="11" t="s">
        <v>105</v>
      </c>
      <c r="D54" s="11" t="s">
        <v>142</v>
      </c>
      <c r="E54" s="11">
        <v>2.5</v>
      </c>
      <c r="F54" s="11"/>
    </row>
    <row r="55" spans="1:6" x14ac:dyDescent="0.25">
      <c r="A55" s="13">
        <v>45716</v>
      </c>
      <c r="B55" s="11" t="s">
        <v>56</v>
      </c>
      <c r="C55" s="11" t="s">
        <v>295</v>
      </c>
      <c r="D55" s="11" t="s">
        <v>100</v>
      </c>
      <c r="E55" s="11">
        <v>5.75</v>
      </c>
      <c r="F55" s="11" t="s">
        <v>103</v>
      </c>
    </row>
    <row r="56" spans="1:6" x14ac:dyDescent="0.25">
      <c r="A56" s="13">
        <v>45716</v>
      </c>
      <c r="B56" s="11" t="s">
        <v>49</v>
      </c>
      <c r="C56" s="11" t="s">
        <v>296</v>
      </c>
      <c r="D56" s="11" t="s">
        <v>107</v>
      </c>
      <c r="E56" s="11">
        <v>5</v>
      </c>
      <c r="F56" s="11"/>
    </row>
    <row r="57" spans="1:6" x14ac:dyDescent="0.25">
      <c r="A57" s="17" t="s">
        <v>299</v>
      </c>
      <c r="B57" s="16" t="s">
        <v>49</v>
      </c>
      <c r="C57" s="16" t="s">
        <v>121</v>
      </c>
      <c r="D57" s="16" t="s">
        <v>172</v>
      </c>
      <c r="E57" s="16">
        <v>5.5</v>
      </c>
      <c r="F57" s="16" t="s">
        <v>103</v>
      </c>
    </row>
    <row r="58" spans="1:6" x14ac:dyDescent="0.25">
      <c r="A58" s="14" t="s">
        <v>299</v>
      </c>
      <c r="B58" s="11" t="s">
        <v>56</v>
      </c>
      <c r="C58" s="11" t="s">
        <v>188</v>
      </c>
      <c r="D58" s="11" t="s">
        <v>255</v>
      </c>
      <c r="E58" s="11">
        <v>4</v>
      </c>
      <c r="F58" s="11"/>
    </row>
  </sheetData>
  <pageMargins left="0.7" right="0.7" top="0.75" bottom="0.75" header="0.3" footer="0.3"/>
  <ignoredErrors>
    <ignoredError sqref="A57:A58" twoDigitTextYear="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G85"/>
  <sheetViews>
    <sheetView topLeftCell="A54" workbookViewId="0">
      <selection activeCell="A2" sqref="A1:B1048576"/>
    </sheetView>
  </sheetViews>
  <sheetFormatPr defaultRowHeight="15" x14ac:dyDescent="0.25"/>
  <cols>
    <col min="1" max="1" width="9.7109375" customWidth="1"/>
    <col min="2" max="2" width="85.42578125" customWidth="1"/>
    <col min="3" max="3" width="13.28515625" customWidth="1"/>
    <col min="4" max="4" width="13.85546875" customWidth="1"/>
    <col min="5" max="5" width="19.140625" customWidth="1"/>
    <col min="6" max="6" width="26.28515625" customWidth="1"/>
    <col min="7" max="7" width="20" customWidth="1"/>
    <col min="9" max="10" width="19.28515625" customWidth="1"/>
  </cols>
  <sheetData>
    <row r="1" spans="1:7" x14ac:dyDescent="0.25">
      <c r="A1" s="9" t="s">
        <v>83</v>
      </c>
      <c r="B1" s="9" t="s">
        <v>84</v>
      </c>
      <c r="C1" s="9" t="s">
        <v>85</v>
      </c>
      <c r="D1" s="9" t="s">
        <v>86</v>
      </c>
      <c r="E1" s="9" t="s">
        <v>16</v>
      </c>
      <c r="F1" s="9" t="s">
        <v>87</v>
      </c>
      <c r="G1" s="9" t="s">
        <v>25</v>
      </c>
    </row>
    <row r="2" spans="1:7" x14ac:dyDescent="0.25">
      <c r="A2" s="13">
        <v>45717</v>
      </c>
      <c r="B2" s="11" t="s">
        <v>56</v>
      </c>
      <c r="C2" s="11" t="s">
        <v>295</v>
      </c>
      <c r="D2" s="11" t="s">
        <v>100</v>
      </c>
      <c r="E2" s="11">
        <v>5.75</v>
      </c>
      <c r="F2" s="11" t="s">
        <v>103</v>
      </c>
      <c r="G2" s="12">
        <f>SUM(E:E)</f>
        <v>459.5</v>
      </c>
    </row>
    <row r="3" spans="1:7" x14ac:dyDescent="0.25">
      <c r="A3" s="13">
        <v>45717</v>
      </c>
      <c r="B3" s="11" t="s">
        <v>49</v>
      </c>
      <c r="C3" s="11" t="s">
        <v>296</v>
      </c>
      <c r="D3" s="11" t="s">
        <v>183</v>
      </c>
      <c r="E3" s="11">
        <v>6.5</v>
      </c>
      <c r="F3" s="11" t="s">
        <v>103</v>
      </c>
      <c r="G3" s="11"/>
    </row>
    <row r="4" spans="1:7" x14ac:dyDescent="0.25">
      <c r="A4" s="13">
        <v>45717</v>
      </c>
      <c r="B4" s="11" t="s">
        <v>56</v>
      </c>
      <c r="C4" s="11" t="s">
        <v>188</v>
      </c>
      <c r="D4" s="11" t="s">
        <v>172</v>
      </c>
      <c r="E4" s="11">
        <v>4.5</v>
      </c>
      <c r="F4" s="11"/>
      <c r="G4" s="11"/>
    </row>
    <row r="5" spans="1:7" x14ac:dyDescent="0.25">
      <c r="A5" s="13">
        <v>45718</v>
      </c>
      <c r="B5" s="11" t="s">
        <v>56</v>
      </c>
      <c r="C5" s="11" t="s">
        <v>120</v>
      </c>
      <c r="D5" s="11" t="s">
        <v>132</v>
      </c>
      <c r="E5" s="11">
        <v>4</v>
      </c>
      <c r="F5" s="11"/>
      <c r="G5" s="11"/>
    </row>
    <row r="6" spans="1:7" x14ac:dyDescent="0.25">
      <c r="A6" s="13">
        <v>45718</v>
      </c>
      <c r="B6" s="11" t="s">
        <v>46</v>
      </c>
      <c r="C6" s="11" t="s">
        <v>104</v>
      </c>
      <c r="D6" s="11" t="s">
        <v>121</v>
      </c>
      <c r="E6" s="11">
        <v>5.5</v>
      </c>
      <c r="F6" s="11" t="s">
        <v>103</v>
      </c>
      <c r="G6" s="11"/>
    </row>
    <row r="7" spans="1:7" x14ac:dyDescent="0.25">
      <c r="A7" s="13">
        <v>45718</v>
      </c>
      <c r="B7" s="11" t="s">
        <v>58</v>
      </c>
      <c r="C7" s="11" t="s">
        <v>132</v>
      </c>
      <c r="D7" s="11" t="s">
        <v>155</v>
      </c>
      <c r="E7" s="11">
        <v>6.5</v>
      </c>
      <c r="F7" s="11" t="s">
        <v>103</v>
      </c>
      <c r="G7" s="11"/>
    </row>
    <row r="8" spans="1:7" x14ac:dyDescent="0.25">
      <c r="A8" s="13">
        <v>45719</v>
      </c>
      <c r="B8" s="11"/>
      <c r="C8" s="11"/>
      <c r="D8" s="11"/>
      <c r="E8" s="11"/>
      <c r="F8" s="11"/>
      <c r="G8" s="11"/>
    </row>
    <row r="9" spans="1:7" x14ac:dyDescent="0.25">
      <c r="A9" s="13">
        <v>45720</v>
      </c>
      <c r="B9" s="11" t="s">
        <v>56</v>
      </c>
      <c r="C9" s="11" t="s">
        <v>295</v>
      </c>
      <c r="D9" s="11" t="s">
        <v>100</v>
      </c>
      <c r="E9" s="11">
        <v>5.75</v>
      </c>
      <c r="F9" s="11" t="s">
        <v>103</v>
      </c>
      <c r="G9" s="11"/>
    </row>
    <row r="10" spans="1:7" x14ac:dyDescent="0.25">
      <c r="A10" s="13">
        <v>45721</v>
      </c>
      <c r="B10" s="11" t="s">
        <v>56</v>
      </c>
      <c r="C10" s="11" t="s">
        <v>295</v>
      </c>
      <c r="D10" s="11" t="s">
        <v>100</v>
      </c>
      <c r="E10" s="11">
        <v>5.75</v>
      </c>
      <c r="F10" s="11" t="s">
        <v>103</v>
      </c>
      <c r="G10" s="11"/>
    </row>
    <row r="11" spans="1:7" x14ac:dyDescent="0.25">
      <c r="A11" s="13">
        <v>45721</v>
      </c>
      <c r="B11" s="11" t="s">
        <v>56</v>
      </c>
      <c r="C11" s="11" t="s">
        <v>121</v>
      </c>
      <c r="D11" s="11" t="s">
        <v>269</v>
      </c>
      <c r="E11" s="11">
        <v>4</v>
      </c>
      <c r="F11" s="11"/>
      <c r="G11" s="11"/>
    </row>
    <row r="12" spans="1:7" x14ac:dyDescent="0.25">
      <c r="A12" s="13">
        <v>45722</v>
      </c>
      <c r="B12" s="11" t="s">
        <v>56</v>
      </c>
      <c r="C12" s="11" t="s">
        <v>99</v>
      </c>
      <c r="D12" s="11" t="s">
        <v>100</v>
      </c>
      <c r="E12" s="11">
        <v>5</v>
      </c>
      <c r="F12" s="11"/>
      <c r="G12" s="11"/>
    </row>
    <row r="13" spans="1:7" x14ac:dyDescent="0.25">
      <c r="A13" s="13">
        <v>45722</v>
      </c>
      <c r="B13" s="11" t="s">
        <v>56</v>
      </c>
      <c r="C13" s="11" t="s">
        <v>296</v>
      </c>
      <c r="D13" s="11" t="s">
        <v>107</v>
      </c>
      <c r="E13" s="11">
        <v>5</v>
      </c>
      <c r="F13" s="11"/>
      <c r="G13" s="11"/>
    </row>
    <row r="14" spans="1:7" x14ac:dyDescent="0.25">
      <c r="A14" s="13">
        <v>45723</v>
      </c>
      <c r="B14" s="11" t="s">
        <v>56</v>
      </c>
      <c r="C14" s="11" t="s">
        <v>295</v>
      </c>
      <c r="D14" s="11" t="s">
        <v>100</v>
      </c>
      <c r="E14" s="11">
        <v>5.75</v>
      </c>
      <c r="F14" s="11" t="s">
        <v>103</v>
      </c>
      <c r="G14" s="11"/>
    </row>
    <row r="15" spans="1:7" x14ac:dyDescent="0.25">
      <c r="A15" s="13">
        <v>45723</v>
      </c>
      <c r="B15" s="11" t="s">
        <v>56</v>
      </c>
      <c r="C15" s="11" t="s">
        <v>188</v>
      </c>
      <c r="D15" s="11" t="s">
        <v>255</v>
      </c>
      <c r="E15" s="11">
        <v>4</v>
      </c>
      <c r="F15" s="11"/>
      <c r="G15" s="11"/>
    </row>
    <row r="16" spans="1:7" x14ac:dyDescent="0.25">
      <c r="A16" s="13">
        <v>45724</v>
      </c>
      <c r="B16" s="11" t="s">
        <v>56</v>
      </c>
      <c r="C16" s="11" t="s">
        <v>295</v>
      </c>
      <c r="D16" s="11" t="s">
        <v>100</v>
      </c>
      <c r="E16" s="11">
        <v>5.75</v>
      </c>
      <c r="F16" s="11" t="s">
        <v>103</v>
      </c>
      <c r="G16" s="11"/>
    </row>
    <row r="17" spans="1:7" x14ac:dyDescent="0.25">
      <c r="A17" s="13">
        <v>45724</v>
      </c>
      <c r="B17" s="11" t="s">
        <v>58</v>
      </c>
      <c r="C17" s="11" t="s">
        <v>219</v>
      </c>
      <c r="D17" s="11" t="s">
        <v>172</v>
      </c>
      <c r="E17" s="11">
        <v>5</v>
      </c>
      <c r="F17" s="11"/>
      <c r="G17" s="11"/>
    </row>
    <row r="18" spans="1:7" x14ac:dyDescent="0.25">
      <c r="A18" s="13">
        <v>45725</v>
      </c>
      <c r="B18" s="11" t="s">
        <v>56</v>
      </c>
      <c r="C18" s="11" t="s">
        <v>120</v>
      </c>
      <c r="D18" s="11" t="s">
        <v>132</v>
      </c>
      <c r="E18" s="11">
        <v>4</v>
      </c>
      <c r="F18" s="11"/>
      <c r="G18" s="11"/>
    </row>
    <row r="19" spans="1:7" x14ac:dyDescent="0.25">
      <c r="A19" s="13">
        <v>45725</v>
      </c>
      <c r="B19" s="11" t="s">
        <v>46</v>
      </c>
      <c r="C19" s="11" t="s">
        <v>132</v>
      </c>
      <c r="D19" s="11" t="s">
        <v>155</v>
      </c>
      <c r="E19" s="11">
        <v>6.5</v>
      </c>
      <c r="F19" s="11" t="s">
        <v>103</v>
      </c>
      <c r="G19" s="11"/>
    </row>
    <row r="20" spans="1:7" x14ac:dyDescent="0.25">
      <c r="A20" s="13">
        <v>45725</v>
      </c>
      <c r="B20" s="11" t="s">
        <v>58</v>
      </c>
      <c r="C20" s="11" t="s">
        <v>132</v>
      </c>
      <c r="D20" s="11" t="s">
        <v>226</v>
      </c>
      <c r="E20" s="11">
        <v>12</v>
      </c>
      <c r="F20" s="11" t="s">
        <v>122</v>
      </c>
      <c r="G20" s="11"/>
    </row>
    <row r="21" spans="1:7" x14ac:dyDescent="0.25">
      <c r="A21" s="13">
        <v>45725</v>
      </c>
      <c r="B21" s="11" t="s">
        <v>53</v>
      </c>
      <c r="C21" s="11" t="s">
        <v>100</v>
      </c>
      <c r="D21" s="11" t="s">
        <v>166</v>
      </c>
      <c r="E21" s="11">
        <v>5.5</v>
      </c>
      <c r="F21" s="11" t="s">
        <v>103</v>
      </c>
      <c r="G21" s="11"/>
    </row>
    <row r="22" spans="1:7" x14ac:dyDescent="0.25">
      <c r="A22" s="13">
        <v>45725</v>
      </c>
      <c r="B22" s="11" t="s">
        <v>48</v>
      </c>
      <c r="C22" s="11" t="s">
        <v>105</v>
      </c>
      <c r="D22" s="11" t="s">
        <v>226</v>
      </c>
      <c r="E22" s="11">
        <v>9</v>
      </c>
      <c r="F22" s="11" t="s">
        <v>122</v>
      </c>
      <c r="G22" s="11"/>
    </row>
    <row r="23" spans="1:7" x14ac:dyDescent="0.25">
      <c r="A23" s="13">
        <v>45726</v>
      </c>
      <c r="B23" s="11" t="s">
        <v>58</v>
      </c>
      <c r="C23" s="11" t="s">
        <v>118</v>
      </c>
      <c r="D23" s="11" t="s">
        <v>185</v>
      </c>
      <c r="E23" s="11">
        <v>6</v>
      </c>
      <c r="F23" s="11" t="s">
        <v>103</v>
      </c>
      <c r="G23" s="11"/>
    </row>
    <row r="24" spans="1:7" x14ac:dyDescent="0.25">
      <c r="A24" s="13">
        <v>45727</v>
      </c>
      <c r="B24" s="11" t="s">
        <v>56</v>
      </c>
      <c r="C24" s="11" t="s">
        <v>104</v>
      </c>
      <c r="D24" s="11" t="s">
        <v>100</v>
      </c>
      <c r="E24" s="11">
        <v>3</v>
      </c>
      <c r="F24" s="11"/>
      <c r="G24" s="11"/>
    </row>
    <row r="25" spans="1:7" x14ac:dyDescent="0.25">
      <c r="A25" s="13">
        <v>45727</v>
      </c>
      <c r="B25" s="11" t="s">
        <v>51</v>
      </c>
      <c r="C25" s="11" t="s">
        <v>296</v>
      </c>
      <c r="D25" s="11" t="s">
        <v>111</v>
      </c>
      <c r="E25" s="11">
        <v>5.5</v>
      </c>
      <c r="F25" s="11"/>
      <c r="G25" s="11"/>
    </row>
    <row r="26" spans="1:7" x14ac:dyDescent="0.25">
      <c r="A26" s="13">
        <v>45728</v>
      </c>
      <c r="B26" s="11" t="s">
        <v>56</v>
      </c>
      <c r="C26" s="11" t="s">
        <v>99</v>
      </c>
      <c r="D26" s="11" t="s">
        <v>100</v>
      </c>
      <c r="E26" s="11">
        <v>5</v>
      </c>
      <c r="F26" s="11"/>
      <c r="G26" s="11"/>
    </row>
    <row r="27" spans="1:7" x14ac:dyDescent="0.25">
      <c r="A27" s="13">
        <v>45729</v>
      </c>
      <c r="B27" s="11" t="s">
        <v>56</v>
      </c>
      <c r="C27" s="11" t="s">
        <v>295</v>
      </c>
      <c r="D27" s="11" t="s">
        <v>100</v>
      </c>
      <c r="E27" s="11">
        <v>5.75</v>
      </c>
      <c r="F27" s="11" t="s">
        <v>103</v>
      </c>
      <c r="G27" s="11"/>
    </row>
    <row r="28" spans="1:7" x14ac:dyDescent="0.25">
      <c r="A28" s="13">
        <v>45729</v>
      </c>
      <c r="B28" s="11" t="s">
        <v>49</v>
      </c>
      <c r="C28" s="11" t="s">
        <v>296</v>
      </c>
      <c r="D28" s="11" t="s">
        <v>107</v>
      </c>
      <c r="E28" s="11">
        <v>5</v>
      </c>
      <c r="F28" s="11"/>
      <c r="G28" s="11"/>
    </row>
    <row r="29" spans="1:7" x14ac:dyDescent="0.25">
      <c r="A29" s="13">
        <v>45730</v>
      </c>
      <c r="B29" s="11" t="s">
        <v>53</v>
      </c>
      <c r="C29" s="11" t="s">
        <v>130</v>
      </c>
      <c r="D29" s="11" t="s">
        <v>100</v>
      </c>
      <c r="E29" s="11">
        <v>6.5</v>
      </c>
      <c r="F29" s="11"/>
      <c r="G29" s="11"/>
    </row>
    <row r="30" spans="1:7" x14ac:dyDescent="0.25">
      <c r="A30" s="13">
        <v>45730</v>
      </c>
      <c r="B30" s="11" t="s">
        <v>56</v>
      </c>
      <c r="C30" s="11" t="s">
        <v>295</v>
      </c>
      <c r="D30" s="11" t="s">
        <v>100</v>
      </c>
      <c r="E30" s="11">
        <v>5.75</v>
      </c>
      <c r="F30" s="11" t="s">
        <v>103</v>
      </c>
      <c r="G30" s="11"/>
    </row>
    <row r="31" spans="1:7" x14ac:dyDescent="0.25">
      <c r="A31" s="13">
        <v>45730</v>
      </c>
      <c r="B31" s="11" t="s">
        <v>53</v>
      </c>
      <c r="C31" s="11" t="s">
        <v>121</v>
      </c>
      <c r="D31" s="11" t="s">
        <v>177</v>
      </c>
      <c r="E31" s="11">
        <v>2.5</v>
      </c>
      <c r="F31" s="11"/>
      <c r="G31" s="11"/>
    </row>
    <row r="32" spans="1:7" x14ac:dyDescent="0.25">
      <c r="A32" s="13">
        <v>45730</v>
      </c>
      <c r="B32" s="11" t="s">
        <v>56</v>
      </c>
      <c r="C32" s="11" t="s">
        <v>188</v>
      </c>
      <c r="D32" s="11" t="s">
        <v>255</v>
      </c>
      <c r="E32" s="11">
        <v>4</v>
      </c>
      <c r="F32" s="11"/>
      <c r="G32" s="11"/>
    </row>
    <row r="33" spans="1:7" x14ac:dyDescent="0.25">
      <c r="A33" s="13">
        <v>45731</v>
      </c>
      <c r="B33" s="11" t="s">
        <v>56</v>
      </c>
      <c r="C33" s="11" t="s">
        <v>295</v>
      </c>
      <c r="D33" s="11" t="s">
        <v>100</v>
      </c>
      <c r="E33" s="11">
        <v>5.75</v>
      </c>
      <c r="F33" s="11" t="s">
        <v>103</v>
      </c>
      <c r="G33" s="11"/>
    </row>
    <row r="34" spans="1:7" x14ac:dyDescent="0.25">
      <c r="A34" s="13">
        <v>45731</v>
      </c>
      <c r="B34" s="11" t="s">
        <v>51</v>
      </c>
      <c r="C34" s="11" t="s">
        <v>126</v>
      </c>
      <c r="D34" s="11" t="s">
        <v>111</v>
      </c>
      <c r="E34" s="11">
        <v>8</v>
      </c>
      <c r="F34" s="11" t="s">
        <v>122</v>
      </c>
      <c r="G34" s="11"/>
    </row>
    <row r="35" spans="1:7" x14ac:dyDescent="0.25">
      <c r="A35" s="13">
        <v>45731</v>
      </c>
      <c r="B35" s="11" t="s">
        <v>58</v>
      </c>
      <c r="C35" s="11" t="s">
        <v>219</v>
      </c>
      <c r="D35" s="11" t="s">
        <v>172</v>
      </c>
      <c r="E35" s="11">
        <v>5</v>
      </c>
      <c r="F35" s="11"/>
      <c r="G35" s="11"/>
    </row>
    <row r="36" spans="1:7" x14ac:dyDescent="0.25">
      <c r="A36" s="13">
        <v>45732</v>
      </c>
      <c r="B36" s="11" t="s">
        <v>56</v>
      </c>
      <c r="C36" s="11" t="s">
        <v>120</v>
      </c>
      <c r="D36" s="11" t="s">
        <v>132</v>
      </c>
      <c r="E36" s="11">
        <v>4</v>
      </c>
      <c r="F36" s="11"/>
      <c r="G36" s="11"/>
    </row>
    <row r="37" spans="1:7" x14ac:dyDescent="0.25">
      <c r="A37" s="13">
        <v>45732</v>
      </c>
      <c r="B37" s="11" t="s">
        <v>53</v>
      </c>
      <c r="C37" s="11" t="s">
        <v>104</v>
      </c>
      <c r="D37" s="11" t="s">
        <v>226</v>
      </c>
      <c r="E37" s="11">
        <v>13</v>
      </c>
      <c r="F37" s="11" t="s">
        <v>122</v>
      </c>
      <c r="G37" s="11"/>
    </row>
    <row r="38" spans="1:7" x14ac:dyDescent="0.25">
      <c r="A38" s="13">
        <v>45732</v>
      </c>
      <c r="B38" s="11" t="s">
        <v>48</v>
      </c>
      <c r="C38" s="11" t="s">
        <v>132</v>
      </c>
      <c r="D38" s="11" t="s">
        <v>155</v>
      </c>
      <c r="E38" s="11">
        <v>6.5</v>
      </c>
      <c r="F38" s="11" t="s">
        <v>103</v>
      </c>
      <c r="G38" s="11"/>
    </row>
    <row r="39" spans="1:7" x14ac:dyDescent="0.25">
      <c r="A39" s="13">
        <v>45732</v>
      </c>
      <c r="B39" s="11" t="s">
        <v>58</v>
      </c>
      <c r="C39" s="11" t="s">
        <v>100</v>
      </c>
      <c r="D39" s="11" t="s">
        <v>172</v>
      </c>
      <c r="E39" s="11">
        <v>8</v>
      </c>
      <c r="F39" s="11" t="s">
        <v>122</v>
      </c>
      <c r="G39" s="11"/>
    </row>
    <row r="40" spans="1:7" x14ac:dyDescent="0.25">
      <c r="A40" s="13">
        <v>45733</v>
      </c>
      <c r="B40" s="11" t="s">
        <v>58</v>
      </c>
      <c r="C40" s="11" t="s">
        <v>118</v>
      </c>
      <c r="D40" s="11" t="s">
        <v>111</v>
      </c>
      <c r="E40" s="11">
        <v>11</v>
      </c>
      <c r="F40" s="11" t="s">
        <v>122</v>
      </c>
      <c r="G40" s="11"/>
    </row>
    <row r="41" spans="1:7" x14ac:dyDescent="0.25">
      <c r="A41" s="13">
        <v>45733</v>
      </c>
      <c r="B41" s="11" t="s">
        <v>53</v>
      </c>
      <c r="C41" s="11" t="s">
        <v>104</v>
      </c>
      <c r="D41" s="11" t="s">
        <v>269</v>
      </c>
      <c r="E41" s="11">
        <v>9</v>
      </c>
      <c r="F41" s="11" t="s">
        <v>122</v>
      </c>
      <c r="G41" s="11"/>
    </row>
    <row r="42" spans="1:7" x14ac:dyDescent="0.25">
      <c r="A42" s="13">
        <v>45734</v>
      </c>
      <c r="B42" s="11" t="s">
        <v>56</v>
      </c>
      <c r="C42" s="11" t="s">
        <v>295</v>
      </c>
      <c r="D42" s="11" t="s">
        <v>100</v>
      </c>
      <c r="E42" s="11">
        <v>5.75</v>
      </c>
      <c r="F42" s="11" t="s">
        <v>103</v>
      </c>
      <c r="G42" s="11"/>
    </row>
    <row r="43" spans="1:7" x14ac:dyDescent="0.25">
      <c r="A43" s="13">
        <v>45735</v>
      </c>
      <c r="B43" s="11" t="s">
        <v>56</v>
      </c>
      <c r="C43" s="11" t="s">
        <v>295</v>
      </c>
      <c r="D43" s="11" t="s">
        <v>100</v>
      </c>
      <c r="E43" s="11">
        <v>5.75</v>
      </c>
      <c r="F43" s="11" t="s">
        <v>103</v>
      </c>
      <c r="G43" s="11"/>
    </row>
    <row r="44" spans="1:7" x14ac:dyDescent="0.25">
      <c r="A44" s="13">
        <v>45736</v>
      </c>
      <c r="B44" s="11" t="s">
        <v>56</v>
      </c>
      <c r="C44" s="11" t="s">
        <v>295</v>
      </c>
      <c r="D44" s="11" t="s">
        <v>100</v>
      </c>
      <c r="E44" s="11">
        <v>5.75</v>
      </c>
      <c r="F44" s="11" t="s">
        <v>103</v>
      </c>
      <c r="G44" s="11"/>
    </row>
    <row r="45" spans="1:7" x14ac:dyDescent="0.25">
      <c r="A45" s="13">
        <v>45736</v>
      </c>
      <c r="B45" s="11" t="s">
        <v>53</v>
      </c>
      <c r="C45" s="11" t="s">
        <v>121</v>
      </c>
      <c r="D45" s="11" t="s">
        <v>111</v>
      </c>
      <c r="E45" s="11">
        <v>5</v>
      </c>
      <c r="F45" s="11"/>
      <c r="G45" s="11"/>
    </row>
    <row r="46" spans="1:7" x14ac:dyDescent="0.25">
      <c r="A46" s="13">
        <v>45737</v>
      </c>
      <c r="B46" s="11" t="s">
        <v>56</v>
      </c>
      <c r="C46" s="11" t="s">
        <v>295</v>
      </c>
      <c r="D46" s="11" t="s">
        <v>100</v>
      </c>
      <c r="E46" s="11">
        <v>5.75</v>
      </c>
      <c r="F46" s="11" t="s">
        <v>103</v>
      </c>
      <c r="G46" s="11"/>
    </row>
    <row r="47" spans="1:7" x14ac:dyDescent="0.25">
      <c r="A47" s="13">
        <v>45737</v>
      </c>
      <c r="B47" s="11" t="s">
        <v>49</v>
      </c>
      <c r="C47" s="11" t="s">
        <v>296</v>
      </c>
      <c r="D47" s="11" t="s">
        <v>188</v>
      </c>
      <c r="E47" s="11">
        <v>2</v>
      </c>
      <c r="F47" s="11"/>
      <c r="G47" s="11"/>
    </row>
    <row r="48" spans="1:7" x14ac:dyDescent="0.25">
      <c r="A48" s="13">
        <v>45737</v>
      </c>
      <c r="B48" s="11" t="s">
        <v>56</v>
      </c>
      <c r="C48" s="11" t="s">
        <v>188</v>
      </c>
      <c r="D48" s="11" t="s">
        <v>255</v>
      </c>
      <c r="E48" s="11"/>
      <c r="F48" s="11"/>
      <c r="G48" s="11"/>
    </row>
    <row r="49" spans="1:7" x14ac:dyDescent="0.25">
      <c r="A49" s="13">
        <v>45738</v>
      </c>
      <c r="B49" s="11" t="s">
        <v>56</v>
      </c>
      <c r="C49" s="11" t="s">
        <v>295</v>
      </c>
      <c r="D49" s="11" t="s">
        <v>100</v>
      </c>
      <c r="E49" s="11">
        <v>5.75</v>
      </c>
      <c r="F49" s="11" t="s">
        <v>103</v>
      </c>
      <c r="G49" s="11"/>
    </row>
    <row r="50" spans="1:7" x14ac:dyDescent="0.25">
      <c r="A50" s="13">
        <v>45738</v>
      </c>
      <c r="B50" s="11" t="s">
        <v>58</v>
      </c>
      <c r="C50" s="11" t="s">
        <v>219</v>
      </c>
      <c r="D50" s="11" t="s">
        <v>172</v>
      </c>
      <c r="E50" s="11">
        <v>5</v>
      </c>
      <c r="F50" s="11"/>
      <c r="G50" s="11"/>
    </row>
    <row r="51" spans="1:7" x14ac:dyDescent="0.25">
      <c r="A51" s="13">
        <v>45739</v>
      </c>
      <c r="B51" s="11" t="s">
        <v>56</v>
      </c>
      <c r="C51" s="11" t="s">
        <v>120</v>
      </c>
      <c r="D51" s="11" t="s">
        <v>132</v>
      </c>
      <c r="E51" s="11">
        <v>4</v>
      </c>
      <c r="F51" s="11"/>
      <c r="G51" s="11"/>
    </row>
    <row r="52" spans="1:7" x14ac:dyDescent="0.25">
      <c r="A52" s="13">
        <v>45739</v>
      </c>
      <c r="B52" s="11" t="s">
        <v>46</v>
      </c>
      <c r="C52" s="11" t="s">
        <v>223</v>
      </c>
      <c r="D52" s="11" t="s">
        <v>185</v>
      </c>
      <c r="E52" s="11">
        <v>5.5</v>
      </c>
      <c r="F52" s="11" t="s">
        <v>103</v>
      </c>
      <c r="G52" s="11"/>
    </row>
    <row r="53" spans="1:7" x14ac:dyDescent="0.25">
      <c r="A53" s="13">
        <v>45739</v>
      </c>
      <c r="B53" s="11" t="s">
        <v>58</v>
      </c>
      <c r="C53" s="11" t="s">
        <v>219</v>
      </c>
      <c r="D53" s="11" t="s">
        <v>172</v>
      </c>
      <c r="E53" s="11">
        <v>5</v>
      </c>
      <c r="F53" s="11"/>
      <c r="G53" s="11"/>
    </row>
    <row r="54" spans="1:7" x14ac:dyDescent="0.25">
      <c r="A54" s="13">
        <v>45740</v>
      </c>
      <c r="B54" s="11" t="s">
        <v>53</v>
      </c>
      <c r="C54" s="11" t="s">
        <v>120</v>
      </c>
      <c r="D54" s="11" t="s">
        <v>102</v>
      </c>
      <c r="E54" s="11">
        <v>7.5</v>
      </c>
      <c r="F54" s="11"/>
      <c r="G54" s="11"/>
    </row>
    <row r="55" spans="1:7" x14ac:dyDescent="0.25">
      <c r="A55" s="13">
        <v>45741</v>
      </c>
      <c r="B55" s="11" t="s">
        <v>56</v>
      </c>
      <c r="C55" s="11" t="s">
        <v>295</v>
      </c>
      <c r="D55" s="11" t="s">
        <v>100</v>
      </c>
      <c r="E55" s="11">
        <v>5.75</v>
      </c>
      <c r="F55" s="11" t="s">
        <v>103</v>
      </c>
      <c r="G55" s="11"/>
    </row>
    <row r="56" spans="1:7" x14ac:dyDescent="0.25">
      <c r="A56" s="13">
        <v>45742</v>
      </c>
      <c r="B56" s="11" t="s">
        <v>56</v>
      </c>
      <c r="C56" s="11" t="s">
        <v>295</v>
      </c>
      <c r="D56" s="11" t="s">
        <v>100</v>
      </c>
      <c r="E56" s="11">
        <v>5.75</v>
      </c>
      <c r="F56" s="11" t="s">
        <v>103</v>
      </c>
      <c r="G56" s="11"/>
    </row>
    <row r="57" spans="1:7" x14ac:dyDescent="0.25">
      <c r="A57" s="13">
        <v>45742</v>
      </c>
      <c r="B57" s="11" t="s">
        <v>56</v>
      </c>
      <c r="C57" s="11" t="s">
        <v>121</v>
      </c>
      <c r="D57" s="11" t="s">
        <v>269</v>
      </c>
      <c r="E57" s="11">
        <v>4</v>
      </c>
      <c r="F57" s="11"/>
      <c r="G57" s="11"/>
    </row>
    <row r="58" spans="1:7" x14ac:dyDescent="0.25">
      <c r="A58" s="13">
        <v>45743</v>
      </c>
      <c r="B58" s="11" t="s">
        <v>56</v>
      </c>
      <c r="C58" s="11" t="s">
        <v>295</v>
      </c>
      <c r="D58" s="11" t="s">
        <v>100</v>
      </c>
      <c r="E58" s="11">
        <v>5.75</v>
      </c>
      <c r="F58" s="11" t="s">
        <v>103</v>
      </c>
      <c r="G58" s="11"/>
    </row>
    <row r="59" spans="1:7" x14ac:dyDescent="0.25">
      <c r="A59" s="13">
        <v>45743</v>
      </c>
      <c r="B59" s="11" t="s">
        <v>49</v>
      </c>
      <c r="C59" s="11" t="s">
        <v>121</v>
      </c>
      <c r="D59" s="11" t="s">
        <v>107</v>
      </c>
      <c r="E59" s="11">
        <v>4.5</v>
      </c>
      <c r="F59" s="11"/>
      <c r="G59" s="11"/>
    </row>
    <row r="60" spans="1:7" x14ac:dyDescent="0.25">
      <c r="A60" s="13">
        <v>45744</v>
      </c>
      <c r="B60" s="11" t="s">
        <v>56</v>
      </c>
      <c r="C60" s="11" t="s">
        <v>295</v>
      </c>
      <c r="D60" s="11" t="s">
        <v>100</v>
      </c>
      <c r="E60" s="11">
        <v>5.75</v>
      </c>
      <c r="F60" s="11" t="s">
        <v>103</v>
      </c>
      <c r="G60" s="11"/>
    </row>
    <row r="61" spans="1:7" x14ac:dyDescent="0.25">
      <c r="A61" s="13">
        <v>45744</v>
      </c>
      <c r="B61" s="11" t="s">
        <v>53</v>
      </c>
      <c r="C61" s="11" t="s">
        <v>296</v>
      </c>
      <c r="D61" s="11" t="s">
        <v>189</v>
      </c>
      <c r="E61" s="11">
        <v>7</v>
      </c>
      <c r="F61" s="11" t="s">
        <v>103</v>
      </c>
      <c r="G61" s="11"/>
    </row>
    <row r="62" spans="1:7" x14ac:dyDescent="0.25">
      <c r="A62" s="13">
        <v>45744</v>
      </c>
      <c r="B62" s="11" t="s">
        <v>56</v>
      </c>
      <c r="C62" s="11" t="s">
        <v>188</v>
      </c>
      <c r="D62" s="11" t="s">
        <v>255</v>
      </c>
      <c r="E62" s="11">
        <v>4</v>
      </c>
      <c r="F62" s="11"/>
      <c r="G62" s="11"/>
    </row>
    <row r="63" spans="1:7" x14ac:dyDescent="0.25">
      <c r="A63" s="13">
        <v>45745</v>
      </c>
      <c r="B63" s="11" t="s">
        <v>56</v>
      </c>
      <c r="C63" s="11" t="s">
        <v>295</v>
      </c>
      <c r="D63" s="11" t="s">
        <v>100</v>
      </c>
      <c r="E63" s="11">
        <v>5.75</v>
      </c>
      <c r="F63" s="11" t="s">
        <v>103</v>
      </c>
      <c r="G63" s="11"/>
    </row>
    <row r="64" spans="1:7" x14ac:dyDescent="0.25">
      <c r="A64" s="13">
        <v>45745</v>
      </c>
      <c r="B64" s="11" t="s">
        <v>58</v>
      </c>
      <c r="C64" s="11" t="s">
        <v>296</v>
      </c>
      <c r="D64" s="11" t="s">
        <v>172</v>
      </c>
      <c r="E64" s="11">
        <v>6</v>
      </c>
      <c r="F64" s="11" t="s">
        <v>103</v>
      </c>
      <c r="G64" s="11"/>
    </row>
    <row r="65" spans="1:7" x14ac:dyDescent="0.25">
      <c r="A65" s="13">
        <v>45746</v>
      </c>
      <c r="B65" s="11" t="s">
        <v>56</v>
      </c>
      <c r="C65" s="11" t="s">
        <v>120</v>
      </c>
      <c r="D65" s="11" t="s">
        <v>132</v>
      </c>
      <c r="E65" s="11">
        <v>4</v>
      </c>
      <c r="F65" s="11"/>
      <c r="G65" s="11"/>
    </row>
    <row r="66" spans="1:7" x14ac:dyDescent="0.25">
      <c r="A66" s="13">
        <v>45746</v>
      </c>
      <c r="B66" s="11" t="s">
        <v>48</v>
      </c>
      <c r="C66" s="11" t="s">
        <v>104</v>
      </c>
      <c r="D66" s="11" t="s">
        <v>121</v>
      </c>
      <c r="E66" s="11">
        <v>5.5</v>
      </c>
      <c r="F66" s="11" t="s">
        <v>103</v>
      </c>
      <c r="G66" s="11"/>
    </row>
    <row r="67" spans="1:7" x14ac:dyDescent="0.25">
      <c r="A67" s="13">
        <v>45746</v>
      </c>
      <c r="B67" s="11" t="s">
        <v>58</v>
      </c>
      <c r="C67" s="11" t="s">
        <v>132</v>
      </c>
      <c r="D67" s="11" t="s">
        <v>111</v>
      </c>
      <c r="E67" s="11">
        <v>9</v>
      </c>
      <c r="F67" s="11" t="s">
        <v>122</v>
      </c>
      <c r="G67" s="11"/>
    </row>
    <row r="68" spans="1:7" x14ac:dyDescent="0.25">
      <c r="A68" s="13">
        <v>45747</v>
      </c>
      <c r="B68" s="11"/>
      <c r="C68" s="11"/>
      <c r="D68" s="11"/>
      <c r="E68" s="11"/>
      <c r="F68" s="11"/>
      <c r="G68" s="11"/>
    </row>
    <row r="69" spans="1:7" x14ac:dyDescent="0.25">
      <c r="A69" s="13">
        <v>45719</v>
      </c>
      <c r="B69" s="11" t="s">
        <v>123</v>
      </c>
      <c r="C69" s="11" t="s">
        <v>118</v>
      </c>
      <c r="D69" s="11" t="s">
        <v>102</v>
      </c>
      <c r="E69" s="11">
        <v>5.5</v>
      </c>
      <c r="F69" s="11" t="s">
        <v>103</v>
      </c>
      <c r="G69" s="11"/>
    </row>
    <row r="70" spans="1:7" x14ac:dyDescent="0.25">
      <c r="A70" s="13">
        <v>45719</v>
      </c>
      <c r="B70" s="11" t="s">
        <v>124</v>
      </c>
      <c r="C70" s="11" t="s">
        <v>118</v>
      </c>
      <c r="D70" s="11" t="s">
        <v>102</v>
      </c>
      <c r="E70" s="11">
        <v>5.5</v>
      </c>
      <c r="F70" s="11" t="s">
        <v>103</v>
      </c>
      <c r="G70" s="11"/>
    </row>
    <row r="71" spans="1:7" x14ac:dyDescent="0.25">
      <c r="A71" s="13">
        <v>45719</v>
      </c>
      <c r="B71" s="11" t="s">
        <v>125</v>
      </c>
      <c r="C71" s="11" t="s">
        <v>118</v>
      </c>
      <c r="D71" s="11" t="s">
        <v>126</v>
      </c>
      <c r="E71" s="11">
        <v>3</v>
      </c>
      <c r="F71" s="11"/>
      <c r="G71" s="11"/>
    </row>
    <row r="72" spans="1:7" x14ac:dyDescent="0.25">
      <c r="A72" s="13">
        <v>45727</v>
      </c>
      <c r="B72" s="11" t="s">
        <v>127</v>
      </c>
      <c r="C72" s="11" t="s">
        <v>118</v>
      </c>
      <c r="D72" s="11" t="s">
        <v>105</v>
      </c>
      <c r="E72" s="11">
        <v>5</v>
      </c>
      <c r="F72" s="11"/>
      <c r="G72" s="11"/>
    </row>
    <row r="73" spans="1:7" x14ac:dyDescent="0.25">
      <c r="A73" s="13">
        <v>45727</v>
      </c>
      <c r="B73" s="11" t="s">
        <v>128</v>
      </c>
      <c r="C73" s="11" t="s">
        <v>118</v>
      </c>
      <c r="D73" s="11" t="s">
        <v>105</v>
      </c>
      <c r="E73" s="11">
        <v>5</v>
      </c>
      <c r="F73" s="11"/>
      <c r="G73" s="11"/>
    </row>
    <row r="74" spans="1:7" x14ac:dyDescent="0.25">
      <c r="A74" s="13">
        <v>45728</v>
      </c>
      <c r="B74" s="11" t="s">
        <v>127</v>
      </c>
      <c r="C74" s="11" t="s">
        <v>118</v>
      </c>
      <c r="D74" s="11" t="s">
        <v>105</v>
      </c>
      <c r="E74" s="11">
        <v>5</v>
      </c>
      <c r="F74" s="11"/>
      <c r="G74" s="11"/>
    </row>
    <row r="75" spans="1:7" x14ac:dyDescent="0.25">
      <c r="A75" s="13">
        <v>45728</v>
      </c>
      <c r="B75" s="11" t="s">
        <v>128</v>
      </c>
      <c r="C75" s="11" t="s">
        <v>118</v>
      </c>
      <c r="D75" s="11" t="s">
        <v>105</v>
      </c>
      <c r="E75" s="11">
        <v>5</v>
      </c>
      <c r="F75" s="11"/>
      <c r="G75" s="11"/>
    </row>
    <row r="76" spans="1:7" x14ac:dyDescent="0.25">
      <c r="A76" s="13">
        <v>45732</v>
      </c>
      <c r="B76" s="11" t="s">
        <v>129</v>
      </c>
      <c r="C76" s="11" t="s">
        <v>130</v>
      </c>
      <c r="D76" s="11" t="s">
        <v>102</v>
      </c>
      <c r="E76" s="11">
        <v>8</v>
      </c>
      <c r="F76" s="11" t="s">
        <v>122</v>
      </c>
      <c r="G76" s="11"/>
    </row>
    <row r="77" spans="1:7" x14ac:dyDescent="0.25">
      <c r="A77" s="13">
        <v>45732</v>
      </c>
      <c r="B77" s="11" t="s">
        <v>131</v>
      </c>
      <c r="C77" s="11" t="s">
        <v>130</v>
      </c>
      <c r="D77" s="11" t="s">
        <v>132</v>
      </c>
      <c r="E77" s="11">
        <v>5</v>
      </c>
      <c r="F77" s="11"/>
      <c r="G77" s="11"/>
    </row>
    <row r="78" spans="1:7" x14ac:dyDescent="0.25">
      <c r="A78" s="13">
        <v>45732</v>
      </c>
      <c r="B78" s="11" t="s">
        <v>133</v>
      </c>
      <c r="C78" s="11" t="s">
        <v>130</v>
      </c>
      <c r="D78" s="11" t="s">
        <v>132</v>
      </c>
      <c r="E78" s="11">
        <v>5</v>
      </c>
      <c r="F78" s="11"/>
      <c r="G78" s="11"/>
    </row>
    <row r="79" spans="1:7" x14ac:dyDescent="0.25">
      <c r="A79" s="13">
        <v>45732</v>
      </c>
      <c r="B79" s="11" t="s">
        <v>134</v>
      </c>
      <c r="C79" s="11" t="s">
        <v>130</v>
      </c>
      <c r="D79" s="11" t="s">
        <v>118</v>
      </c>
      <c r="E79" s="11">
        <v>3</v>
      </c>
      <c r="F79" s="11"/>
      <c r="G79" s="11"/>
    </row>
    <row r="80" spans="1:7" x14ac:dyDescent="0.25">
      <c r="A80" s="13">
        <v>45732</v>
      </c>
      <c r="B80" s="11" t="s">
        <v>135</v>
      </c>
      <c r="C80" s="11" t="s">
        <v>132</v>
      </c>
      <c r="D80" s="11" t="s">
        <v>102</v>
      </c>
      <c r="E80" s="11">
        <v>4</v>
      </c>
      <c r="F80" s="11"/>
      <c r="G80" s="11"/>
    </row>
    <row r="81" spans="1:7" x14ac:dyDescent="0.25">
      <c r="A81" s="13">
        <v>45732</v>
      </c>
      <c r="B81" s="11" t="s">
        <v>136</v>
      </c>
      <c r="C81" s="11" t="s">
        <v>132</v>
      </c>
      <c r="D81" s="11" t="s">
        <v>102</v>
      </c>
      <c r="E81" s="11">
        <v>4</v>
      </c>
      <c r="F81" s="11"/>
      <c r="G81" s="11"/>
    </row>
    <row r="82" spans="1:7" x14ac:dyDescent="0.25">
      <c r="A82" s="13">
        <v>45739</v>
      </c>
      <c r="B82" s="11" t="s">
        <v>137</v>
      </c>
      <c r="C82" s="11" t="s">
        <v>120</v>
      </c>
      <c r="D82" s="11" t="s">
        <v>105</v>
      </c>
      <c r="E82" s="11">
        <v>6.5</v>
      </c>
      <c r="F82" s="11" t="s">
        <v>103</v>
      </c>
      <c r="G82" s="11"/>
    </row>
    <row r="83" spans="1:7" x14ac:dyDescent="0.25">
      <c r="A83" s="13">
        <v>45739</v>
      </c>
      <c r="B83" s="11" t="s">
        <v>138</v>
      </c>
      <c r="C83" s="11" t="s">
        <v>120</v>
      </c>
      <c r="D83" s="11" t="s">
        <v>105</v>
      </c>
      <c r="E83" s="11">
        <v>6.5</v>
      </c>
      <c r="F83" s="11" t="s">
        <v>103</v>
      </c>
      <c r="G83" s="11"/>
    </row>
    <row r="84" spans="1:7" x14ac:dyDescent="0.25">
      <c r="A84" s="13">
        <v>45739</v>
      </c>
      <c r="B84" s="11" t="s">
        <v>139</v>
      </c>
      <c r="C84" s="11" t="s">
        <v>120</v>
      </c>
      <c r="D84" s="11" t="s">
        <v>105</v>
      </c>
      <c r="E84" s="11">
        <v>6.5</v>
      </c>
      <c r="F84" s="11" t="s">
        <v>103</v>
      </c>
      <c r="G84" s="11"/>
    </row>
    <row r="85" spans="1:7" x14ac:dyDescent="0.25">
      <c r="A85" s="13">
        <v>45739</v>
      </c>
      <c r="B85" s="11" t="s">
        <v>140</v>
      </c>
      <c r="C85" s="11" t="s">
        <v>120</v>
      </c>
      <c r="D85" s="11" t="s">
        <v>105</v>
      </c>
      <c r="E85" s="11">
        <v>6.5</v>
      </c>
      <c r="F85" s="11" t="s">
        <v>103</v>
      </c>
      <c r="G85" s="1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39997558519241921"/>
  </sheetPr>
  <dimension ref="A1:G61"/>
  <sheetViews>
    <sheetView topLeftCell="A42" workbookViewId="0">
      <selection activeCell="A2" sqref="A1:B1048576"/>
    </sheetView>
  </sheetViews>
  <sheetFormatPr defaultRowHeight="15" x14ac:dyDescent="0.25"/>
  <cols>
    <col min="1" max="1" width="10.140625" customWidth="1"/>
    <col min="2" max="2" width="81.5703125" customWidth="1"/>
    <col min="3" max="3" width="12.28515625" customWidth="1"/>
    <col min="4" max="4" width="12" customWidth="1"/>
    <col min="5" max="5" width="17.85546875" customWidth="1"/>
    <col min="6" max="6" width="26" customWidth="1"/>
    <col min="7" max="7" width="19.28515625" bestFit="1" customWidth="1"/>
  </cols>
  <sheetData>
    <row r="1" spans="1:7" x14ac:dyDescent="0.25">
      <c r="A1" s="9" t="s">
        <v>83</v>
      </c>
      <c r="B1" s="9" t="s">
        <v>84</v>
      </c>
      <c r="C1" s="9" t="s">
        <v>85</v>
      </c>
      <c r="D1" s="9" t="s">
        <v>86</v>
      </c>
      <c r="E1" s="9" t="s">
        <v>16</v>
      </c>
      <c r="F1" s="9" t="s">
        <v>87</v>
      </c>
      <c r="G1" s="9" t="s">
        <v>25</v>
      </c>
    </row>
    <row r="2" spans="1:7" x14ac:dyDescent="0.25">
      <c r="A2" s="13">
        <v>45748</v>
      </c>
      <c r="B2" s="11"/>
      <c r="C2" s="11"/>
      <c r="D2" s="11"/>
      <c r="E2" s="11"/>
      <c r="F2" s="11"/>
      <c r="G2" s="12">
        <f>SUM(E:E)</f>
        <v>312.5</v>
      </c>
    </row>
    <row r="3" spans="1:7" x14ac:dyDescent="0.25">
      <c r="A3" s="13">
        <v>45749</v>
      </c>
      <c r="B3" s="11" t="s">
        <v>56</v>
      </c>
      <c r="C3" s="11" t="s">
        <v>99</v>
      </c>
      <c r="D3" s="11" t="s">
        <v>157</v>
      </c>
      <c r="E3" s="11">
        <v>4.5</v>
      </c>
      <c r="F3" s="11"/>
      <c r="G3" s="11"/>
    </row>
    <row r="4" spans="1:7" x14ac:dyDescent="0.25">
      <c r="A4" s="13">
        <v>45750</v>
      </c>
      <c r="B4" s="11" t="s">
        <v>56</v>
      </c>
      <c r="C4" s="11" t="s">
        <v>120</v>
      </c>
      <c r="D4" s="11" t="s">
        <v>100</v>
      </c>
      <c r="E4" s="11">
        <v>5.5</v>
      </c>
      <c r="F4" s="11" t="s">
        <v>103</v>
      </c>
      <c r="G4" s="11"/>
    </row>
    <row r="5" spans="1:7" x14ac:dyDescent="0.25">
      <c r="A5" s="13">
        <v>45750</v>
      </c>
      <c r="B5" s="11" t="s">
        <v>56</v>
      </c>
      <c r="C5" s="11" t="s">
        <v>300</v>
      </c>
      <c r="D5" s="11" t="s">
        <v>269</v>
      </c>
      <c r="E5" s="11">
        <v>5</v>
      </c>
      <c r="F5" s="11"/>
      <c r="G5" s="11"/>
    </row>
    <row r="6" spans="1:7" x14ac:dyDescent="0.25">
      <c r="A6" s="13">
        <v>45751</v>
      </c>
      <c r="B6" s="11" t="s">
        <v>56</v>
      </c>
      <c r="C6" s="11" t="s">
        <v>120</v>
      </c>
      <c r="D6" s="11" t="s">
        <v>100</v>
      </c>
      <c r="E6" s="11">
        <v>5.5</v>
      </c>
      <c r="F6" s="11" t="s">
        <v>103</v>
      </c>
      <c r="G6" s="11"/>
    </row>
    <row r="7" spans="1:7" x14ac:dyDescent="0.25">
      <c r="A7" s="13">
        <v>45751</v>
      </c>
      <c r="B7" s="11" t="s">
        <v>56</v>
      </c>
      <c r="C7" s="11" t="s">
        <v>219</v>
      </c>
      <c r="D7" s="11" t="s">
        <v>255</v>
      </c>
      <c r="E7" s="11">
        <v>4.5</v>
      </c>
      <c r="F7" s="11"/>
      <c r="G7" s="11"/>
    </row>
    <row r="8" spans="1:7" x14ac:dyDescent="0.25">
      <c r="A8" s="13">
        <v>45752</v>
      </c>
      <c r="B8" s="11" t="s">
        <v>56</v>
      </c>
      <c r="C8" s="11" t="s">
        <v>120</v>
      </c>
      <c r="D8" s="11" t="s">
        <v>100</v>
      </c>
      <c r="E8" s="11">
        <v>5.5</v>
      </c>
      <c r="F8" s="11" t="s">
        <v>103</v>
      </c>
      <c r="G8" s="11"/>
    </row>
    <row r="9" spans="1:7" x14ac:dyDescent="0.25">
      <c r="A9" s="13">
        <v>45752</v>
      </c>
      <c r="B9" s="11" t="s">
        <v>53</v>
      </c>
      <c r="C9" s="11" t="s">
        <v>181</v>
      </c>
      <c r="D9" s="11" t="s">
        <v>183</v>
      </c>
      <c r="E9" s="11">
        <v>7.5</v>
      </c>
      <c r="F9" s="11" t="s">
        <v>103</v>
      </c>
      <c r="G9" s="11"/>
    </row>
    <row r="10" spans="1:7" x14ac:dyDescent="0.25">
      <c r="A10" s="13">
        <v>45752</v>
      </c>
      <c r="B10" s="11" t="s">
        <v>58</v>
      </c>
      <c r="C10" s="11" t="s">
        <v>219</v>
      </c>
      <c r="D10" s="11" t="s">
        <v>172</v>
      </c>
      <c r="E10" s="11">
        <v>5</v>
      </c>
      <c r="F10" s="11"/>
      <c r="G10" s="11"/>
    </row>
    <row r="11" spans="1:7" x14ac:dyDescent="0.25">
      <c r="A11" s="13">
        <v>45753</v>
      </c>
      <c r="B11" s="11" t="s">
        <v>56</v>
      </c>
      <c r="C11" s="11" t="s">
        <v>120</v>
      </c>
      <c r="D11" s="11" t="s">
        <v>301</v>
      </c>
      <c r="E11" s="11">
        <v>4.5</v>
      </c>
      <c r="F11" s="11"/>
      <c r="G11" s="11"/>
    </row>
    <row r="12" spans="1:7" x14ac:dyDescent="0.25">
      <c r="A12" s="13">
        <v>45753</v>
      </c>
      <c r="B12" s="11" t="s">
        <v>49</v>
      </c>
      <c r="C12" s="11" t="s">
        <v>120</v>
      </c>
      <c r="D12" s="11" t="s">
        <v>104</v>
      </c>
      <c r="E12" s="11">
        <v>3</v>
      </c>
      <c r="F12" s="11"/>
      <c r="G12" s="11"/>
    </row>
    <row r="13" spans="1:7" x14ac:dyDescent="0.25">
      <c r="A13" s="13">
        <v>45753</v>
      </c>
      <c r="B13" s="11" t="s">
        <v>58</v>
      </c>
      <c r="C13" s="11" t="s">
        <v>301</v>
      </c>
      <c r="D13" s="11" t="s">
        <v>166</v>
      </c>
      <c r="E13" s="11">
        <v>7</v>
      </c>
      <c r="F13" s="11" t="s">
        <v>103</v>
      </c>
      <c r="G13" s="11"/>
    </row>
    <row r="14" spans="1:7" x14ac:dyDescent="0.25">
      <c r="A14" s="13">
        <v>45753</v>
      </c>
      <c r="B14" s="11" t="s">
        <v>48</v>
      </c>
      <c r="C14" s="11" t="s">
        <v>100</v>
      </c>
      <c r="D14" s="11" t="s">
        <v>189</v>
      </c>
      <c r="E14" s="11">
        <v>9</v>
      </c>
      <c r="F14" s="11" t="s">
        <v>122</v>
      </c>
      <c r="G14" s="11"/>
    </row>
    <row r="15" spans="1:7" x14ac:dyDescent="0.25">
      <c r="A15" s="13">
        <v>45753</v>
      </c>
      <c r="B15" s="11" t="s">
        <v>53</v>
      </c>
      <c r="C15" s="11" t="s">
        <v>105</v>
      </c>
      <c r="D15" s="11" t="s">
        <v>302</v>
      </c>
      <c r="E15" s="11">
        <v>8.5</v>
      </c>
      <c r="F15" s="11" t="s">
        <v>122</v>
      </c>
      <c r="G15" s="11"/>
    </row>
    <row r="16" spans="1:7" x14ac:dyDescent="0.25">
      <c r="A16" s="13">
        <v>45754</v>
      </c>
      <c r="B16" s="11" t="s">
        <v>46</v>
      </c>
      <c r="C16" s="11" t="s">
        <v>300</v>
      </c>
      <c r="D16" s="11" t="s">
        <v>111</v>
      </c>
      <c r="E16" s="11">
        <v>5.5</v>
      </c>
      <c r="F16" s="11" t="s">
        <v>103</v>
      </c>
      <c r="G16" s="11"/>
    </row>
    <row r="17" spans="1:7" x14ac:dyDescent="0.25">
      <c r="A17" s="13">
        <v>45755</v>
      </c>
      <c r="B17" s="11" t="s">
        <v>56</v>
      </c>
      <c r="C17" s="11" t="s">
        <v>120</v>
      </c>
      <c r="D17" s="11" t="s">
        <v>100</v>
      </c>
      <c r="E17" s="11">
        <v>5.5</v>
      </c>
      <c r="F17" s="11" t="s">
        <v>103</v>
      </c>
      <c r="G17" s="11"/>
    </row>
    <row r="18" spans="1:7" x14ac:dyDescent="0.25">
      <c r="A18" s="13">
        <v>45756</v>
      </c>
      <c r="B18" s="11" t="s">
        <v>56</v>
      </c>
      <c r="C18" s="11" t="s">
        <v>120</v>
      </c>
      <c r="D18" s="11" t="s">
        <v>157</v>
      </c>
      <c r="E18" s="11">
        <v>5.5</v>
      </c>
      <c r="F18" s="11"/>
      <c r="G18" s="11"/>
    </row>
    <row r="19" spans="1:7" x14ac:dyDescent="0.25">
      <c r="A19" s="13">
        <v>45757</v>
      </c>
      <c r="B19" s="11" t="s">
        <v>56</v>
      </c>
      <c r="C19" s="11" t="s">
        <v>120</v>
      </c>
      <c r="D19" s="11" t="s">
        <v>100</v>
      </c>
      <c r="E19" s="11">
        <v>5.5</v>
      </c>
      <c r="F19" s="11" t="s">
        <v>103</v>
      </c>
      <c r="G19" s="11"/>
    </row>
    <row r="20" spans="1:7" x14ac:dyDescent="0.25">
      <c r="A20" s="13">
        <v>45757</v>
      </c>
      <c r="B20" s="11" t="s">
        <v>49</v>
      </c>
      <c r="C20" s="11" t="s">
        <v>296</v>
      </c>
      <c r="D20" s="11" t="s">
        <v>107</v>
      </c>
      <c r="E20" s="11">
        <v>5</v>
      </c>
      <c r="F20" s="11"/>
      <c r="G20" s="11"/>
    </row>
    <row r="21" spans="1:7" x14ac:dyDescent="0.25">
      <c r="A21" s="13">
        <v>45758</v>
      </c>
      <c r="B21" s="11" t="s">
        <v>56</v>
      </c>
      <c r="C21" s="11" t="s">
        <v>120</v>
      </c>
      <c r="D21" s="11" t="s">
        <v>100</v>
      </c>
      <c r="E21" s="11">
        <v>5.5</v>
      </c>
      <c r="F21" s="11" t="s">
        <v>103</v>
      </c>
      <c r="G21" s="11"/>
    </row>
    <row r="22" spans="1:7" x14ac:dyDescent="0.25">
      <c r="A22" s="13">
        <v>45758</v>
      </c>
      <c r="B22" s="11" t="s">
        <v>91</v>
      </c>
      <c r="C22" s="11" t="s">
        <v>219</v>
      </c>
      <c r="D22" s="11" t="s">
        <v>255</v>
      </c>
      <c r="E22" s="11">
        <v>4.5</v>
      </c>
      <c r="F22" s="11"/>
      <c r="G22" s="11"/>
    </row>
    <row r="23" spans="1:7" x14ac:dyDescent="0.25">
      <c r="A23" s="13">
        <v>45759</v>
      </c>
      <c r="B23" s="11" t="s">
        <v>56</v>
      </c>
      <c r="C23" s="11" t="s">
        <v>120</v>
      </c>
      <c r="D23" s="11" t="s">
        <v>100</v>
      </c>
      <c r="E23" s="11">
        <v>5.5</v>
      </c>
      <c r="F23" s="11" t="s">
        <v>103</v>
      </c>
      <c r="G23" s="11"/>
    </row>
    <row r="24" spans="1:7" x14ac:dyDescent="0.25">
      <c r="A24" s="13">
        <v>45759</v>
      </c>
      <c r="B24" s="11" t="s">
        <v>53</v>
      </c>
      <c r="C24" s="11" t="s">
        <v>121</v>
      </c>
      <c r="D24" s="11" t="s">
        <v>226</v>
      </c>
      <c r="E24" s="11">
        <v>7.5</v>
      </c>
      <c r="F24" s="11" t="s">
        <v>103</v>
      </c>
      <c r="G24" s="11"/>
    </row>
    <row r="25" spans="1:7" x14ac:dyDescent="0.25">
      <c r="A25" s="13">
        <v>45759</v>
      </c>
      <c r="B25" s="11" t="s">
        <v>58</v>
      </c>
      <c r="C25" s="11" t="s">
        <v>219</v>
      </c>
      <c r="D25" s="11" t="s">
        <v>172</v>
      </c>
      <c r="E25" s="11">
        <v>5</v>
      </c>
      <c r="F25" s="11"/>
      <c r="G25" s="11"/>
    </row>
    <row r="26" spans="1:7" x14ac:dyDescent="0.25">
      <c r="A26" s="13">
        <v>45760</v>
      </c>
      <c r="B26" s="11" t="s">
        <v>58</v>
      </c>
      <c r="C26" s="11" t="s">
        <v>148</v>
      </c>
      <c r="D26" s="11" t="s">
        <v>301</v>
      </c>
      <c r="E26" s="11">
        <v>6</v>
      </c>
      <c r="F26" s="11" t="s">
        <v>103</v>
      </c>
      <c r="G26" s="11"/>
    </row>
    <row r="27" spans="1:7" x14ac:dyDescent="0.25">
      <c r="A27" s="13">
        <v>45760</v>
      </c>
      <c r="B27" s="11" t="s">
        <v>56</v>
      </c>
      <c r="C27" s="11" t="s">
        <v>301</v>
      </c>
      <c r="D27" s="11" t="s">
        <v>188</v>
      </c>
      <c r="E27" s="11">
        <v>5.5</v>
      </c>
      <c r="F27" s="11" t="s">
        <v>103</v>
      </c>
      <c r="G27" s="11"/>
    </row>
    <row r="28" spans="1:7" x14ac:dyDescent="0.25">
      <c r="A28" s="13">
        <v>45760</v>
      </c>
      <c r="B28" s="11" t="s">
        <v>46</v>
      </c>
      <c r="C28" s="11" t="s">
        <v>126</v>
      </c>
      <c r="D28" s="11" t="s">
        <v>219</v>
      </c>
      <c r="E28" s="11">
        <v>5</v>
      </c>
      <c r="F28" s="11"/>
      <c r="G28" s="11"/>
    </row>
    <row r="29" spans="1:7" x14ac:dyDescent="0.25">
      <c r="A29" s="13">
        <v>45760</v>
      </c>
      <c r="B29" s="11" t="s">
        <v>53</v>
      </c>
      <c r="C29" s="11" t="s">
        <v>126</v>
      </c>
      <c r="D29" s="11" t="s">
        <v>155</v>
      </c>
      <c r="E29" s="11">
        <v>5.5</v>
      </c>
      <c r="F29" s="11" t="s">
        <v>103</v>
      </c>
      <c r="G29" s="11"/>
    </row>
    <row r="30" spans="1:7" x14ac:dyDescent="0.25">
      <c r="A30" s="13">
        <v>45761</v>
      </c>
      <c r="B30" s="11" t="s">
        <v>53</v>
      </c>
      <c r="C30" s="11" t="s">
        <v>104</v>
      </c>
      <c r="D30" s="11" t="s">
        <v>142</v>
      </c>
      <c r="E30" s="11">
        <v>6</v>
      </c>
      <c r="F30" s="11" t="s">
        <v>103</v>
      </c>
      <c r="G30" s="11"/>
    </row>
    <row r="31" spans="1:7" x14ac:dyDescent="0.25">
      <c r="A31" s="13">
        <v>45762</v>
      </c>
      <c r="B31" s="11"/>
      <c r="C31" s="11"/>
      <c r="D31" s="11"/>
      <c r="E31" s="11"/>
      <c r="F31" s="11"/>
      <c r="G31" s="11"/>
    </row>
    <row r="32" spans="1:7" x14ac:dyDescent="0.25">
      <c r="A32" s="13">
        <v>45763</v>
      </c>
      <c r="B32" s="11" t="s">
        <v>56</v>
      </c>
      <c r="C32" s="11" t="s">
        <v>120</v>
      </c>
      <c r="D32" s="11" t="s">
        <v>100</v>
      </c>
      <c r="E32" s="11">
        <v>5.5</v>
      </c>
      <c r="F32" s="11" t="s">
        <v>103</v>
      </c>
      <c r="G32" s="11"/>
    </row>
    <row r="33" spans="1:7" x14ac:dyDescent="0.25">
      <c r="A33" s="13">
        <v>45764</v>
      </c>
      <c r="B33" s="11" t="s">
        <v>56</v>
      </c>
      <c r="C33" s="11" t="s">
        <v>120</v>
      </c>
      <c r="D33" s="11" t="s">
        <v>100</v>
      </c>
      <c r="E33" s="11">
        <v>5.5</v>
      </c>
      <c r="F33" s="11" t="s">
        <v>103</v>
      </c>
      <c r="G33" s="11"/>
    </row>
    <row r="34" spans="1:7" x14ac:dyDescent="0.25">
      <c r="A34" s="13">
        <v>45764</v>
      </c>
      <c r="B34" s="11" t="s">
        <v>49</v>
      </c>
      <c r="C34" s="11" t="s">
        <v>296</v>
      </c>
      <c r="D34" s="11" t="s">
        <v>269</v>
      </c>
      <c r="E34" s="11">
        <v>4.5</v>
      </c>
      <c r="F34" s="11"/>
      <c r="G34" s="11"/>
    </row>
    <row r="35" spans="1:7" x14ac:dyDescent="0.25">
      <c r="A35" s="13">
        <v>45764</v>
      </c>
      <c r="B35" s="11" t="s">
        <v>58</v>
      </c>
      <c r="C35" s="11" t="s">
        <v>121</v>
      </c>
      <c r="D35" s="11" t="s">
        <v>269</v>
      </c>
      <c r="E35" s="11">
        <v>4</v>
      </c>
      <c r="F35" s="11"/>
      <c r="G35" s="11"/>
    </row>
    <row r="36" spans="1:7" x14ac:dyDescent="0.25">
      <c r="A36" s="13">
        <v>45765</v>
      </c>
      <c r="B36" s="11" t="s">
        <v>56</v>
      </c>
      <c r="C36" s="11" t="s">
        <v>104</v>
      </c>
      <c r="D36" s="11" t="s">
        <v>100</v>
      </c>
      <c r="E36" s="11">
        <v>3</v>
      </c>
      <c r="F36" s="11"/>
      <c r="G36" s="11"/>
    </row>
    <row r="37" spans="1:7" x14ac:dyDescent="0.25">
      <c r="A37" s="13">
        <v>45765</v>
      </c>
      <c r="B37" s="11" t="s">
        <v>56</v>
      </c>
      <c r="C37" s="11" t="s">
        <v>188</v>
      </c>
      <c r="D37" s="11" t="s">
        <v>255</v>
      </c>
      <c r="E37" s="11">
        <v>4</v>
      </c>
      <c r="F37" s="11"/>
      <c r="G37" s="11"/>
    </row>
    <row r="38" spans="1:7" x14ac:dyDescent="0.25">
      <c r="A38" s="13">
        <v>45766</v>
      </c>
      <c r="B38" s="11" t="s">
        <v>56</v>
      </c>
      <c r="C38" s="11" t="s">
        <v>120</v>
      </c>
      <c r="D38" s="11" t="s">
        <v>100</v>
      </c>
      <c r="E38" s="11">
        <v>5.5</v>
      </c>
      <c r="F38" s="11" t="s">
        <v>103</v>
      </c>
      <c r="G38" s="11"/>
    </row>
    <row r="39" spans="1:7" x14ac:dyDescent="0.25">
      <c r="A39" s="13">
        <v>45766</v>
      </c>
      <c r="B39" s="11" t="s">
        <v>56</v>
      </c>
      <c r="C39" s="11" t="s">
        <v>219</v>
      </c>
      <c r="D39" s="11" t="s">
        <v>172</v>
      </c>
      <c r="E39" s="11">
        <v>5</v>
      </c>
      <c r="F39" s="11"/>
      <c r="G39" s="11"/>
    </row>
    <row r="40" spans="1:7" x14ac:dyDescent="0.25">
      <c r="A40" s="13">
        <v>45767</v>
      </c>
      <c r="B40" s="11" t="s">
        <v>56</v>
      </c>
      <c r="C40" s="11" t="s">
        <v>120</v>
      </c>
      <c r="D40" s="11" t="s">
        <v>132</v>
      </c>
      <c r="E40" s="11">
        <v>4</v>
      </c>
      <c r="F40" s="11"/>
      <c r="G40" s="11"/>
    </row>
    <row r="41" spans="1:7" x14ac:dyDescent="0.25">
      <c r="A41" s="13">
        <v>45767</v>
      </c>
      <c r="B41" s="11" t="s">
        <v>46</v>
      </c>
      <c r="C41" s="11" t="s">
        <v>118</v>
      </c>
      <c r="D41" s="11" t="s">
        <v>102</v>
      </c>
      <c r="E41" s="11">
        <v>5.5</v>
      </c>
      <c r="F41" s="11" t="s">
        <v>103</v>
      </c>
      <c r="G41" s="11"/>
    </row>
    <row r="42" spans="1:7" x14ac:dyDescent="0.25">
      <c r="A42" s="13">
        <v>45767</v>
      </c>
      <c r="B42" s="11" t="s">
        <v>53</v>
      </c>
      <c r="C42" s="11" t="s">
        <v>301</v>
      </c>
      <c r="D42" s="11" t="s">
        <v>219</v>
      </c>
      <c r="E42" s="11">
        <v>5.5</v>
      </c>
      <c r="F42" s="11"/>
      <c r="G42" s="11"/>
    </row>
    <row r="43" spans="1:7" x14ac:dyDescent="0.25">
      <c r="A43" s="13">
        <v>45768</v>
      </c>
      <c r="B43" s="11" t="s">
        <v>53</v>
      </c>
      <c r="C43" s="11" t="s">
        <v>130</v>
      </c>
      <c r="D43" s="11" t="s">
        <v>121</v>
      </c>
      <c r="E43" s="11">
        <v>9</v>
      </c>
      <c r="F43" s="11" t="s">
        <v>122</v>
      </c>
      <c r="G43" s="11"/>
    </row>
    <row r="44" spans="1:7" x14ac:dyDescent="0.25">
      <c r="A44" s="13">
        <v>45768</v>
      </c>
      <c r="B44" s="11" t="s">
        <v>58</v>
      </c>
      <c r="C44" s="11" t="s">
        <v>118</v>
      </c>
      <c r="D44" s="11" t="s">
        <v>105</v>
      </c>
      <c r="E44" s="11">
        <v>5</v>
      </c>
      <c r="F44" s="11"/>
      <c r="G44" s="11"/>
    </row>
    <row r="45" spans="1:7" x14ac:dyDescent="0.25">
      <c r="A45" s="13">
        <v>45769</v>
      </c>
      <c r="B45" s="11" t="s">
        <v>56</v>
      </c>
      <c r="C45" s="11" t="s">
        <v>120</v>
      </c>
      <c r="D45" s="11" t="s">
        <v>100</v>
      </c>
      <c r="E45" s="11">
        <v>5.5</v>
      </c>
      <c r="F45" s="11" t="s">
        <v>103</v>
      </c>
      <c r="G45" s="11"/>
    </row>
    <row r="46" spans="1:7" x14ac:dyDescent="0.25">
      <c r="A46" s="13">
        <v>45770</v>
      </c>
      <c r="B46" s="11" t="s">
        <v>56</v>
      </c>
      <c r="C46" s="11" t="s">
        <v>120</v>
      </c>
      <c r="D46" s="11" t="s">
        <v>100</v>
      </c>
      <c r="E46" s="11">
        <v>5.5</v>
      </c>
      <c r="F46" s="11" t="s">
        <v>103</v>
      </c>
      <c r="G46" s="11"/>
    </row>
    <row r="47" spans="1:7" x14ac:dyDescent="0.25">
      <c r="A47" s="13">
        <v>45771</v>
      </c>
      <c r="B47" s="11" t="s">
        <v>56</v>
      </c>
      <c r="C47" s="11" t="s">
        <v>120</v>
      </c>
      <c r="D47" s="11" t="s">
        <v>100</v>
      </c>
      <c r="E47" s="11">
        <v>5.5</v>
      </c>
      <c r="F47" s="11" t="s">
        <v>103</v>
      </c>
      <c r="G47" s="11"/>
    </row>
    <row r="48" spans="1:7" x14ac:dyDescent="0.25">
      <c r="A48" s="13">
        <v>45771</v>
      </c>
      <c r="B48" s="11" t="s">
        <v>49</v>
      </c>
      <c r="C48" s="11" t="s">
        <v>296</v>
      </c>
      <c r="D48" s="11" t="s">
        <v>269</v>
      </c>
      <c r="E48" s="11">
        <v>4.5</v>
      </c>
      <c r="F48" s="11"/>
      <c r="G48" s="11"/>
    </row>
    <row r="49" spans="1:7" x14ac:dyDescent="0.25">
      <c r="A49" s="13">
        <v>45772</v>
      </c>
      <c r="B49" s="11" t="s">
        <v>56</v>
      </c>
      <c r="C49" s="11" t="s">
        <v>120</v>
      </c>
      <c r="D49" s="11" t="s">
        <v>100</v>
      </c>
      <c r="E49" s="11">
        <v>5.5</v>
      </c>
      <c r="F49" s="11" t="s">
        <v>103</v>
      </c>
      <c r="G49" s="11"/>
    </row>
    <row r="50" spans="1:7" x14ac:dyDescent="0.25">
      <c r="A50" s="13">
        <v>45772</v>
      </c>
      <c r="B50" s="11" t="s">
        <v>56</v>
      </c>
      <c r="C50" s="11" t="s">
        <v>188</v>
      </c>
      <c r="D50" s="11" t="s">
        <v>255</v>
      </c>
      <c r="E50" s="11">
        <v>4</v>
      </c>
      <c r="F50" s="11"/>
      <c r="G50" s="11"/>
    </row>
    <row r="51" spans="1:7" x14ac:dyDescent="0.25">
      <c r="A51" s="13">
        <v>45773</v>
      </c>
      <c r="B51" s="11" t="s">
        <v>56</v>
      </c>
      <c r="C51" s="11" t="s">
        <v>99</v>
      </c>
      <c r="D51" s="11" t="s">
        <v>100</v>
      </c>
      <c r="E51" s="11">
        <v>5</v>
      </c>
      <c r="F51" s="11"/>
      <c r="G51" s="11"/>
    </row>
    <row r="52" spans="1:7" x14ac:dyDescent="0.25">
      <c r="A52" s="13">
        <v>45773</v>
      </c>
      <c r="B52" s="11" t="s">
        <v>56</v>
      </c>
      <c r="C52" s="11" t="s">
        <v>219</v>
      </c>
      <c r="D52" s="11" t="s">
        <v>172</v>
      </c>
      <c r="E52" s="11">
        <v>5</v>
      </c>
      <c r="F52" s="11"/>
      <c r="G52" s="11"/>
    </row>
    <row r="53" spans="1:7" x14ac:dyDescent="0.25">
      <c r="A53" s="13">
        <v>45774</v>
      </c>
      <c r="B53" s="11" t="s">
        <v>53</v>
      </c>
      <c r="C53" s="11" t="s">
        <v>303</v>
      </c>
      <c r="D53" s="11" t="s">
        <v>105</v>
      </c>
      <c r="E53" s="11">
        <v>6</v>
      </c>
      <c r="F53" s="11" t="s">
        <v>103</v>
      </c>
      <c r="G53" s="11"/>
    </row>
    <row r="54" spans="1:7" x14ac:dyDescent="0.25">
      <c r="A54" s="13">
        <v>45774</v>
      </c>
      <c r="B54" s="11" t="s">
        <v>56</v>
      </c>
      <c r="C54" s="11" t="s">
        <v>99</v>
      </c>
      <c r="D54" s="11" t="s">
        <v>126</v>
      </c>
      <c r="E54" s="11">
        <v>4</v>
      </c>
      <c r="F54" s="11"/>
      <c r="G54" s="11"/>
    </row>
    <row r="55" spans="1:7" x14ac:dyDescent="0.25">
      <c r="A55" s="13">
        <v>45774</v>
      </c>
      <c r="B55" s="11" t="s">
        <v>46</v>
      </c>
      <c r="C55" s="11" t="s">
        <v>99</v>
      </c>
      <c r="D55" s="11" t="s">
        <v>121</v>
      </c>
      <c r="E55" s="11">
        <v>7.5</v>
      </c>
      <c r="F55" s="11" t="s">
        <v>103</v>
      </c>
      <c r="G55" s="11"/>
    </row>
    <row r="56" spans="1:7" x14ac:dyDescent="0.25">
      <c r="A56" s="13">
        <v>45774</v>
      </c>
      <c r="B56" s="11" t="s">
        <v>56</v>
      </c>
      <c r="C56" s="11" t="s">
        <v>132</v>
      </c>
      <c r="D56" s="11" t="s">
        <v>219</v>
      </c>
      <c r="E56" s="11">
        <v>5.5</v>
      </c>
      <c r="F56" s="11" t="s">
        <v>103</v>
      </c>
      <c r="G56" s="11"/>
    </row>
    <row r="57" spans="1:7" x14ac:dyDescent="0.25">
      <c r="A57" s="13">
        <v>45774</v>
      </c>
      <c r="B57" s="11" t="s">
        <v>48</v>
      </c>
      <c r="C57" s="11" t="s">
        <v>105</v>
      </c>
      <c r="D57" s="11" t="s">
        <v>219</v>
      </c>
      <c r="E57" s="11">
        <v>3</v>
      </c>
      <c r="F57" s="11"/>
      <c r="G57" s="11"/>
    </row>
    <row r="58" spans="1:7" x14ac:dyDescent="0.25">
      <c r="A58" s="13">
        <v>45775</v>
      </c>
      <c r="B58" s="11" t="s">
        <v>53</v>
      </c>
      <c r="C58" s="11" t="s">
        <v>132</v>
      </c>
      <c r="D58" s="11" t="s">
        <v>155</v>
      </c>
      <c r="E58" s="11">
        <v>6.5</v>
      </c>
      <c r="F58" s="11" t="s">
        <v>103</v>
      </c>
      <c r="G58" s="11"/>
    </row>
    <row r="59" spans="1:7" x14ac:dyDescent="0.25">
      <c r="A59" s="13">
        <v>45775</v>
      </c>
      <c r="B59" s="11" t="s">
        <v>58</v>
      </c>
      <c r="C59" s="11" t="s">
        <v>105</v>
      </c>
      <c r="D59" s="11" t="s">
        <v>166</v>
      </c>
      <c r="E59" s="11">
        <v>5</v>
      </c>
      <c r="F59" s="11"/>
      <c r="G59" s="11"/>
    </row>
    <row r="60" spans="1:7" x14ac:dyDescent="0.25">
      <c r="A60" s="13">
        <v>45776</v>
      </c>
      <c r="B60" s="11" t="s">
        <v>56</v>
      </c>
      <c r="C60" s="11" t="s">
        <v>120</v>
      </c>
      <c r="D60" s="11" t="s">
        <v>100</v>
      </c>
      <c r="E60" s="11">
        <v>5.5</v>
      </c>
      <c r="F60" s="11" t="s">
        <v>103</v>
      </c>
      <c r="G60" s="11"/>
    </row>
    <row r="61" spans="1:7" x14ac:dyDescent="0.25">
      <c r="A61" s="13">
        <v>45777</v>
      </c>
      <c r="B61" s="11" t="s">
        <v>56</v>
      </c>
      <c r="C61" s="11" t="s">
        <v>120</v>
      </c>
      <c r="D61" s="11" t="s">
        <v>126</v>
      </c>
      <c r="E61" s="11">
        <v>5</v>
      </c>
      <c r="F61" s="11"/>
      <c r="G61" s="11"/>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39997558519241921"/>
  </sheetPr>
  <dimension ref="A1:G61"/>
  <sheetViews>
    <sheetView topLeftCell="A30" workbookViewId="0">
      <selection activeCell="A2" sqref="A1:B1048576"/>
    </sheetView>
  </sheetViews>
  <sheetFormatPr defaultRowHeight="15" x14ac:dyDescent="0.25"/>
  <cols>
    <col min="2" max="2" width="80.28515625" customWidth="1"/>
    <col min="3" max="3" width="12.28515625" customWidth="1"/>
    <col min="4" max="4" width="12.7109375" customWidth="1"/>
    <col min="5" max="5" width="14" customWidth="1"/>
    <col min="6" max="6" width="24.7109375" customWidth="1"/>
    <col min="7" max="7" width="19.28515625" bestFit="1" customWidth="1"/>
  </cols>
  <sheetData>
    <row r="1" spans="1:7" x14ac:dyDescent="0.25">
      <c r="A1" s="9" t="s">
        <v>83</v>
      </c>
      <c r="B1" s="9" t="s">
        <v>84</v>
      </c>
      <c r="C1" s="9" t="s">
        <v>85</v>
      </c>
      <c r="D1" s="9" t="s">
        <v>86</v>
      </c>
      <c r="E1" s="9" t="s">
        <v>16</v>
      </c>
      <c r="F1" s="9" t="s">
        <v>87</v>
      </c>
      <c r="G1" s="9" t="s">
        <v>25</v>
      </c>
    </row>
    <row r="2" spans="1:7" x14ac:dyDescent="0.25">
      <c r="A2" s="13">
        <v>45778</v>
      </c>
      <c r="B2" s="11" t="s">
        <v>56</v>
      </c>
      <c r="C2" s="11" t="s">
        <v>120</v>
      </c>
      <c r="D2" s="11" t="s">
        <v>100</v>
      </c>
      <c r="E2" s="11">
        <v>5.5</v>
      </c>
      <c r="F2" s="11" t="s">
        <v>103</v>
      </c>
      <c r="G2" s="12">
        <f>SUM(E:E)</f>
        <v>291</v>
      </c>
    </row>
    <row r="3" spans="1:7" x14ac:dyDescent="0.25">
      <c r="A3" s="13">
        <v>45778</v>
      </c>
      <c r="B3" s="11" t="s">
        <v>49</v>
      </c>
      <c r="C3" s="11" t="s">
        <v>296</v>
      </c>
      <c r="D3" s="11" t="s">
        <v>269</v>
      </c>
      <c r="E3" s="11">
        <v>4.5</v>
      </c>
      <c r="F3" s="11"/>
      <c r="G3" s="11"/>
    </row>
    <row r="4" spans="1:7" x14ac:dyDescent="0.25">
      <c r="A4" s="13">
        <v>45779</v>
      </c>
      <c r="B4" s="11" t="s">
        <v>56</v>
      </c>
      <c r="C4" s="11" t="s">
        <v>188</v>
      </c>
      <c r="D4" s="11" t="s">
        <v>255</v>
      </c>
      <c r="E4" s="11">
        <v>4</v>
      </c>
      <c r="F4" s="11"/>
      <c r="G4" s="11"/>
    </row>
    <row r="5" spans="1:7" x14ac:dyDescent="0.25">
      <c r="A5" s="13">
        <v>45779</v>
      </c>
      <c r="B5" s="11" t="s">
        <v>56</v>
      </c>
      <c r="C5" s="11" t="s">
        <v>120</v>
      </c>
      <c r="D5" s="11" t="s">
        <v>100</v>
      </c>
      <c r="E5" s="11">
        <v>5.5</v>
      </c>
      <c r="F5" s="11" t="s">
        <v>103</v>
      </c>
      <c r="G5" s="11"/>
    </row>
    <row r="6" spans="1:7" x14ac:dyDescent="0.25">
      <c r="A6" s="13">
        <v>45780</v>
      </c>
      <c r="B6" s="11" t="s">
        <v>56</v>
      </c>
      <c r="C6" s="11" t="s">
        <v>120</v>
      </c>
      <c r="D6" s="11" t="s">
        <v>100</v>
      </c>
      <c r="E6" s="11">
        <v>5.5</v>
      </c>
      <c r="F6" s="11" t="s">
        <v>103</v>
      </c>
      <c r="G6" s="11"/>
    </row>
    <row r="7" spans="1:7" x14ac:dyDescent="0.25">
      <c r="A7" s="13">
        <v>45781</v>
      </c>
      <c r="B7" s="11" t="s">
        <v>56</v>
      </c>
      <c r="C7" s="11" t="s">
        <v>301</v>
      </c>
      <c r="D7" s="11" t="s">
        <v>219</v>
      </c>
      <c r="E7" s="11">
        <v>5.5</v>
      </c>
      <c r="F7" s="11"/>
      <c r="G7" s="11"/>
    </row>
    <row r="8" spans="1:7" x14ac:dyDescent="0.25">
      <c r="A8" s="13">
        <v>45781</v>
      </c>
      <c r="B8" s="11" t="s">
        <v>58</v>
      </c>
      <c r="C8" s="11" t="s">
        <v>105</v>
      </c>
      <c r="D8" s="11" t="s">
        <v>269</v>
      </c>
      <c r="E8" s="11">
        <v>5.5</v>
      </c>
      <c r="F8" s="11" t="s">
        <v>103</v>
      </c>
      <c r="G8" s="11"/>
    </row>
    <row r="9" spans="1:7" x14ac:dyDescent="0.25">
      <c r="A9" s="13">
        <v>45781</v>
      </c>
      <c r="B9" s="11" t="s">
        <v>53</v>
      </c>
      <c r="C9" s="11" t="s">
        <v>105</v>
      </c>
      <c r="D9" s="11" t="s">
        <v>166</v>
      </c>
      <c r="E9" s="11">
        <v>5</v>
      </c>
      <c r="F9" s="11"/>
      <c r="G9" s="11"/>
    </row>
    <row r="10" spans="1:7" x14ac:dyDescent="0.25">
      <c r="A10" s="13">
        <v>45782</v>
      </c>
      <c r="B10" s="11"/>
      <c r="C10" s="11"/>
      <c r="D10" s="11"/>
      <c r="E10" s="11"/>
      <c r="F10" s="11"/>
      <c r="G10" s="11"/>
    </row>
    <row r="11" spans="1:7" x14ac:dyDescent="0.25">
      <c r="A11" s="13">
        <v>45783</v>
      </c>
      <c r="B11" s="11" t="s">
        <v>56</v>
      </c>
      <c r="C11" s="11" t="s">
        <v>120</v>
      </c>
      <c r="D11" s="11" t="s">
        <v>100</v>
      </c>
      <c r="E11" s="11">
        <v>5.5</v>
      </c>
      <c r="F11" s="11" t="s">
        <v>103</v>
      </c>
      <c r="G11" s="11"/>
    </row>
    <row r="12" spans="1:7" x14ac:dyDescent="0.25">
      <c r="A12" s="13">
        <v>45784</v>
      </c>
      <c r="B12" s="11" t="s">
        <v>56</v>
      </c>
      <c r="C12" s="11" t="s">
        <v>99</v>
      </c>
      <c r="D12" s="19" t="s">
        <v>157</v>
      </c>
      <c r="E12" s="11">
        <v>4.5</v>
      </c>
      <c r="F12" s="11"/>
      <c r="G12" s="11"/>
    </row>
    <row r="13" spans="1:7" x14ac:dyDescent="0.25">
      <c r="A13" s="13">
        <v>45785</v>
      </c>
      <c r="B13" s="11" t="s">
        <v>56</v>
      </c>
      <c r="C13" s="11" t="s">
        <v>120</v>
      </c>
      <c r="D13" s="11" t="s">
        <v>126</v>
      </c>
      <c r="E13" s="11">
        <v>5</v>
      </c>
      <c r="F13" s="11"/>
      <c r="G13" s="11"/>
    </row>
    <row r="14" spans="1:7" x14ac:dyDescent="0.25">
      <c r="A14" s="13">
        <v>45785</v>
      </c>
      <c r="B14" s="11" t="s">
        <v>56</v>
      </c>
      <c r="C14" s="11" t="s">
        <v>102</v>
      </c>
      <c r="D14" s="19" t="s">
        <v>142</v>
      </c>
      <c r="E14" s="11">
        <v>1.5</v>
      </c>
      <c r="F14" s="11"/>
      <c r="G14" s="11"/>
    </row>
    <row r="15" spans="1:7" x14ac:dyDescent="0.25">
      <c r="A15" s="13">
        <v>45785</v>
      </c>
      <c r="B15" s="11" t="s">
        <v>49</v>
      </c>
      <c r="C15" s="11" t="s">
        <v>296</v>
      </c>
      <c r="D15" s="11" t="s">
        <v>269</v>
      </c>
      <c r="E15" s="11">
        <v>4.5</v>
      </c>
      <c r="F15" s="11"/>
      <c r="G15" s="11"/>
    </row>
    <row r="16" spans="1:7" x14ac:dyDescent="0.25">
      <c r="A16" s="13">
        <v>45786</v>
      </c>
      <c r="B16" s="11" t="s">
        <v>49</v>
      </c>
      <c r="C16" s="11" t="s">
        <v>188</v>
      </c>
      <c r="D16" s="11" t="s">
        <v>172</v>
      </c>
      <c r="E16" s="11">
        <v>4.5</v>
      </c>
      <c r="F16" s="11"/>
      <c r="G16" s="11"/>
    </row>
    <row r="17" spans="1:7" x14ac:dyDescent="0.25">
      <c r="A17" s="13">
        <v>45786</v>
      </c>
      <c r="B17" s="11" t="s">
        <v>56</v>
      </c>
      <c r="C17" s="11" t="s">
        <v>120</v>
      </c>
      <c r="D17" s="11" t="s">
        <v>100</v>
      </c>
      <c r="E17" s="11">
        <v>5.5</v>
      </c>
      <c r="F17" s="11" t="s">
        <v>103</v>
      </c>
      <c r="G17" s="11"/>
    </row>
    <row r="18" spans="1:7" x14ac:dyDescent="0.25">
      <c r="A18" s="13">
        <v>45786</v>
      </c>
      <c r="B18" s="11" t="s">
        <v>56</v>
      </c>
      <c r="C18" s="11" t="s">
        <v>188</v>
      </c>
      <c r="D18" s="11" t="s">
        <v>255</v>
      </c>
      <c r="E18" s="11">
        <v>4</v>
      </c>
      <c r="F18" s="11"/>
      <c r="G18" s="11"/>
    </row>
    <row r="19" spans="1:7" x14ac:dyDescent="0.25">
      <c r="A19" s="13">
        <v>45787</v>
      </c>
      <c r="B19" s="11" t="s">
        <v>49</v>
      </c>
      <c r="C19" s="11" t="s">
        <v>219</v>
      </c>
      <c r="D19" s="11" t="s">
        <v>183</v>
      </c>
      <c r="E19" s="11">
        <v>5.5</v>
      </c>
      <c r="F19" s="11" t="s">
        <v>103</v>
      </c>
      <c r="G19" s="11"/>
    </row>
    <row r="20" spans="1:7" x14ac:dyDescent="0.25">
      <c r="A20" s="13">
        <v>45787</v>
      </c>
      <c r="B20" s="11" t="s">
        <v>56</v>
      </c>
      <c r="C20" s="11" t="s">
        <v>120</v>
      </c>
      <c r="D20" s="11" t="s">
        <v>100</v>
      </c>
      <c r="E20" s="11">
        <v>5.5</v>
      </c>
      <c r="F20" s="11" t="s">
        <v>103</v>
      </c>
      <c r="G20" s="11"/>
    </row>
    <row r="21" spans="1:7" x14ac:dyDescent="0.25">
      <c r="A21" s="13">
        <v>45788</v>
      </c>
      <c r="B21" s="11" t="s">
        <v>53</v>
      </c>
      <c r="C21" s="11" t="s">
        <v>301</v>
      </c>
      <c r="D21" s="11" t="s">
        <v>296</v>
      </c>
      <c r="E21" s="11">
        <v>4</v>
      </c>
      <c r="F21" s="11"/>
      <c r="G21" s="11"/>
    </row>
    <row r="22" spans="1:7" x14ac:dyDescent="0.25">
      <c r="A22" s="13">
        <v>45788</v>
      </c>
      <c r="B22" s="11" t="s">
        <v>58</v>
      </c>
      <c r="C22" s="11" t="s">
        <v>100</v>
      </c>
      <c r="D22" s="11" t="s">
        <v>185</v>
      </c>
      <c r="E22" s="11">
        <v>6</v>
      </c>
      <c r="F22" s="11" t="s">
        <v>103</v>
      </c>
      <c r="G22" s="11"/>
    </row>
    <row r="23" spans="1:7" x14ac:dyDescent="0.25">
      <c r="A23" s="13">
        <v>45788</v>
      </c>
      <c r="B23" s="11" t="s">
        <v>53</v>
      </c>
      <c r="C23" s="11" t="s">
        <v>297</v>
      </c>
      <c r="D23" s="11" t="s">
        <v>301</v>
      </c>
      <c r="E23" s="11">
        <v>5</v>
      </c>
      <c r="F23" s="11"/>
      <c r="G23" s="11"/>
    </row>
    <row r="24" spans="1:7" x14ac:dyDescent="0.25">
      <c r="A24" s="13">
        <v>45788</v>
      </c>
      <c r="B24" s="11" t="s">
        <v>46</v>
      </c>
      <c r="C24" s="11" t="s">
        <v>118</v>
      </c>
      <c r="D24" s="11" t="s">
        <v>121</v>
      </c>
      <c r="E24" s="11">
        <v>6.5</v>
      </c>
      <c r="F24" s="11" t="s">
        <v>103</v>
      </c>
      <c r="G24" s="11"/>
    </row>
    <row r="25" spans="1:7" x14ac:dyDescent="0.25">
      <c r="A25" s="13">
        <v>45789</v>
      </c>
      <c r="B25" s="11" t="s">
        <v>49</v>
      </c>
      <c r="C25" s="11" t="s">
        <v>105</v>
      </c>
      <c r="D25" s="11" t="s">
        <v>155</v>
      </c>
      <c r="E25" s="11">
        <v>4</v>
      </c>
      <c r="F25" s="11"/>
      <c r="G25" s="11"/>
    </row>
    <row r="26" spans="1:7" x14ac:dyDescent="0.25">
      <c r="A26" s="13">
        <v>45790</v>
      </c>
      <c r="B26" s="11" t="s">
        <v>56</v>
      </c>
      <c r="C26" s="11" t="s">
        <v>120</v>
      </c>
      <c r="D26" s="11" t="s">
        <v>100</v>
      </c>
      <c r="E26" s="11">
        <v>5.5</v>
      </c>
      <c r="F26" s="11" t="s">
        <v>103</v>
      </c>
      <c r="G26" s="11"/>
    </row>
    <row r="27" spans="1:7" x14ac:dyDescent="0.25">
      <c r="A27" s="13">
        <v>45791</v>
      </c>
      <c r="B27" s="11" t="s">
        <v>56</v>
      </c>
      <c r="C27" s="11" t="s">
        <v>120</v>
      </c>
      <c r="D27" s="11" t="s">
        <v>100</v>
      </c>
      <c r="E27" s="11">
        <v>5.5</v>
      </c>
      <c r="F27" s="11" t="s">
        <v>103</v>
      </c>
      <c r="G27" s="11"/>
    </row>
    <row r="28" spans="1:7" x14ac:dyDescent="0.25">
      <c r="A28" s="13">
        <v>45792</v>
      </c>
      <c r="B28" s="11" t="s">
        <v>56</v>
      </c>
      <c r="C28" s="11" t="s">
        <v>120</v>
      </c>
      <c r="D28" s="11" t="s">
        <v>100</v>
      </c>
      <c r="E28" s="11">
        <v>5.5</v>
      </c>
      <c r="F28" s="11" t="s">
        <v>103</v>
      </c>
      <c r="G28" s="11"/>
    </row>
    <row r="29" spans="1:7" x14ac:dyDescent="0.25">
      <c r="A29" s="13">
        <v>45792</v>
      </c>
      <c r="B29" s="11" t="s">
        <v>56</v>
      </c>
      <c r="C29" s="11" t="s">
        <v>102</v>
      </c>
      <c r="D29" s="11" t="s">
        <v>269</v>
      </c>
      <c r="E29" s="11">
        <v>5</v>
      </c>
      <c r="F29" s="11"/>
      <c r="G29" s="11"/>
    </row>
    <row r="30" spans="1:7" x14ac:dyDescent="0.25">
      <c r="A30" s="13">
        <v>45427</v>
      </c>
      <c r="B30" s="11" t="s">
        <v>49</v>
      </c>
      <c r="C30" s="11" t="s">
        <v>296</v>
      </c>
      <c r="D30" s="11" t="s">
        <v>304</v>
      </c>
      <c r="E30" s="11">
        <v>4.5</v>
      </c>
      <c r="F30" s="11"/>
      <c r="G30" s="11"/>
    </row>
    <row r="31" spans="1:7" x14ac:dyDescent="0.25">
      <c r="A31" s="13">
        <v>45793</v>
      </c>
      <c r="B31" s="11" t="s">
        <v>56</v>
      </c>
      <c r="C31" s="11" t="s">
        <v>120</v>
      </c>
      <c r="D31" s="11" t="s">
        <v>100</v>
      </c>
      <c r="E31" s="11">
        <v>5.5</v>
      </c>
      <c r="F31" s="11" t="s">
        <v>103</v>
      </c>
      <c r="G31" s="11"/>
    </row>
    <row r="32" spans="1:7" x14ac:dyDescent="0.25">
      <c r="A32" s="13">
        <v>45793</v>
      </c>
      <c r="B32" s="11" t="s">
        <v>57</v>
      </c>
      <c r="C32" s="11" t="s">
        <v>130</v>
      </c>
      <c r="D32" s="11" t="s">
        <v>104</v>
      </c>
      <c r="E32" s="11">
        <v>4</v>
      </c>
      <c r="F32" s="11"/>
      <c r="G32" s="11"/>
    </row>
    <row r="33" spans="1:7" x14ac:dyDescent="0.25">
      <c r="A33" s="13">
        <v>45793</v>
      </c>
      <c r="B33" s="11" t="s">
        <v>56</v>
      </c>
      <c r="C33" s="11" t="s">
        <v>219</v>
      </c>
      <c r="D33" s="11" t="s">
        <v>172</v>
      </c>
      <c r="E33" s="11">
        <v>5</v>
      </c>
      <c r="F33" s="11"/>
      <c r="G33" s="11"/>
    </row>
    <row r="34" spans="1:7" x14ac:dyDescent="0.25">
      <c r="A34" s="13">
        <v>45793</v>
      </c>
      <c r="B34" s="11" t="s">
        <v>44</v>
      </c>
      <c r="C34" s="11" t="s">
        <v>155</v>
      </c>
      <c r="D34" s="11" t="s">
        <v>111</v>
      </c>
      <c r="E34" s="11">
        <v>3</v>
      </c>
      <c r="F34" s="11"/>
      <c r="G34" s="11"/>
    </row>
    <row r="35" spans="1:7" x14ac:dyDescent="0.25">
      <c r="A35" s="13">
        <v>45794</v>
      </c>
      <c r="B35" s="11" t="s">
        <v>56</v>
      </c>
      <c r="C35" s="11" t="s">
        <v>99</v>
      </c>
      <c r="D35" s="11" t="s">
        <v>100</v>
      </c>
      <c r="E35" s="11">
        <v>5</v>
      </c>
      <c r="F35" s="11"/>
      <c r="G35" s="11"/>
    </row>
    <row r="36" spans="1:7" x14ac:dyDescent="0.25">
      <c r="A36" s="13">
        <v>45795</v>
      </c>
      <c r="B36" s="11" t="s">
        <v>58</v>
      </c>
      <c r="C36" s="19" t="s">
        <v>181</v>
      </c>
      <c r="D36" s="11" t="s">
        <v>255</v>
      </c>
      <c r="E36" s="11">
        <v>6.5</v>
      </c>
      <c r="F36" s="11" t="s">
        <v>103</v>
      </c>
      <c r="G36" s="11"/>
    </row>
    <row r="37" spans="1:7" x14ac:dyDescent="0.25">
      <c r="A37" s="13">
        <v>45795</v>
      </c>
      <c r="B37" s="11" t="s">
        <v>56</v>
      </c>
      <c r="C37" s="19" t="s">
        <v>120</v>
      </c>
      <c r="D37" s="11" t="s">
        <v>301</v>
      </c>
      <c r="E37" s="11">
        <v>4.5</v>
      </c>
      <c r="F37" s="11"/>
      <c r="G37" s="11"/>
    </row>
    <row r="38" spans="1:7" x14ac:dyDescent="0.25">
      <c r="A38" s="13">
        <v>45796</v>
      </c>
      <c r="B38" s="11" t="s">
        <v>48</v>
      </c>
      <c r="C38" s="19" t="s">
        <v>100</v>
      </c>
      <c r="D38" s="11" t="s">
        <v>155</v>
      </c>
      <c r="E38" s="11">
        <v>5</v>
      </c>
      <c r="F38" s="11"/>
      <c r="G38" s="11"/>
    </row>
    <row r="39" spans="1:7" x14ac:dyDescent="0.25">
      <c r="A39" s="13">
        <v>45796</v>
      </c>
      <c r="B39" s="11" t="s">
        <v>58</v>
      </c>
      <c r="C39" s="19" t="s">
        <v>105</v>
      </c>
      <c r="D39" s="11" t="s">
        <v>255</v>
      </c>
      <c r="E39" s="11">
        <v>7</v>
      </c>
      <c r="F39" s="11" t="s">
        <v>103</v>
      </c>
      <c r="G39" s="11"/>
    </row>
    <row r="40" spans="1:7" x14ac:dyDescent="0.25">
      <c r="A40" s="13">
        <v>45797</v>
      </c>
      <c r="B40" s="11" t="s">
        <v>56</v>
      </c>
      <c r="C40" s="19" t="s">
        <v>166</v>
      </c>
      <c r="D40" s="11" t="s">
        <v>100</v>
      </c>
      <c r="E40" s="11">
        <v>5.5</v>
      </c>
      <c r="F40" s="11" t="s">
        <v>103</v>
      </c>
      <c r="G40" s="11"/>
    </row>
    <row r="41" spans="1:7" x14ac:dyDescent="0.25">
      <c r="A41" s="13">
        <v>45797</v>
      </c>
      <c r="B41" s="11" t="s">
        <v>58</v>
      </c>
      <c r="C41" s="19" t="s">
        <v>219</v>
      </c>
      <c r="D41" s="11" t="s">
        <v>107</v>
      </c>
      <c r="E41" s="11">
        <v>3.5</v>
      </c>
      <c r="F41" s="11"/>
      <c r="G41" s="11"/>
    </row>
    <row r="42" spans="1:7" x14ac:dyDescent="0.25">
      <c r="A42" s="13">
        <v>45798</v>
      </c>
      <c r="B42" s="11" t="s">
        <v>56</v>
      </c>
      <c r="C42" s="19" t="s">
        <v>120</v>
      </c>
      <c r="D42" s="11" t="s">
        <v>100</v>
      </c>
      <c r="E42" s="11">
        <v>5.5</v>
      </c>
      <c r="F42" s="11" t="s">
        <v>103</v>
      </c>
      <c r="G42" s="11"/>
    </row>
    <row r="43" spans="1:7" x14ac:dyDescent="0.25">
      <c r="A43" s="13">
        <v>45799</v>
      </c>
      <c r="B43" s="11" t="s">
        <v>56</v>
      </c>
      <c r="C43" s="19" t="s">
        <v>296</v>
      </c>
      <c r="D43" s="11" t="s">
        <v>269</v>
      </c>
      <c r="E43" s="11">
        <v>4.5</v>
      </c>
      <c r="F43" s="11"/>
      <c r="G43" s="11"/>
    </row>
    <row r="44" spans="1:7" x14ac:dyDescent="0.25">
      <c r="A44" s="13">
        <v>45799</v>
      </c>
      <c r="B44" s="11" t="s">
        <v>56</v>
      </c>
      <c r="C44" s="19" t="s">
        <v>120</v>
      </c>
      <c r="D44" s="11" t="s">
        <v>126</v>
      </c>
      <c r="E44" s="11">
        <v>5</v>
      </c>
      <c r="F44" s="11"/>
      <c r="G44" s="11"/>
    </row>
    <row r="45" spans="1:7" x14ac:dyDescent="0.25">
      <c r="A45" s="13">
        <v>45800</v>
      </c>
      <c r="B45" s="11" t="s">
        <v>56</v>
      </c>
      <c r="C45" s="19" t="s">
        <v>120</v>
      </c>
      <c r="D45" s="11" t="s">
        <v>100</v>
      </c>
      <c r="E45" s="11">
        <v>5.5</v>
      </c>
      <c r="F45" s="11" t="s">
        <v>103</v>
      </c>
      <c r="G45" s="11"/>
    </row>
    <row r="46" spans="1:7" x14ac:dyDescent="0.25">
      <c r="A46" s="13">
        <v>45800</v>
      </c>
      <c r="B46" s="11" t="s">
        <v>56</v>
      </c>
      <c r="C46" s="19" t="s">
        <v>188</v>
      </c>
      <c r="D46" s="11" t="s">
        <v>255</v>
      </c>
      <c r="E46" s="11">
        <v>4</v>
      </c>
      <c r="F46" s="11"/>
      <c r="G46" s="11"/>
    </row>
    <row r="47" spans="1:7" x14ac:dyDescent="0.25">
      <c r="A47" s="13">
        <v>45800</v>
      </c>
      <c r="B47" s="11" t="s">
        <v>51</v>
      </c>
      <c r="C47" s="19" t="s">
        <v>121</v>
      </c>
      <c r="D47" s="11" t="s">
        <v>111</v>
      </c>
      <c r="E47" s="11">
        <v>5</v>
      </c>
      <c r="F47" s="11" t="s">
        <v>103</v>
      </c>
      <c r="G47" s="11"/>
    </row>
    <row r="48" spans="1:7" x14ac:dyDescent="0.25">
      <c r="A48" s="13">
        <v>45801</v>
      </c>
      <c r="B48" s="11" t="s">
        <v>56</v>
      </c>
      <c r="C48" s="19" t="s">
        <v>166</v>
      </c>
      <c r="D48" s="11" t="s">
        <v>100</v>
      </c>
      <c r="E48" s="11">
        <v>5.5</v>
      </c>
      <c r="F48" s="11" t="s">
        <v>103</v>
      </c>
      <c r="G48" s="11"/>
    </row>
    <row r="49" spans="1:7" x14ac:dyDescent="0.25">
      <c r="A49" s="13">
        <v>45801</v>
      </c>
      <c r="B49" s="11" t="s">
        <v>51</v>
      </c>
      <c r="C49" s="19" t="s">
        <v>188</v>
      </c>
      <c r="D49" s="11" t="s">
        <v>183</v>
      </c>
      <c r="E49" s="11">
        <v>5</v>
      </c>
      <c r="F49" s="11"/>
      <c r="G49" s="11"/>
    </row>
    <row r="50" spans="1:7" x14ac:dyDescent="0.25">
      <c r="A50" s="13">
        <v>45802</v>
      </c>
      <c r="B50" s="11" t="s">
        <v>58</v>
      </c>
      <c r="C50" s="19" t="s">
        <v>132</v>
      </c>
      <c r="D50" s="11" t="s">
        <v>107</v>
      </c>
      <c r="E50" s="11">
        <v>8.5</v>
      </c>
      <c r="F50" s="11" t="s">
        <v>122</v>
      </c>
      <c r="G50" s="11"/>
    </row>
    <row r="51" spans="1:7" x14ac:dyDescent="0.25">
      <c r="A51" s="13">
        <v>45802</v>
      </c>
      <c r="B51" s="11" t="s">
        <v>53</v>
      </c>
      <c r="C51" s="19" t="s">
        <v>155</v>
      </c>
      <c r="D51" s="11" t="s">
        <v>269</v>
      </c>
      <c r="E51" s="11">
        <v>2</v>
      </c>
      <c r="F51" s="11"/>
      <c r="G51" s="11"/>
    </row>
    <row r="52" spans="1:7" x14ac:dyDescent="0.25">
      <c r="A52" s="13">
        <v>45802</v>
      </c>
      <c r="B52" s="11" t="s">
        <v>46</v>
      </c>
      <c r="C52" s="19" t="s">
        <v>301</v>
      </c>
      <c r="D52" s="11" t="s">
        <v>155</v>
      </c>
      <c r="E52" s="11">
        <v>6</v>
      </c>
      <c r="F52" s="11" t="s">
        <v>103</v>
      </c>
      <c r="G52" s="11"/>
    </row>
    <row r="53" spans="1:7" x14ac:dyDescent="0.25">
      <c r="A53" s="13">
        <v>45803</v>
      </c>
      <c r="B53" s="11" t="s">
        <v>51</v>
      </c>
      <c r="C53" s="19" t="s">
        <v>102</v>
      </c>
      <c r="D53" s="11" t="s">
        <v>172</v>
      </c>
      <c r="E53" s="11">
        <v>7</v>
      </c>
      <c r="F53" s="11" t="s">
        <v>103</v>
      </c>
      <c r="G53" s="11"/>
    </row>
    <row r="54" spans="1:7" x14ac:dyDescent="0.25">
      <c r="A54" s="13">
        <v>45804</v>
      </c>
      <c r="B54" s="11"/>
      <c r="C54" s="11"/>
      <c r="D54" s="11"/>
      <c r="E54" s="11"/>
      <c r="F54" s="11"/>
      <c r="G54" s="11"/>
    </row>
    <row r="55" spans="1:7" x14ac:dyDescent="0.25">
      <c r="A55" s="13">
        <v>45805</v>
      </c>
      <c r="B55" s="11" t="s">
        <v>56</v>
      </c>
      <c r="C55" s="11" t="s">
        <v>120</v>
      </c>
      <c r="D55" s="11" t="s">
        <v>100</v>
      </c>
      <c r="E55" s="11">
        <v>5.5</v>
      </c>
      <c r="F55" s="11" t="s">
        <v>103</v>
      </c>
      <c r="G55" s="11"/>
    </row>
    <row r="56" spans="1:7" x14ac:dyDescent="0.25">
      <c r="A56" s="13">
        <v>45806</v>
      </c>
      <c r="B56" s="11" t="s">
        <v>49</v>
      </c>
      <c r="C56" s="11" t="s">
        <v>296</v>
      </c>
      <c r="D56" s="11" t="s">
        <v>269</v>
      </c>
      <c r="E56" s="11">
        <v>4.5</v>
      </c>
      <c r="F56" s="11"/>
      <c r="G56" s="11"/>
    </row>
    <row r="57" spans="1:7" x14ac:dyDescent="0.25">
      <c r="A57" s="13">
        <v>45807</v>
      </c>
      <c r="B57" s="11" t="s">
        <v>56</v>
      </c>
      <c r="C57" s="11" t="s">
        <v>219</v>
      </c>
      <c r="D57" s="11" t="s">
        <v>172</v>
      </c>
      <c r="E57" s="11">
        <v>5</v>
      </c>
      <c r="F57" s="11"/>
      <c r="G57" s="11"/>
    </row>
    <row r="58" spans="1:7" x14ac:dyDescent="0.25">
      <c r="A58" s="13">
        <v>45807</v>
      </c>
      <c r="B58" s="11" t="s">
        <v>44</v>
      </c>
      <c r="C58" s="11" t="s">
        <v>155</v>
      </c>
      <c r="D58" s="11" t="s">
        <v>111</v>
      </c>
      <c r="E58" s="11">
        <v>3</v>
      </c>
      <c r="F58" s="11"/>
      <c r="G58" s="11"/>
    </row>
    <row r="59" spans="1:7" x14ac:dyDescent="0.25">
      <c r="A59" s="13">
        <v>45807</v>
      </c>
      <c r="B59" s="11" t="s">
        <v>53</v>
      </c>
      <c r="C59" s="11" t="s">
        <v>181</v>
      </c>
      <c r="D59" s="11" t="s">
        <v>111</v>
      </c>
      <c r="E59" s="11">
        <v>6</v>
      </c>
      <c r="F59" s="11" t="s">
        <v>103</v>
      </c>
      <c r="G59" s="11"/>
    </row>
    <row r="60" spans="1:7" x14ac:dyDescent="0.25">
      <c r="A60" s="13">
        <v>45807</v>
      </c>
      <c r="B60" s="11" t="s">
        <v>56</v>
      </c>
      <c r="C60" s="11" t="s">
        <v>99</v>
      </c>
      <c r="D60" s="11" t="s">
        <v>100</v>
      </c>
      <c r="E60" s="11">
        <v>5</v>
      </c>
      <c r="F60" s="11"/>
      <c r="G60" s="11"/>
    </row>
    <row r="61" spans="1:7" x14ac:dyDescent="0.25">
      <c r="A61" s="13">
        <v>45808</v>
      </c>
      <c r="B61" s="11" t="s">
        <v>56</v>
      </c>
      <c r="C61" s="11" t="s">
        <v>120</v>
      </c>
      <c r="D61" s="11" t="s">
        <v>100</v>
      </c>
      <c r="E61" s="11">
        <v>5.5</v>
      </c>
      <c r="F61" s="11" t="s">
        <v>103</v>
      </c>
      <c r="G61" s="11"/>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7962E-E1D7-4226-87BF-76FDA6C4CEB6}">
  <sheetPr>
    <tabColor theme="7" tint="0.39997558519241921"/>
  </sheetPr>
  <dimension ref="A1:G83"/>
  <sheetViews>
    <sheetView topLeftCell="A52" workbookViewId="0">
      <selection activeCell="A2" sqref="A1:B1048576"/>
    </sheetView>
  </sheetViews>
  <sheetFormatPr defaultRowHeight="15" x14ac:dyDescent="0.25"/>
  <cols>
    <col min="2" max="2" width="81.85546875" customWidth="1"/>
    <col min="3" max="3" width="11.28515625" customWidth="1"/>
    <col min="4" max="4" width="11.85546875" customWidth="1"/>
    <col min="5" max="5" width="14.42578125" customWidth="1"/>
    <col min="6" max="6" width="26.140625" customWidth="1"/>
    <col min="7" max="7" width="19.28515625" bestFit="1" customWidth="1"/>
  </cols>
  <sheetData>
    <row r="1" spans="1:7" x14ac:dyDescent="0.25">
      <c r="A1" s="9" t="s">
        <v>83</v>
      </c>
      <c r="B1" s="9" t="s">
        <v>84</v>
      </c>
      <c r="C1" s="9" t="s">
        <v>85</v>
      </c>
      <c r="D1" s="9" t="s">
        <v>86</v>
      </c>
      <c r="E1" s="9" t="s">
        <v>16</v>
      </c>
      <c r="F1" s="9" t="s">
        <v>87</v>
      </c>
      <c r="G1" s="9" t="s">
        <v>25</v>
      </c>
    </row>
    <row r="2" spans="1:7" x14ac:dyDescent="0.25">
      <c r="A2" s="13">
        <v>45809</v>
      </c>
      <c r="B2" s="11" t="s">
        <v>53</v>
      </c>
      <c r="C2" s="11" t="s">
        <v>99</v>
      </c>
      <c r="D2" s="11" t="s">
        <v>126</v>
      </c>
      <c r="E2" s="11">
        <v>5</v>
      </c>
      <c r="F2" s="11"/>
      <c r="G2" s="12">
        <f>SUM(E:E)</f>
        <v>502.5</v>
      </c>
    </row>
    <row r="3" spans="1:7" x14ac:dyDescent="0.25">
      <c r="A3" s="13">
        <v>45809</v>
      </c>
      <c r="B3" s="11" t="s">
        <v>46</v>
      </c>
      <c r="C3" s="11" t="s">
        <v>99</v>
      </c>
      <c r="D3" s="11" t="s">
        <v>121</v>
      </c>
      <c r="E3" s="11">
        <v>7.5</v>
      </c>
      <c r="F3" s="11" t="s">
        <v>103</v>
      </c>
      <c r="G3" s="11"/>
    </row>
    <row r="4" spans="1:7" x14ac:dyDescent="0.25">
      <c r="A4" s="13">
        <v>45809</v>
      </c>
      <c r="B4" s="11" t="s">
        <v>58</v>
      </c>
      <c r="C4" s="11" t="s">
        <v>126</v>
      </c>
      <c r="D4" s="11" t="s">
        <v>269</v>
      </c>
      <c r="E4" s="11">
        <v>7.5</v>
      </c>
      <c r="F4" s="11" t="s">
        <v>103</v>
      </c>
      <c r="G4" s="11"/>
    </row>
    <row r="5" spans="1:7" x14ac:dyDescent="0.25">
      <c r="A5" s="13">
        <v>45809</v>
      </c>
      <c r="B5" s="11" t="s">
        <v>53</v>
      </c>
      <c r="C5" s="11" t="s">
        <v>300</v>
      </c>
      <c r="D5" s="11" t="s">
        <v>269</v>
      </c>
      <c r="E5" s="11">
        <v>5</v>
      </c>
      <c r="F5" s="11"/>
      <c r="G5" s="11"/>
    </row>
    <row r="6" spans="1:7" x14ac:dyDescent="0.25">
      <c r="A6" s="13">
        <v>45810</v>
      </c>
      <c r="B6" s="11" t="s">
        <v>53</v>
      </c>
      <c r="C6" s="11" t="s">
        <v>300</v>
      </c>
      <c r="D6" s="11" t="s">
        <v>172</v>
      </c>
      <c r="E6" s="11">
        <v>6.5</v>
      </c>
      <c r="F6" s="11" t="s">
        <v>103</v>
      </c>
      <c r="G6" s="11"/>
    </row>
    <row r="7" spans="1:7" x14ac:dyDescent="0.25">
      <c r="A7" s="13">
        <v>45811</v>
      </c>
      <c r="B7" s="11" t="s">
        <v>56</v>
      </c>
      <c r="C7" s="11" t="s">
        <v>120</v>
      </c>
      <c r="D7" s="11" t="s">
        <v>100</v>
      </c>
      <c r="E7" s="11">
        <v>5.5</v>
      </c>
      <c r="F7" s="11" t="s">
        <v>103</v>
      </c>
      <c r="G7" s="11"/>
    </row>
    <row r="8" spans="1:7" x14ac:dyDescent="0.25">
      <c r="A8" s="13">
        <v>45812</v>
      </c>
      <c r="B8" s="11" t="s">
        <v>56</v>
      </c>
      <c r="C8" s="11" t="s">
        <v>120</v>
      </c>
      <c r="D8" s="11" t="s">
        <v>100</v>
      </c>
      <c r="E8" s="11">
        <v>5.5</v>
      </c>
      <c r="F8" s="11" t="s">
        <v>103</v>
      </c>
      <c r="G8" s="11"/>
    </row>
    <row r="9" spans="1:7" x14ac:dyDescent="0.25">
      <c r="A9" s="13">
        <v>45812</v>
      </c>
      <c r="B9" s="11" t="s">
        <v>53</v>
      </c>
      <c r="C9" s="11" t="s">
        <v>121</v>
      </c>
      <c r="D9" s="11" t="s">
        <v>172</v>
      </c>
      <c r="E9" s="11">
        <v>5.5</v>
      </c>
      <c r="F9" s="11" t="s">
        <v>103</v>
      </c>
      <c r="G9" s="11"/>
    </row>
    <row r="10" spans="1:7" x14ac:dyDescent="0.25">
      <c r="A10" s="13">
        <v>45813</v>
      </c>
      <c r="B10" s="11" t="s">
        <v>56</v>
      </c>
      <c r="C10" s="11" t="s">
        <v>120</v>
      </c>
      <c r="D10" s="11" t="s">
        <v>100</v>
      </c>
      <c r="E10" s="11">
        <v>5.5</v>
      </c>
      <c r="F10" s="11" t="s">
        <v>103</v>
      </c>
      <c r="G10" s="11"/>
    </row>
    <row r="11" spans="1:7" x14ac:dyDescent="0.25">
      <c r="A11" s="13">
        <v>45813</v>
      </c>
      <c r="B11" s="11" t="s">
        <v>58</v>
      </c>
      <c r="C11" s="11" t="s">
        <v>300</v>
      </c>
      <c r="D11" s="11" t="s">
        <v>269</v>
      </c>
      <c r="E11" s="11">
        <v>5</v>
      </c>
      <c r="F11" s="11"/>
      <c r="G11" s="11"/>
    </row>
    <row r="12" spans="1:7" x14ac:dyDescent="0.25">
      <c r="A12" s="13">
        <v>45813</v>
      </c>
      <c r="B12" s="11" t="s">
        <v>49</v>
      </c>
      <c r="C12" s="11" t="s">
        <v>300</v>
      </c>
      <c r="D12" s="11" t="s">
        <v>107</v>
      </c>
      <c r="E12" s="11">
        <v>5.5</v>
      </c>
      <c r="F12" s="11"/>
      <c r="G12" s="11"/>
    </row>
    <row r="13" spans="1:7" x14ac:dyDescent="0.25">
      <c r="A13" s="13">
        <v>45814</v>
      </c>
      <c r="B13" s="11" t="s">
        <v>53</v>
      </c>
      <c r="C13" s="11" t="s">
        <v>130</v>
      </c>
      <c r="D13" s="11" t="s">
        <v>100</v>
      </c>
      <c r="E13" s="11">
        <v>6.5</v>
      </c>
      <c r="F13" s="11" t="s">
        <v>103</v>
      </c>
      <c r="G13" s="11"/>
    </row>
    <row r="14" spans="1:7" x14ac:dyDescent="0.25">
      <c r="A14" s="13">
        <v>45814</v>
      </c>
      <c r="B14" s="11" t="s">
        <v>56</v>
      </c>
      <c r="C14" s="11" t="s">
        <v>120</v>
      </c>
      <c r="D14" s="11" t="s">
        <v>100</v>
      </c>
      <c r="E14" s="11">
        <v>5.5</v>
      </c>
      <c r="F14" s="11" t="s">
        <v>103</v>
      </c>
      <c r="G14" s="11"/>
    </row>
    <row r="15" spans="1:7" x14ac:dyDescent="0.25">
      <c r="A15" s="13">
        <v>45814</v>
      </c>
      <c r="B15" s="11" t="s">
        <v>56</v>
      </c>
      <c r="C15" s="11" t="s">
        <v>219</v>
      </c>
      <c r="D15" s="11" t="s">
        <v>172</v>
      </c>
      <c r="E15" s="11">
        <v>5</v>
      </c>
      <c r="F15" s="11"/>
      <c r="G15" s="11"/>
    </row>
    <row r="16" spans="1:7" x14ac:dyDescent="0.25">
      <c r="A16" s="13">
        <v>45814</v>
      </c>
      <c r="B16" s="11" t="s">
        <v>49</v>
      </c>
      <c r="C16" s="11" t="s">
        <v>155</v>
      </c>
      <c r="D16" s="11" t="s">
        <v>255</v>
      </c>
      <c r="E16" s="11">
        <v>3.5</v>
      </c>
      <c r="F16" s="11"/>
      <c r="G16" s="11"/>
    </row>
    <row r="17" spans="1:7" x14ac:dyDescent="0.25">
      <c r="A17" s="13">
        <v>45815</v>
      </c>
      <c r="B17" s="11" t="s">
        <v>56</v>
      </c>
      <c r="C17" s="11" t="s">
        <v>120</v>
      </c>
      <c r="D17" s="11" t="s">
        <v>100</v>
      </c>
      <c r="E17" s="11">
        <v>5.5</v>
      </c>
      <c r="F17" s="11" t="s">
        <v>103</v>
      </c>
      <c r="G17" s="11"/>
    </row>
    <row r="18" spans="1:7" x14ac:dyDescent="0.25">
      <c r="A18" s="13">
        <v>45816</v>
      </c>
      <c r="B18" s="11" t="s">
        <v>56</v>
      </c>
      <c r="C18" s="11" t="s">
        <v>120</v>
      </c>
      <c r="D18" s="11" t="s">
        <v>301</v>
      </c>
      <c r="E18" s="11">
        <v>4.5</v>
      </c>
      <c r="F18" s="11"/>
      <c r="G18" s="11"/>
    </row>
    <row r="19" spans="1:7" x14ac:dyDescent="0.25">
      <c r="A19" s="13">
        <v>45816</v>
      </c>
      <c r="B19" s="11" t="s">
        <v>53</v>
      </c>
      <c r="C19" s="11" t="s">
        <v>99</v>
      </c>
      <c r="D19" s="11" t="s">
        <v>166</v>
      </c>
      <c r="E19" s="11">
        <v>10</v>
      </c>
      <c r="F19" s="11" t="s">
        <v>122</v>
      </c>
      <c r="G19" s="11"/>
    </row>
    <row r="20" spans="1:7" x14ac:dyDescent="0.25">
      <c r="A20" s="13">
        <v>45816</v>
      </c>
      <c r="B20" s="11" t="s">
        <v>58</v>
      </c>
      <c r="C20" s="11" t="s">
        <v>126</v>
      </c>
      <c r="D20" s="11" t="s">
        <v>255</v>
      </c>
      <c r="E20" s="11">
        <v>8.5</v>
      </c>
      <c r="F20" s="11" t="s">
        <v>122</v>
      </c>
      <c r="G20" s="11"/>
    </row>
    <row r="21" spans="1:7" x14ac:dyDescent="0.25">
      <c r="A21" s="13">
        <v>45817</v>
      </c>
      <c r="B21" s="11" t="s">
        <v>58</v>
      </c>
      <c r="C21" s="11" t="s">
        <v>180</v>
      </c>
      <c r="D21" s="11" t="s">
        <v>188</v>
      </c>
      <c r="E21" s="11">
        <v>6.5</v>
      </c>
      <c r="F21" s="11" t="s">
        <v>103</v>
      </c>
      <c r="G21" s="11"/>
    </row>
    <row r="22" spans="1:7" x14ac:dyDescent="0.25">
      <c r="A22" s="13">
        <v>45818</v>
      </c>
      <c r="B22" s="11" t="s">
        <v>56</v>
      </c>
      <c r="C22" s="11" t="s">
        <v>120</v>
      </c>
      <c r="D22" s="11" t="s">
        <v>100</v>
      </c>
      <c r="E22" s="11">
        <v>5.5</v>
      </c>
      <c r="F22" s="11" t="s">
        <v>103</v>
      </c>
      <c r="G22" s="11"/>
    </row>
    <row r="23" spans="1:7" x14ac:dyDescent="0.25">
      <c r="A23" s="13">
        <v>45818</v>
      </c>
      <c r="B23" s="11" t="s">
        <v>44</v>
      </c>
      <c r="C23" s="11" t="s">
        <v>120</v>
      </c>
      <c r="D23" s="11" t="s">
        <v>126</v>
      </c>
      <c r="E23" s="11">
        <v>5</v>
      </c>
      <c r="F23" s="11"/>
      <c r="G23" s="11"/>
    </row>
    <row r="24" spans="1:7" x14ac:dyDescent="0.25">
      <c r="A24" s="13">
        <v>45818</v>
      </c>
      <c r="B24" s="11" t="s">
        <v>47</v>
      </c>
      <c r="C24" s="11" t="s">
        <v>301</v>
      </c>
      <c r="D24" s="11" t="s">
        <v>296</v>
      </c>
      <c r="E24" s="11">
        <v>4</v>
      </c>
      <c r="F24" s="11"/>
      <c r="G24" s="11"/>
    </row>
    <row r="25" spans="1:7" x14ac:dyDescent="0.25">
      <c r="A25" s="13">
        <v>45819</v>
      </c>
      <c r="B25" s="11" t="s">
        <v>56</v>
      </c>
      <c r="C25" s="11" t="s">
        <v>120</v>
      </c>
      <c r="D25" s="11" t="s">
        <v>100</v>
      </c>
      <c r="E25" s="11">
        <v>5.5</v>
      </c>
      <c r="F25" s="11" t="s">
        <v>103</v>
      </c>
      <c r="G25" s="11"/>
    </row>
    <row r="26" spans="1:7" x14ac:dyDescent="0.25">
      <c r="A26" s="13">
        <v>45819</v>
      </c>
      <c r="B26" s="11" t="s">
        <v>47</v>
      </c>
      <c r="C26" s="11" t="s">
        <v>301</v>
      </c>
      <c r="D26" s="11" t="s">
        <v>296</v>
      </c>
      <c r="E26" s="11">
        <v>4</v>
      </c>
      <c r="F26" s="11"/>
      <c r="G26" s="11"/>
    </row>
    <row r="27" spans="1:7" x14ac:dyDescent="0.25">
      <c r="A27" s="13">
        <v>45820</v>
      </c>
      <c r="B27" s="11" t="s">
        <v>56</v>
      </c>
      <c r="C27" s="11" t="s">
        <v>120</v>
      </c>
      <c r="D27" s="11" t="s">
        <v>100</v>
      </c>
      <c r="E27" s="11">
        <v>5.5</v>
      </c>
      <c r="F27" s="11" t="s">
        <v>103</v>
      </c>
      <c r="G27" s="11"/>
    </row>
    <row r="28" spans="1:7" x14ac:dyDescent="0.25">
      <c r="A28" s="13">
        <v>45820</v>
      </c>
      <c r="B28" s="11" t="s">
        <v>54</v>
      </c>
      <c r="C28" s="11" t="s">
        <v>132</v>
      </c>
      <c r="D28" s="11" t="s">
        <v>102</v>
      </c>
      <c r="E28" s="11">
        <v>4</v>
      </c>
      <c r="F28" s="11"/>
      <c r="G28" s="11"/>
    </row>
    <row r="29" spans="1:7" x14ac:dyDescent="0.25">
      <c r="A29" s="13">
        <v>45820</v>
      </c>
      <c r="B29" s="11" t="s">
        <v>47</v>
      </c>
      <c r="C29" s="11" t="s">
        <v>301</v>
      </c>
      <c r="D29" s="11" t="s">
        <v>296</v>
      </c>
      <c r="E29" s="11">
        <v>4</v>
      </c>
      <c r="F29" s="11"/>
      <c r="G29" s="11"/>
    </row>
    <row r="30" spans="1:7" x14ac:dyDescent="0.25">
      <c r="A30" s="13">
        <v>45820</v>
      </c>
      <c r="B30" s="11" t="s">
        <v>49</v>
      </c>
      <c r="C30" s="11" t="s">
        <v>300</v>
      </c>
      <c r="D30" s="11" t="s">
        <v>107</v>
      </c>
      <c r="E30" s="11">
        <v>4.5</v>
      </c>
      <c r="F30" s="11"/>
      <c r="G30" s="11"/>
    </row>
    <row r="31" spans="1:7" x14ac:dyDescent="0.25">
      <c r="A31" s="13">
        <v>45821</v>
      </c>
      <c r="B31" s="11" t="s">
        <v>56</v>
      </c>
      <c r="C31" s="11" t="s">
        <v>120</v>
      </c>
      <c r="D31" s="11" t="s">
        <v>100</v>
      </c>
      <c r="E31" s="11">
        <v>5.5</v>
      </c>
      <c r="F31" s="11" t="s">
        <v>103</v>
      </c>
      <c r="G31" s="11"/>
    </row>
    <row r="32" spans="1:7" x14ac:dyDescent="0.25">
      <c r="A32" s="13">
        <v>45821</v>
      </c>
      <c r="B32" s="11" t="s">
        <v>47</v>
      </c>
      <c r="C32" s="11" t="s">
        <v>301</v>
      </c>
      <c r="D32" s="11" t="s">
        <v>296</v>
      </c>
      <c r="E32" s="11">
        <v>4</v>
      </c>
      <c r="F32" s="11"/>
      <c r="G32" s="11"/>
    </row>
    <row r="33" spans="1:7" x14ac:dyDescent="0.25">
      <c r="A33" s="13">
        <v>45821</v>
      </c>
      <c r="B33" s="11" t="s">
        <v>49</v>
      </c>
      <c r="C33" s="11" t="s">
        <v>219</v>
      </c>
      <c r="D33" s="11" t="s">
        <v>255</v>
      </c>
      <c r="E33" s="11">
        <v>4.5</v>
      </c>
      <c r="F33" s="11"/>
      <c r="G33" s="11"/>
    </row>
    <row r="34" spans="1:7" x14ac:dyDescent="0.25">
      <c r="A34" s="13">
        <v>45821</v>
      </c>
      <c r="B34" s="11" t="s">
        <v>56</v>
      </c>
      <c r="C34" s="11" t="s">
        <v>305</v>
      </c>
      <c r="D34" s="11" t="s">
        <v>172</v>
      </c>
      <c r="E34" s="11">
        <v>5</v>
      </c>
      <c r="F34" s="11"/>
      <c r="G34" s="11"/>
    </row>
    <row r="35" spans="1:7" x14ac:dyDescent="0.25">
      <c r="A35" s="13">
        <v>45822</v>
      </c>
      <c r="B35" s="11" t="s">
        <v>56</v>
      </c>
      <c r="C35" s="11" t="s">
        <v>120</v>
      </c>
      <c r="D35" s="11" t="s">
        <v>100</v>
      </c>
      <c r="E35" s="11">
        <v>5.5</v>
      </c>
      <c r="F35" s="11" t="s">
        <v>103</v>
      </c>
      <c r="G35" s="11"/>
    </row>
    <row r="36" spans="1:7" x14ac:dyDescent="0.25">
      <c r="A36" s="13">
        <v>45822</v>
      </c>
      <c r="B36" s="11" t="s">
        <v>47</v>
      </c>
      <c r="C36" s="11" t="s">
        <v>301</v>
      </c>
      <c r="D36" s="11" t="s">
        <v>296</v>
      </c>
      <c r="E36" s="11">
        <v>4</v>
      </c>
      <c r="F36" s="11"/>
      <c r="G36" s="11"/>
    </row>
    <row r="37" spans="1:7" x14ac:dyDescent="0.25">
      <c r="A37" s="13">
        <v>45822</v>
      </c>
      <c r="B37" s="11" t="s">
        <v>46</v>
      </c>
      <c r="C37" s="11" t="s">
        <v>100</v>
      </c>
      <c r="D37" s="11" t="s">
        <v>172</v>
      </c>
      <c r="E37" s="11">
        <v>8</v>
      </c>
      <c r="F37" s="11" t="s">
        <v>122</v>
      </c>
      <c r="G37" s="11"/>
    </row>
    <row r="38" spans="1:7" x14ac:dyDescent="0.25">
      <c r="A38" s="13">
        <v>45823</v>
      </c>
      <c r="B38" s="11" t="s">
        <v>56</v>
      </c>
      <c r="C38" s="11" t="s">
        <v>120</v>
      </c>
      <c r="D38" s="11" t="s">
        <v>301</v>
      </c>
      <c r="E38" s="11">
        <v>4.5</v>
      </c>
      <c r="F38" s="11"/>
      <c r="G38" s="11"/>
    </row>
    <row r="39" spans="1:7" x14ac:dyDescent="0.25">
      <c r="A39" s="13">
        <v>45823</v>
      </c>
      <c r="B39" s="11" t="s">
        <v>50</v>
      </c>
      <c r="C39" s="11" t="s">
        <v>120</v>
      </c>
      <c r="D39" s="11" t="s">
        <v>306</v>
      </c>
      <c r="E39" s="11">
        <v>16</v>
      </c>
      <c r="F39" s="11" t="s">
        <v>307</v>
      </c>
      <c r="G39" s="11"/>
    </row>
    <row r="40" spans="1:7" x14ac:dyDescent="0.25">
      <c r="A40" s="13">
        <v>45823</v>
      </c>
      <c r="B40" s="11" t="s">
        <v>46</v>
      </c>
      <c r="C40" s="11" t="s">
        <v>100</v>
      </c>
      <c r="D40" s="11" t="s">
        <v>172</v>
      </c>
      <c r="E40" s="11">
        <v>8</v>
      </c>
      <c r="F40" s="11" t="s">
        <v>122</v>
      </c>
      <c r="G40" s="11"/>
    </row>
    <row r="41" spans="1:7" x14ac:dyDescent="0.25">
      <c r="A41" s="13">
        <v>45824</v>
      </c>
      <c r="B41" s="11" t="s">
        <v>46</v>
      </c>
      <c r="C41" s="11" t="s">
        <v>118</v>
      </c>
      <c r="D41" s="11" t="s">
        <v>105</v>
      </c>
      <c r="E41" s="11">
        <v>5</v>
      </c>
      <c r="F41" s="11"/>
      <c r="G41" s="11"/>
    </row>
    <row r="42" spans="1:7" x14ac:dyDescent="0.25">
      <c r="A42" s="13">
        <v>45824</v>
      </c>
      <c r="B42" s="11" t="s">
        <v>53</v>
      </c>
      <c r="C42" s="11" t="s">
        <v>100</v>
      </c>
      <c r="D42" s="11" t="s">
        <v>111</v>
      </c>
      <c r="E42" s="11">
        <v>7.5</v>
      </c>
      <c r="F42" s="11" t="s">
        <v>103</v>
      </c>
      <c r="G42" s="11"/>
    </row>
    <row r="43" spans="1:7" x14ac:dyDescent="0.25">
      <c r="A43" s="13">
        <v>45825</v>
      </c>
      <c r="B43" s="11" t="s">
        <v>56</v>
      </c>
      <c r="C43" s="11" t="s">
        <v>120</v>
      </c>
      <c r="D43" s="11" t="s">
        <v>100</v>
      </c>
      <c r="E43" s="11">
        <v>5.5</v>
      </c>
      <c r="F43" s="11" t="s">
        <v>103</v>
      </c>
      <c r="G43" s="11"/>
    </row>
    <row r="44" spans="1:7" x14ac:dyDescent="0.25">
      <c r="A44" s="13">
        <v>45825</v>
      </c>
      <c r="B44" s="11" t="s">
        <v>47</v>
      </c>
      <c r="C44" s="11" t="s">
        <v>120</v>
      </c>
      <c r="D44" s="11" t="s">
        <v>296</v>
      </c>
      <c r="E44" s="11">
        <v>8</v>
      </c>
      <c r="F44" s="11" t="s">
        <v>103</v>
      </c>
      <c r="G44" s="11"/>
    </row>
    <row r="45" spans="1:7" x14ac:dyDescent="0.25">
      <c r="A45" s="13">
        <v>45826</v>
      </c>
      <c r="B45" s="11" t="s">
        <v>56</v>
      </c>
      <c r="C45" s="11" t="s">
        <v>120</v>
      </c>
      <c r="D45" s="11" t="s">
        <v>100</v>
      </c>
      <c r="E45" s="11">
        <v>5.5</v>
      </c>
      <c r="F45" s="11" t="s">
        <v>103</v>
      </c>
      <c r="G45" s="11"/>
    </row>
    <row r="46" spans="1:7" x14ac:dyDescent="0.25">
      <c r="A46" s="13">
        <v>45826</v>
      </c>
      <c r="B46" s="11" t="s">
        <v>94</v>
      </c>
      <c r="C46" s="11" t="s">
        <v>132</v>
      </c>
      <c r="D46" s="11" t="s">
        <v>296</v>
      </c>
      <c r="E46" s="11">
        <v>4.5</v>
      </c>
      <c r="F46" s="11"/>
      <c r="G46" s="11"/>
    </row>
    <row r="47" spans="1:7" x14ac:dyDescent="0.25">
      <c r="A47" s="13">
        <v>45827</v>
      </c>
      <c r="B47" s="11" t="s">
        <v>56</v>
      </c>
      <c r="C47" s="11" t="s">
        <v>120</v>
      </c>
      <c r="D47" s="11" t="s">
        <v>100</v>
      </c>
      <c r="E47" s="11">
        <v>5.5</v>
      </c>
      <c r="F47" s="11" t="s">
        <v>103</v>
      </c>
      <c r="G47" s="11"/>
    </row>
    <row r="48" spans="1:7" x14ac:dyDescent="0.25">
      <c r="A48" s="13">
        <v>45827</v>
      </c>
      <c r="B48" s="11" t="s">
        <v>94</v>
      </c>
      <c r="C48" s="11" t="s">
        <v>132</v>
      </c>
      <c r="D48" s="11" t="s">
        <v>296</v>
      </c>
      <c r="E48" s="11">
        <v>4.5</v>
      </c>
      <c r="F48" s="11"/>
      <c r="G48" s="11"/>
    </row>
    <row r="49" spans="1:7" x14ac:dyDescent="0.25">
      <c r="A49" s="13">
        <v>45827</v>
      </c>
      <c r="B49" s="11" t="s">
        <v>46</v>
      </c>
      <c r="C49" s="11" t="s">
        <v>300</v>
      </c>
      <c r="D49" s="11" t="s">
        <v>111</v>
      </c>
      <c r="E49" s="11">
        <v>5.5</v>
      </c>
      <c r="F49" s="11" t="s">
        <v>103</v>
      </c>
      <c r="G49" s="11"/>
    </row>
    <row r="50" spans="1:7" x14ac:dyDescent="0.25">
      <c r="A50" s="13">
        <v>45827</v>
      </c>
      <c r="B50" s="11" t="s">
        <v>58</v>
      </c>
      <c r="C50" s="11" t="s">
        <v>121</v>
      </c>
      <c r="D50" s="11" t="s">
        <v>269</v>
      </c>
      <c r="E50" s="11">
        <v>4</v>
      </c>
      <c r="F50" s="11"/>
      <c r="G50" s="11"/>
    </row>
    <row r="51" spans="1:7" x14ac:dyDescent="0.25">
      <c r="A51" s="13">
        <v>45828</v>
      </c>
      <c r="B51" s="11" t="s">
        <v>56</v>
      </c>
      <c r="C51" s="11" t="s">
        <v>120</v>
      </c>
      <c r="D51" s="11" t="s">
        <v>100</v>
      </c>
      <c r="E51" s="11">
        <v>5.5</v>
      </c>
      <c r="F51" s="11" t="s">
        <v>103</v>
      </c>
      <c r="G51" s="11"/>
    </row>
    <row r="52" spans="1:7" x14ac:dyDescent="0.25">
      <c r="A52" s="13">
        <v>45828</v>
      </c>
      <c r="B52" s="11" t="s">
        <v>94</v>
      </c>
      <c r="C52" s="11" t="s">
        <v>132</v>
      </c>
      <c r="D52" s="11" t="s">
        <v>296</v>
      </c>
      <c r="E52" s="11">
        <v>4.5</v>
      </c>
      <c r="F52" s="11"/>
      <c r="G52" s="11"/>
    </row>
    <row r="53" spans="1:7" x14ac:dyDescent="0.25">
      <c r="A53" s="13">
        <v>45828</v>
      </c>
      <c r="B53" s="11" t="s">
        <v>92</v>
      </c>
      <c r="C53" s="11" t="s">
        <v>219</v>
      </c>
      <c r="D53" s="11" t="s">
        <v>255</v>
      </c>
      <c r="E53" s="11">
        <v>4.5</v>
      </c>
      <c r="F53" s="11"/>
      <c r="G53" s="11"/>
    </row>
    <row r="54" spans="1:7" x14ac:dyDescent="0.25">
      <c r="A54" s="13">
        <v>45828</v>
      </c>
      <c r="B54" s="11" t="s">
        <v>56</v>
      </c>
      <c r="C54" s="11" t="s">
        <v>219</v>
      </c>
      <c r="D54" s="11" t="s">
        <v>172</v>
      </c>
      <c r="E54" s="11">
        <v>5</v>
      </c>
      <c r="F54" s="11"/>
      <c r="G54" s="11"/>
    </row>
    <row r="55" spans="1:7" x14ac:dyDescent="0.25">
      <c r="A55" s="13">
        <v>45829</v>
      </c>
      <c r="B55" s="11" t="s">
        <v>56</v>
      </c>
      <c r="C55" s="11" t="s">
        <v>120</v>
      </c>
      <c r="D55" s="11" t="s">
        <v>100</v>
      </c>
      <c r="E55" s="11">
        <v>5.5</v>
      </c>
      <c r="F55" s="11" t="s">
        <v>103</v>
      </c>
      <c r="G55" s="11"/>
    </row>
    <row r="56" spans="1:7" x14ac:dyDescent="0.25">
      <c r="A56" s="13">
        <v>45829</v>
      </c>
      <c r="B56" s="11" t="s">
        <v>94</v>
      </c>
      <c r="C56" s="11" t="s">
        <v>132</v>
      </c>
      <c r="D56" s="11" t="s">
        <v>296</v>
      </c>
      <c r="E56" s="11">
        <v>4.5</v>
      </c>
      <c r="F56" s="11"/>
      <c r="G56" s="11"/>
    </row>
    <row r="57" spans="1:7" x14ac:dyDescent="0.25">
      <c r="A57" s="13">
        <v>45829</v>
      </c>
      <c r="B57" s="11" t="s">
        <v>53</v>
      </c>
      <c r="C57" s="11" t="s">
        <v>126</v>
      </c>
      <c r="D57" s="11" t="s">
        <v>226</v>
      </c>
      <c r="E57" s="11">
        <v>11</v>
      </c>
      <c r="F57" s="11" t="s">
        <v>122</v>
      </c>
      <c r="G57" s="11"/>
    </row>
    <row r="58" spans="1:7" x14ac:dyDescent="0.25">
      <c r="A58" s="13">
        <v>45829</v>
      </c>
      <c r="B58" s="11" t="s">
        <v>58</v>
      </c>
      <c r="C58" s="11" t="s">
        <v>121</v>
      </c>
      <c r="D58" s="11" t="s">
        <v>172</v>
      </c>
      <c r="E58" s="11">
        <v>5.5</v>
      </c>
      <c r="F58" s="11" t="s">
        <v>103</v>
      </c>
      <c r="G58" s="11"/>
    </row>
    <row r="59" spans="1:7" x14ac:dyDescent="0.25">
      <c r="A59" s="13">
        <v>45830</v>
      </c>
      <c r="B59" s="11" t="s">
        <v>56</v>
      </c>
      <c r="C59" s="11" t="s">
        <v>120</v>
      </c>
      <c r="D59" s="11" t="s">
        <v>301</v>
      </c>
      <c r="E59" s="11">
        <v>4.5</v>
      </c>
      <c r="F59" s="11"/>
      <c r="G59" s="11"/>
    </row>
    <row r="60" spans="1:7" x14ac:dyDescent="0.25">
      <c r="A60" s="13">
        <v>45830</v>
      </c>
      <c r="B60" s="11" t="s">
        <v>48</v>
      </c>
      <c r="C60" s="11" t="s">
        <v>303</v>
      </c>
      <c r="D60" s="11" t="s">
        <v>121</v>
      </c>
      <c r="E60" s="11">
        <v>8</v>
      </c>
      <c r="F60" s="11" t="s">
        <v>103</v>
      </c>
      <c r="G60" s="11"/>
    </row>
    <row r="61" spans="1:7" x14ac:dyDescent="0.25">
      <c r="A61" s="13">
        <v>45830</v>
      </c>
      <c r="B61" s="11" t="s">
        <v>50</v>
      </c>
      <c r="C61" s="11" t="s">
        <v>120</v>
      </c>
      <c r="D61" s="11" t="s">
        <v>111</v>
      </c>
      <c r="E61" s="11">
        <v>13</v>
      </c>
      <c r="F61" s="11" t="s">
        <v>122</v>
      </c>
      <c r="G61" s="11"/>
    </row>
    <row r="62" spans="1:7" x14ac:dyDescent="0.25">
      <c r="A62" s="13">
        <v>45830</v>
      </c>
      <c r="B62" s="11" t="s">
        <v>58</v>
      </c>
      <c r="C62" s="11" t="s">
        <v>100</v>
      </c>
      <c r="D62" s="11" t="s">
        <v>189</v>
      </c>
      <c r="E62" s="11">
        <v>9</v>
      </c>
      <c r="F62" s="11" t="s">
        <v>122</v>
      </c>
      <c r="G62" s="11"/>
    </row>
    <row r="63" spans="1:7" x14ac:dyDescent="0.25">
      <c r="A63" s="13">
        <v>45830</v>
      </c>
      <c r="B63" s="11" t="s">
        <v>46</v>
      </c>
      <c r="C63" s="11" t="s">
        <v>104</v>
      </c>
      <c r="D63" s="11" t="s">
        <v>269</v>
      </c>
      <c r="E63" s="11">
        <v>9</v>
      </c>
      <c r="F63" s="11" t="s">
        <v>122</v>
      </c>
      <c r="G63" s="11"/>
    </row>
    <row r="64" spans="1:7" x14ac:dyDescent="0.25">
      <c r="A64" s="13">
        <v>45831</v>
      </c>
      <c r="B64" s="11" t="s">
        <v>46</v>
      </c>
      <c r="C64" s="11" t="s">
        <v>104</v>
      </c>
      <c r="D64" s="11" t="s">
        <v>219</v>
      </c>
      <c r="E64" s="11">
        <v>6.5</v>
      </c>
      <c r="F64" s="11" t="s">
        <v>103</v>
      </c>
      <c r="G64" s="11"/>
    </row>
    <row r="65" spans="1:7" x14ac:dyDescent="0.25">
      <c r="A65" s="13">
        <v>45831</v>
      </c>
      <c r="B65" s="11" t="s">
        <v>53</v>
      </c>
      <c r="C65" s="11" t="s">
        <v>100</v>
      </c>
      <c r="D65" s="11" t="s">
        <v>111</v>
      </c>
      <c r="E65" s="11">
        <v>7.5</v>
      </c>
      <c r="F65" s="11" t="s">
        <v>103</v>
      </c>
      <c r="G65" s="11"/>
    </row>
    <row r="66" spans="1:7" x14ac:dyDescent="0.25">
      <c r="A66" s="13">
        <v>45832</v>
      </c>
      <c r="B66" s="11" t="s">
        <v>56</v>
      </c>
      <c r="C66" s="11" t="s">
        <v>120</v>
      </c>
      <c r="D66" s="11" t="s">
        <v>100</v>
      </c>
      <c r="E66" s="11">
        <v>5.5</v>
      </c>
      <c r="F66" s="11" t="s">
        <v>103</v>
      </c>
      <c r="G66" s="11"/>
    </row>
    <row r="67" spans="1:7" x14ac:dyDescent="0.25">
      <c r="A67" s="13">
        <v>45832</v>
      </c>
      <c r="B67" s="11" t="s">
        <v>47</v>
      </c>
      <c r="C67" s="11" t="s">
        <v>120</v>
      </c>
      <c r="D67" s="11" t="s">
        <v>296</v>
      </c>
      <c r="E67" s="11">
        <v>8</v>
      </c>
      <c r="F67" s="11" t="s">
        <v>103</v>
      </c>
      <c r="G67" s="11"/>
    </row>
    <row r="68" spans="1:7" x14ac:dyDescent="0.25">
      <c r="A68" s="13">
        <v>45833</v>
      </c>
      <c r="B68" s="11" t="s">
        <v>56</v>
      </c>
      <c r="C68" s="11" t="s">
        <v>120</v>
      </c>
      <c r="D68" s="11" t="s">
        <v>100</v>
      </c>
      <c r="E68" s="11">
        <v>5.5</v>
      </c>
      <c r="F68" s="11" t="s">
        <v>103</v>
      </c>
      <c r="G68" s="11"/>
    </row>
    <row r="69" spans="1:7" x14ac:dyDescent="0.25">
      <c r="A69" s="13">
        <v>45833</v>
      </c>
      <c r="B69" s="11" t="s">
        <v>47</v>
      </c>
      <c r="C69" s="11" t="s">
        <v>120</v>
      </c>
      <c r="D69" s="11" t="s">
        <v>296</v>
      </c>
      <c r="E69" s="11">
        <v>8</v>
      </c>
      <c r="F69" s="11" t="s">
        <v>103</v>
      </c>
      <c r="G69" s="11"/>
    </row>
    <row r="70" spans="1:7" x14ac:dyDescent="0.25">
      <c r="A70" s="13">
        <v>45834</v>
      </c>
      <c r="B70" s="11" t="s">
        <v>56</v>
      </c>
      <c r="C70" s="11" t="s">
        <v>120</v>
      </c>
      <c r="D70" s="11" t="s">
        <v>100</v>
      </c>
      <c r="E70" s="11">
        <v>5.5</v>
      </c>
      <c r="F70" s="11" t="s">
        <v>103</v>
      </c>
      <c r="G70" s="11"/>
    </row>
    <row r="71" spans="1:7" x14ac:dyDescent="0.25">
      <c r="A71" s="13">
        <v>45834</v>
      </c>
      <c r="B71" s="11" t="s">
        <v>47</v>
      </c>
      <c r="C71" s="11" t="s">
        <v>120</v>
      </c>
      <c r="D71" s="11" t="s">
        <v>296</v>
      </c>
      <c r="E71" s="11">
        <v>8</v>
      </c>
      <c r="F71" s="11" t="s">
        <v>103</v>
      </c>
      <c r="G71" s="11"/>
    </row>
    <row r="72" spans="1:7" x14ac:dyDescent="0.25">
      <c r="A72" s="13">
        <v>45834</v>
      </c>
      <c r="B72" s="11" t="s">
        <v>49</v>
      </c>
      <c r="C72" s="11" t="s">
        <v>300</v>
      </c>
      <c r="D72" s="11" t="s">
        <v>107</v>
      </c>
      <c r="E72" s="11">
        <v>5.5</v>
      </c>
      <c r="F72" s="11"/>
      <c r="G72" s="11"/>
    </row>
    <row r="73" spans="1:7" x14ac:dyDescent="0.25">
      <c r="A73" s="13">
        <v>45835</v>
      </c>
      <c r="B73" s="11" t="s">
        <v>56</v>
      </c>
      <c r="C73" s="11" t="s">
        <v>120</v>
      </c>
      <c r="D73" s="11" t="s">
        <v>100</v>
      </c>
      <c r="E73" s="11">
        <v>5.5</v>
      </c>
      <c r="F73" s="11" t="s">
        <v>103</v>
      </c>
      <c r="G73" s="11"/>
    </row>
    <row r="74" spans="1:7" x14ac:dyDescent="0.25">
      <c r="A74" s="13">
        <v>45835</v>
      </c>
      <c r="B74" s="11" t="s">
        <v>94</v>
      </c>
      <c r="C74" s="11" t="s">
        <v>132</v>
      </c>
      <c r="D74" s="11" t="s">
        <v>296</v>
      </c>
      <c r="E74" s="11">
        <v>4.5</v>
      </c>
      <c r="F74" s="11"/>
      <c r="G74" s="11"/>
    </row>
    <row r="75" spans="1:7" x14ac:dyDescent="0.25">
      <c r="A75" s="13">
        <v>45835</v>
      </c>
      <c r="B75" s="11" t="s">
        <v>49</v>
      </c>
      <c r="C75" s="11" t="s">
        <v>219</v>
      </c>
      <c r="D75" s="11" t="s">
        <v>255</v>
      </c>
      <c r="E75" s="11">
        <v>4.5</v>
      </c>
      <c r="F75" s="11"/>
      <c r="G75" s="11"/>
    </row>
    <row r="76" spans="1:7" x14ac:dyDescent="0.25">
      <c r="A76" s="13">
        <v>45835</v>
      </c>
      <c r="B76" s="11" t="s">
        <v>56</v>
      </c>
      <c r="C76" s="11" t="s">
        <v>219</v>
      </c>
      <c r="D76" s="11" t="s">
        <v>172</v>
      </c>
      <c r="E76" s="11">
        <v>5</v>
      </c>
      <c r="F76" s="11"/>
      <c r="G76" s="11"/>
    </row>
    <row r="77" spans="1:7" x14ac:dyDescent="0.25">
      <c r="A77" s="13">
        <v>45836</v>
      </c>
      <c r="B77" s="11" t="s">
        <v>56</v>
      </c>
      <c r="C77" s="11" t="s">
        <v>120</v>
      </c>
      <c r="D77" s="11" t="s">
        <v>100</v>
      </c>
      <c r="E77" s="11">
        <v>5.5</v>
      </c>
      <c r="F77" s="11" t="s">
        <v>103</v>
      </c>
      <c r="G77" s="11"/>
    </row>
    <row r="78" spans="1:7" x14ac:dyDescent="0.25">
      <c r="A78" s="13">
        <v>45836</v>
      </c>
      <c r="B78" s="11" t="s">
        <v>94</v>
      </c>
      <c r="C78" s="11" t="s">
        <v>132</v>
      </c>
      <c r="D78" s="11" t="s">
        <v>296</v>
      </c>
      <c r="E78" s="11">
        <v>4.5</v>
      </c>
      <c r="F78" s="11"/>
      <c r="G78" s="11"/>
    </row>
    <row r="79" spans="1:7" x14ac:dyDescent="0.25">
      <c r="A79" s="13">
        <v>45837</v>
      </c>
      <c r="B79" s="11" t="s">
        <v>56</v>
      </c>
      <c r="C79" s="11" t="s">
        <v>120</v>
      </c>
      <c r="D79" s="11" t="s">
        <v>301</v>
      </c>
      <c r="E79" s="11">
        <v>4.5</v>
      </c>
      <c r="F79" s="11"/>
      <c r="G79" s="11"/>
    </row>
    <row r="80" spans="1:7" x14ac:dyDescent="0.25">
      <c r="A80" s="13">
        <v>45837</v>
      </c>
      <c r="B80" s="11" t="s">
        <v>49</v>
      </c>
      <c r="C80" s="11" t="s">
        <v>120</v>
      </c>
      <c r="D80" s="11" t="s">
        <v>189</v>
      </c>
      <c r="E80" s="11">
        <v>15</v>
      </c>
      <c r="F80" s="11" t="s">
        <v>122</v>
      </c>
      <c r="G80" s="11"/>
    </row>
    <row r="81" spans="1:7" x14ac:dyDescent="0.25">
      <c r="A81" s="13">
        <v>45837</v>
      </c>
      <c r="B81" s="11" t="s">
        <v>48</v>
      </c>
      <c r="C81" s="11" t="s">
        <v>303</v>
      </c>
      <c r="D81" s="11" t="s">
        <v>296</v>
      </c>
      <c r="E81" s="11">
        <v>7.5</v>
      </c>
      <c r="F81" s="11" t="s">
        <v>103</v>
      </c>
      <c r="G81" s="11"/>
    </row>
    <row r="82" spans="1:7" x14ac:dyDescent="0.25">
      <c r="A82" s="13">
        <v>45837</v>
      </c>
      <c r="B82" s="11" t="s">
        <v>58</v>
      </c>
      <c r="C82" s="11" t="s">
        <v>126</v>
      </c>
      <c r="D82" s="11" t="s">
        <v>166</v>
      </c>
      <c r="E82" s="11">
        <v>6.5</v>
      </c>
      <c r="F82" s="11" t="s">
        <v>103</v>
      </c>
      <c r="G82" s="11"/>
    </row>
    <row r="83" spans="1:7" x14ac:dyDescent="0.25">
      <c r="A83" s="13">
        <v>45837</v>
      </c>
      <c r="B83" s="11" t="s">
        <v>46</v>
      </c>
      <c r="C83" s="11" t="s">
        <v>104</v>
      </c>
      <c r="D83" s="11" t="s">
        <v>166</v>
      </c>
      <c r="E83" s="11">
        <v>8</v>
      </c>
      <c r="F83" s="11" t="s">
        <v>122</v>
      </c>
      <c r="G83" s="11"/>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tint="0.39997558519241921"/>
  </sheetPr>
  <dimension ref="A1:G67"/>
  <sheetViews>
    <sheetView workbookViewId="0">
      <selection activeCell="A2" sqref="A1:B1048576"/>
    </sheetView>
  </sheetViews>
  <sheetFormatPr defaultRowHeight="15" x14ac:dyDescent="0.25"/>
  <cols>
    <col min="2" max="2" width="87" customWidth="1"/>
    <col min="5" max="5" width="18.140625" customWidth="1"/>
    <col min="6" max="6" width="27.28515625" customWidth="1"/>
    <col min="7" max="7" width="19.28515625" bestFit="1" customWidth="1"/>
  </cols>
  <sheetData>
    <row r="1" spans="1:7" x14ac:dyDescent="0.25">
      <c r="A1" s="9" t="s">
        <v>83</v>
      </c>
      <c r="B1" s="9" t="s">
        <v>84</v>
      </c>
      <c r="C1" s="9" t="s">
        <v>85</v>
      </c>
      <c r="D1" s="9" t="s">
        <v>86</v>
      </c>
      <c r="E1" s="9" t="s">
        <v>16</v>
      </c>
      <c r="F1" s="9" t="s">
        <v>87</v>
      </c>
      <c r="G1" s="9" t="s">
        <v>25</v>
      </c>
    </row>
    <row r="2" spans="1:7" x14ac:dyDescent="0.25">
      <c r="A2" s="13">
        <v>45839</v>
      </c>
      <c r="B2" s="11" t="s">
        <v>56</v>
      </c>
      <c r="C2" s="11" t="s">
        <v>120</v>
      </c>
      <c r="D2" s="11" t="s">
        <v>100</v>
      </c>
      <c r="E2" s="11">
        <v>5.5</v>
      </c>
      <c r="F2" s="11" t="s">
        <v>103</v>
      </c>
      <c r="G2" s="12">
        <f>SUM(E:E)</f>
        <v>368.75</v>
      </c>
    </row>
    <row r="3" spans="1:7" x14ac:dyDescent="0.25">
      <c r="A3" s="13">
        <v>45840</v>
      </c>
      <c r="B3" s="11" t="s">
        <v>56</v>
      </c>
      <c r="C3" s="11" t="s">
        <v>120</v>
      </c>
      <c r="D3" s="11" t="s">
        <v>100</v>
      </c>
      <c r="E3" s="11">
        <v>5.5</v>
      </c>
      <c r="F3" s="11" t="s">
        <v>103</v>
      </c>
      <c r="G3" s="11"/>
    </row>
    <row r="4" spans="1:7" x14ac:dyDescent="0.25">
      <c r="A4" s="13">
        <v>45841</v>
      </c>
      <c r="B4" s="11" t="s">
        <v>49</v>
      </c>
      <c r="C4" s="11" t="s">
        <v>102</v>
      </c>
      <c r="D4" s="11" t="s">
        <v>107</v>
      </c>
      <c r="E4" s="11">
        <v>5</v>
      </c>
      <c r="F4" s="11" t="s">
        <v>103</v>
      </c>
      <c r="G4" s="11"/>
    </row>
    <row r="5" spans="1:7" x14ac:dyDescent="0.25">
      <c r="A5" s="13">
        <v>45841</v>
      </c>
      <c r="B5" s="11" t="s">
        <v>56</v>
      </c>
      <c r="C5" s="11" t="s">
        <v>120</v>
      </c>
      <c r="D5" s="11" t="s">
        <v>100</v>
      </c>
      <c r="E5" s="11">
        <v>5.5</v>
      </c>
      <c r="F5" s="11" t="s">
        <v>103</v>
      </c>
      <c r="G5" s="11"/>
    </row>
    <row r="6" spans="1:7" s="7" customFormat="1" x14ac:dyDescent="0.25">
      <c r="A6" s="20">
        <v>45842</v>
      </c>
      <c r="B6" s="21"/>
      <c r="C6" s="21"/>
      <c r="D6" s="21"/>
      <c r="E6" s="21"/>
      <c r="F6" s="21"/>
      <c r="G6" s="21"/>
    </row>
    <row r="7" spans="1:7" x14ac:dyDescent="0.25">
      <c r="A7" s="13">
        <v>45843</v>
      </c>
      <c r="B7" s="11" t="s">
        <v>56</v>
      </c>
      <c r="C7" s="11" t="s">
        <v>308</v>
      </c>
      <c r="D7" s="11" t="s">
        <v>100</v>
      </c>
      <c r="E7" s="11">
        <v>5.5</v>
      </c>
      <c r="F7" s="11" t="s">
        <v>103</v>
      </c>
      <c r="G7" s="11"/>
    </row>
    <row r="8" spans="1:7" x14ac:dyDescent="0.25">
      <c r="A8" s="13">
        <v>45844</v>
      </c>
      <c r="B8" s="11" t="s">
        <v>53</v>
      </c>
      <c r="C8" s="11" t="s">
        <v>126</v>
      </c>
      <c r="D8" s="11" t="s">
        <v>219</v>
      </c>
      <c r="E8" s="11">
        <v>5</v>
      </c>
      <c r="F8" s="11"/>
      <c r="G8" s="11"/>
    </row>
    <row r="9" spans="1:7" x14ac:dyDescent="0.25">
      <c r="A9" s="13">
        <v>45844</v>
      </c>
      <c r="B9" s="11" t="s">
        <v>49</v>
      </c>
      <c r="C9" s="11" t="s">
        <v>295</v>
      </c>
      <c r="D9" s="11" t="s">
        <v>126</v>
      </c>
      <c r="E9" s="11">
        <v>4.45</v>
      </c>
      <c r="F9" s="11" t="s">
        <v>103</v>
      </c>
      <c r="G9" s="11"/>
    </row>
    <row r="10" spans="1:7" x14ac:dyDescent="0.25">
      <c r="A10" s="13">
        <v>45844</v>
      </c>
      <c r="B10" s="11" t="s">
        <v>56</v>
      </c>
      <c r="C10" s="11" t="s">
        <v>308</v>
      </c>
      <c r="D10" s="11" t="s">
        <v>126</v>
      </c>
      <c r="E10" s="11">
        <v>5</v>
      </c>
      <c r="F10" s="11"/>
      <c r="G10" s="11"/>
    </row>
    <row r="11" spans="1:7" x14ac:dyDescent="0.25">
      <c r="A11" s="13">
        <v>45844</v>
      </c>
      <c r="B11" s="11" t="s">
        <v>53</v>
      </c>
      <c r="C11" s="11" t="s">
        <v>219</v>
      </c>
      <c r="D11" s="11" t="s">
        <v>255</v>
      </c>
      <c r="E11" s="11">
        <v>4.5</v>
      </c>
      <c r="F11" s="11"/>
      <c r="G11" s="11"/>
    </row>
    <row r="12" spans="1:7" x14ac:dyDescent="0.25">
      <c r="A12" s="13">
        <v>45844</v>
      </c>
      <c r="B12" s="11" t="s">
        <v>58</v>
      </c>
      <c r="C12" s="11" t="s">
        <v>142</v>
      </c>
      <c r="D12" s="19" t="s">
        <v>183</v>
      </c>
      <c r="E12" s="11">
        <v>5.5</v>
      </c>
      <c r="F12" s="11" t="s">
        <v>103</v>
      </c>
      <c r="G12" s="11"/>
    </row>
    <row r="13" spans="1:7" x14ac:dyDescent="0.25">
      <c r="A13" s="13">
        <v>45845</v>
      </c>
      <c r="B13" s="11" t="s">
        <v>58</v>
      </c>
      <c r="C13" s="11" t="s">
        <v>132</v>
      </c>
      <c r="D13" s="19" t="s">
        <v>219</v>
      </c>
      <c r="E13" s="11">
        <v>5.5</v>
      </c>
      <c r="F13" s="11" t="s">
        <v>103</v>
      </c>
      <c r="G13" s="11"/>
    </row>
    <row r="14" spans="1:7" x14ac:dyDescent="0.25">
      <c r="A14" s="13">
        <v>45846</v>
      </c>
      <c r="B14" s="11" t="s">
        <v>56</v>
      </c>
      <c r="C14" s="11" t="s">
        <v>308</v>
      </c>
      <c r="D14" s="11" t="s">
        <v>100</v>
      </c>
      <c r="E14" s="11">
        <v>5.5</v>
      </c>
      <c r="F14" s="11" t="s">
        <v>103</v>
      </c>
      <c r="G14" s="11"/>
    </row>
    <row r="15" spans="1:7" x14ac:dyDescent="0.25">
      <c r="A15" s="13">
        <v>45846</v>
      </c>
      <c r="B15" s="11" t="s">
        <v>49</v>
      </c>
      <c r="C15" s="11" t="s">
        <v>308</v>
      </c>
      <c r="D15" s="11" t="s">
        <v>132</v>
      </c>
      <c r="E15" s="11">
        <v>4</v>
      </c>
      <c r="F15" s="11"/>
      <c r="G15" s="11"/>
    </row>
    <row r="16" spans="1:7" x14ac:dyDescent="0.25">
      <c r="A16" s="13">
        <v>45846</v>
      </c>
      <c r="B16" s="11" t="s">
        <v>47</v>
      </c>
      <c r="C16" s="11" t="s">
        <v>308</v>
      </c>
      <c r="D16" s="19" t="s">
        <v>296</v>
      </c>
      <c r="E16" s="11">
        <v>8</v>
      </c>
      <c r="F16" s="11" t="s">
        <v>103</v>
      </c>
      <c r="G16" s="11"/>
    </row>
    <row r="17" spans="1:7" x14ac:dyDescent="0.25">
      <c r="A17" s="13">
        <v>45847</v>
      </c>
      <c r="B17" s="11" t="s">
        <v>56</v>
      </c>
      <c r="C17" s="11" t="s">
        <v>308</v>
      </c>
      <c r="D17" s="11" t="s">
        <v>100</v>
      </c>
      <c r="E17" s="11">
        <v>5.5</v>
      </c>
      <c r="F17" s="11" t="s">
        <v>103</v>
      </c>
      <c r="G17" s="11"/>
    </row>
    <row r="18" spans="1:7" x14ac:dyDescent="0.25">
      <c r="A18" s="13">
        <v>45848</v>
      </c>
      <c r="B18" s="11" t="s">
        <v>49</v>
      </c>
      <c r="C18" s="11" t="s">
        <v>102</v>
      </c>
      <c r="D18" s="11" t="s">
        <v>107</v>
      </c>
      <c r="E18" s="11">
        <v>5</v>
      </c>
      <c r="F18" s="11" t="s">
        <v>103</v>
      </c>
      <c r="G18" s="11"/>
    </row>
    <row r="19" spans="1:7" x14ac:dyDescent="0.25">
      <c r="A19" s="13">
        <v>45848</v>
      </c>
      <c r="B19" s="11" t="s">
        <v>56</v>
      </c>
      <c r="C19" s="11" t="s">
        <v>308</v>
      </c>
      <c r="D19" s="11" t="s">
        <v>100</v>
      </c>
      <c r="E19" s="11">
        <v>5.5</v>
      </c>
      <c r="F19" s="11" t="s">
        <v>103</v>
      </c>
      <c r="G19" s="11"/>
    </row>
    <row r="20" spans="1:7" x14ac:dyDescent="0.25">
      <c r="A20" s="13">
        <v>45849</v>
      </c>
      <c r="B20" s="11" t="s">
        <v>56</v>
      </c>
      <c r="C20" s="11" t="s">
        <v>308</v>
      </c>
      <c r="D20" s="11" t="s">
        <v>100</v>
      </c>
      <c r="E20" s="11">
        <v>5.5</v>
      </c>
      <c r="F20" s="11" t="s">
        <v>103</v>
      </c>
      <c r="G20" s="11"/>
    </row>
    <row r="21" spans="1:7" x14ac:dyDescent="0.25">
      <c r="A21" s="13">
        <v>45849</v>
      </c>
      <c r="B21" s="11" t="s">
        <v>56</v>
      </c>
      <c r="C21" s="11" t="s">
        <v>219</v>
      </c>
      <c r="D21" s="11" t="s">
        <v>172</v>
      </c>
      <c r="E21" s="11">
        <v>5</v>
      </c>
      <c r="F21" s="11"/>
      <c r="G21" s="11"/>
    </row>
    <row r="22" spans="1:7" x14ac:dyDescent="0.25">
      <c r="A22" s="13">
        <v>45850</v>
      </c>
      <c r="B22" s="11" t="s">
        <v>56</v>
      </c>
      <c r="C22" s="11" t="s">
        <v>120</v>
      </c>
      <c r="D22" s="11" t="s">
        <v>100</v>
      </c>
      <c r="E22" s="11">
        <v>5.5</v>
      </c>
      <c r="F22" s="11" t="s">
        <v>103</v>
      </c>
      <c r="G22" s="11"/>
    </row>
    <row r="23" spans="1:7" x14ac:dyDescent="0.25">
      <c r="A23" s="13">
        <v>45851</v>
      </c>
      <c r="B23" s="11" t="s">
        <v>48</v>
      </c>
      <c r="C23" s="11" t="s">
        <v>126</v>
      </c>
      <c r="D23" s="11" t="s">
        <v>269</v>
      </c>
      <c r="E23" s="11">
        <v>7.5</v>
      </c>
      <c r="F23" s="11" t="s">
        <v>103</v>
      </c>
      <c r="G23" s="11"/>
    </row>
    <row r="24" spans="1:7" x14ac:dyDescent="0.25">
      <c r="A24" s="13">
        <v>45851</v>
      </c>
      <c r="B24" s="11" t="s">
        <v>49</v>
      </c>
      <c r="C24" s="11" t="s">
        <v>295</v>
      </c>
      <c r="D24" s="11" t="s">
        <v>181</v>
      </c>
      <c r="E24" s="11">
        <v>7.15</v>
      </c>
      <c r="F24" s="11" t="s">
        <v>103</v>
      </c>
      <c r="G24" s="11"/>
    </row>
    <row r="25" spans="1:7" x14ac:dyDescent="0.25">
      <c r="A25" s="13">
        <v>45851</v>
      </c>
      <c r="B25" s="11" t="s">
        <v>56</v>
      </c>
      <c r="C25" s="11" t="s">
        <v>308</v>
      </c>
      <c r="D25" s="11" t="s">
        <v>126</v>
      </c>
      <c r="E25" s="11">
        <v>5</v>
      </c>
      <c r="F25" s="11"/>
      <c r="G25" s="11"/>
    </row>
    <row r="26" spans="1:7" x14ac:dyDescent="0.25">
      <c r="A26" s="13">
        <v>45851</v>
      </c>
      <c r="B26" s="11" t="s">
        <v>53</v>
      </c>
      <c r="C26" s="11" t="s">
        <v>105</v>
      </c>
      <c r="D26" s="11" t="s">
        <v>155</v>
      </c>
      <c r="E26" s="11">
        <v>4</v>
      </c>
      <c r="F26" s="11"/>
      <c r="G26" s="11"/>
    </row>
    <row r="27" spans="1:7" x14ac:dyDescent="0.25">
      <c r="A27" s="13">
        <v>45851</v>
      </c>
      <c r="B27" s="11" t="s">
        <v>53</v>
      </c>
      <c r="C27" s="11" t="s">
        <v>155</v>
      </c>
      <c r="D27" s="11" t="s">
        <v>189</v>
      </c>
      <c r="E27" s="11">
        <v>5</v>
      </c>
      <c r="F27" s="11"/>
      <c r="G27" s="11"/>
    </row>
    <row r="28" spans="1:7" x14ac:dyDescent="0.25">
      <c r="A28" s="13">
        <v>45851</v>
      </c>
      <c r="B28" s="11" t="s">
        <v>46</v>
      </c>
      <c r="C28" s="11" t="s">
        <v>105</v>
      </c>
      <c r="D28" s="11" t="s">
        <v>111</v>
      </c>
      <c r="E28" s="11">
        <v>6.5</v>
      </c>
      <c r="F28" s="11" t="s">
        <v>103</v>
      </c>
      <c r="G28" s="11"/>
    </row>
    <row r="29" spans="1:7" x14ac:dyDescent="0.25">
      <c r="A29" s="13">
        <v>45851</v>
      </c>
      <c r="B29" s="11" t="s">
        <v>58</v>
      </c>
      <c r="C29" s="11" t="s">
        <v>126</v>
      </c>
      <c r="D29" s="11" t="s">
        <v>269</v>
      </c>
      <c r="E29" s="11">
        <v>7.5</v>
      </c>
      <c r="F29" s="11" t="s">
        <v>103</v>
      </c>
      <c r="G29" s="11"/>
    </row>
    <row r="30" spans="1:7" x14ac:dyDescent="0.25">
      <c r="A30" s="13">
        <v>45852</v>
      </c>
      <c r="B30" s="11" t="s">
        <v>53</v>
      </c>
      <c r="C30" s="11" t="s">
        <v>130</v>
      </c>
      <c r="D30" s="11" t="s">
        <v>104</v>
      </c>
      <c r="E30" s="11">
        <v>4</v>
      </c>
      <c r="F30" s="11"/>
      <c r="G30" s="11"/>
    </row>
    <row r="31" spans="1:7" x14ac:dyDescent="0.25">
      <c r="A31" s="13">
        <v>45852</v>
      </c>
      <c r="B31" s="11" t="s">
        <v>53</v>
      </c>
      <c r="C31" s="11" t="s">
        <v>104</v>
      </c>
      <c r="D31" s="11" t="s">
        <v>219</v>
      </c>
      <c r="E31" s="11">
        <v>6.5</v>
      </c>
      <c r="F31" s="11" t="s">
        <v>103</v>
      </c>
      <c r="G31" s="11"/>
    </row>
    <row r="32" spans="1:7" x14ac:dyDescent="0.25">
      <c r="A32" s="13">
        <v>45852</v>
      </c>
      <c r="B32" s="11" t="s">
        <v>46</v>
      </c>
      <c r="C32" s="11" t="s">
        <v>130</v>
      </c>
      <c r="D32" s="11" t="s">
        <v>102</v>
      </c>
      <c r="E32" s="11">
        <v>8</v>
      </c>
      <c r="F32" s="11" t="s">
        <v>122</v>
      </c>
      <c r="G32" s="11"/>
    </row>
    <row r="33" spans="1:7" x14ac:dyDescent="0.25">
      <c r="A33" s="13">
        <v>45853</v>
      </c>
      <c r="B33" s="11" t="s">
        <v>56</v>
      </c>
      <c r="C33" s="11" t="s">
        <v>308</v>
      </c>
      <c r="D33" s="11" t="s">
        <v>100</v>
      </c>
      <c r="E33" s="11">
        <v>5.5</v>
      </c>
      <c r="F33" s="11" t="s">
        <v>103</v>
      </c>
      <c r="G33" s="11"/>
    </row>
    <row r="34" spans="1:7" x14ac:dyDescent="0.25">
      <c r="A34" s="13">
        <v>45854</v>
      </c>
      <c r="B34" s="11" t="s">
        <v>58</v>
      </c>
      <c r="C34" s="11" t="s">
        <v>121</v>
      </c>
      <c r="D34" s="11" t="s">
        <v>111</v>
      </c>
      <c r="E34" s="11">
        <v>5</v>
      </c>
      <c r="F34" s="11"/>
      <c r="G34" s="11"/>
    </row>
    <row r="35" spans="1:7" x14ac:dyDescent="0.25">
      <c r="A35" s="13">
        <v>45854</v>
      </c>
      <c r="B35" s="11" t="s">
        <v>56</v>
      </c>
      <c r="C35" s="11" t="s">
        <v>308</v>
      </c>
      <c r="D35" s="11" t="s">
        <v>100</v>
      </c>
      <c r="E35" s="11">
        <v>5.5</v>
      </c>
      <c r="F35" s="11" t="s">
        <v>103</v>
      </c>
      <c r="G35" s="11"/>
    </row>
    <row r="36" spans="1:7" x14ac:dyDescent="0.25">
      <c r="A36" s="13">
        <v>45855</v>
      </c>
      <c r="B36" s="11" t="s">
        <v>56</v>
      </c>
      <c r="C36" s="11" t="s">
        <v>308</v>
      </c>
      <c r="D36" s="11" t="s">
        <v>100</v>
      </c>
      <c r="E36" s="11">
        <v>5.5</v>
      </c>
      <c r="F36" s="11" t="s">
        <v>103</v>
      </c>
      <c r="G36" s="11"/>
    </row>
    <row r="37" spans="1:7" x14ac:dyDescent="0.25">
      <c r="A37" s="13">
        <v>45855</v>
      </c>
      <c r="B37" s="11" t="s">
        <v>58</v>
      </c>
      <c r="C37" s="11" t="s">
        <v>121</v>
      </c>
      <c r="D37" s="11" t="s">
        <v>269</v>
      </c>
      <c r="E37" s="11">
        <v>4</v>
      </c>
      <c r="F37" s="11"/>
      <c r="G37" s="11"/>
    </row>
    <row r="38" spans="1:7" x14ac:dyDescent="0.25">
      <c r="A38" s="13">
        <v>45855</v>
      </c>
      <c r="B38" s="11" t="s">
        <v>49</v>
      </c>
      <c r="C38" s="11" t="s">
        <v>102</v>
      </c>
      <c r="D38" s="11" t="s">
        <v>107</v>
      </c>
      <c r="E38" s="11">
        <v>5</v>
      </c>
      <c r="F38" s="11" t="s">
        <v>103</v>
      </c>
      <c r="G38" s="11"/>
    </row>
    <row r="39" spans="1:7" x14ac:dyDescent="0.25">
      <c r="A39" s="13">
        <v>45856</v>
      </c>
      <c r="B39" s="11" t="s">
        <v>56</v>
      </c>
      <c r="C39" s="11" t="s">
        <v>219</v>
      </c>
      <c r="D39" s="11" t="s">
        <v>172</v>
      </c>
      <c r="E39" s="11">
        <v>5</v>
      </c>
      <c r="F39" s="11"/>
      <c r="G39" s="11"/>
    </row>
    <row r="40" spans="1:7" x14ac:dyDescent="0.25">
      <c r="A40" s="13">
        <v>45856</v>
      </c>
      <c r="B40" s="11" t="s">
        <v>56</v>
      </c>
      <c r="C40" s="11" t="s">
        <v>308</v>
      </c>
      <c r="D40" s="11" t="s">
        <v>100</v>
      </c>
      <c r="E40" s="11">
        <v>5.5</v>
      </c>
      <c r="F40" s="11" t="s">
        <v>103</v>
      </c>
      <c r="G40" s="11"/>
    </row>
    <row r="41" spans="1:7" x14ac:dyDescent="0.25">
      <c r="A41" s="13">
        <v>45857</v>
      </c>
      <c r="B41" s="11" t="s">
        <v>56</v>
      </c>
      <c r="C41" s="11" t="s">
        <v>308</v>
      </c>
      <c r="D41" s="11" t="s">
        <v>100</v>
      </c>
      <c r="E41" s="11">
        <v>5.5</v>
      </c>
      <c r="F41" s="11" t="s">
        <v>103</v>
      </c>
      <c r="G41" s="11"/>
    </row>
    <row r="42" spans="1:7" x14ac:dyDescent="0.25">
      <c r="A42" s="13">
        <v>45857</v>
      </c>
      <c r="B42" s="11" t="s">
        <v>58</v>
      </c>
      <c r="C42" s="11" t="s">
        <v>102</v>
      </c>
      <c r="D42" s="11" t="s">
        <v>172</v>
      </c>
      <c r="E42" s="11">
        <v>6.5</v>
      </c>
      <c r="F42" s="11" t="s">
        <v>103</v>
      </c>
      <c r="G42" s="11"/>
    </row>
    <row r="43" spans="1:7" x14ac:dyDescent="0.25">
      <c r="A43" s="13">
        <v>45858</v>
      </c>
      <c r="B43" s="11" t="s">
        <v>49</v>
      </c>
      <c r="C43" s="11" t="s">
        <v>309</v>
      </c>
      <c r="D43" s="19" t="s">
        <v>223</v>
      </c>
      <c r="E43" s="11">
        <v>7.15</v>
      </c>
      <c r="F43" s="11" t="s">
        <v>103</v>
      </c>
      <c r="G43" s="11"/>
    </row>
    <row r="44" spans="1:7" x14ac:dyDescent="0.25">
      <c r="A44" s="13">
        <v>45858</v>
      </c>
      <c r="B44" s="11" t="s">
        <v>56</v>
      </c>
      <c r="C44" s="11" t="s">
        <v>308</v>
      </c>
      <c r="D44" s="19" t="s">
        <v>126</v>
      </c>
      <c r="E44" s="11">
        <v>5</v>
      </c>
      <c r="F44" s="11"/>
      <c r="G44" s="11"/>
    </row>
    <row r="45" spans="1:7" x14ac:dyDescent="0.25">
      <c r="A45" s="13">
        <v>45858</v>
      </c>
      <c r="B45" s="11" t="s">
        <v>53</v>
      </c>
      <c r="C45" s="11" t="s">
        <v>223</v>
      </c>
      <c r="D45" s="19" t="s">
        <v>183</v>
      </c>
      <c r="E45" s="11">
        <v>8</v>
      </c>
      <c r="F45" s="11" t="s">
        <v>122</v>
      </c>
      <c r="G45" s="11"/>
    </row>
    <row r="46" spans="1:7" x14ac:dyDescent="0.25">
      <c r="A46" s="13">
        <v>45858</v>
      </c>
      <c r="B46" s="11" t="s">
        <v>58</v>
      </c>
      <c r="C46" s="11" t="s">
        <v>105</v>
      </c>
      <c r="D46" s="19" t="s">
        <v>172</v>
      </c>
      <c r="E46" s="11">
        <v>7.5</v>
      </c>
      <c r="F46" s="11" t="s">
        <v>103</v>
      </c>
      <c r="G46" s="11"/>
    </row>
    <row r="47" spans="1:7" x14ac:dyDescent="0.25">
      <c r="A47" s="13">
        <v>45858</v>
      </c>
      <c r="B47" s="11" t="s">
        <v>46</v>
      </c>
      <c r="C47" s="11" t="s">
        <v>104</v>
      </c>
      <c r="D47" s="19" t="s">
        <v>155</v>
      </c>
      <c r="E47" s="11">
        <v>7.5</v>
      </c>
      <c r="F47" s="11" t="s">
        <v>103</v>
      </c>
      <c r="G47" s="11"/>
    </row>
    <row r="48" spans="1:7" x14ac:dyDescent="0.25">
      <c r="A48" s="13">
        <v>45859</v>
      </c>
      <c r="B48" s="11" t="s">
        <v>53</v>
      </c>
      <c r="C48" s="11" t="s">
        <v>102</v>
      </c>
      <c r="D48" s="11" t="s">
        <v>269</v>
      </c>
      <c r="E48" s="11">
        <v>5</v>
      </c>
      <c r="F48" s="11"/>
      <c r="G48" s="11"/>
    </row>
    <row r="49" spans="1:7" x14ac:dyDescent="0.25">
      <c r="A49" s="13">
        <v>45859</v>
      </c>
      <c r="B49" s="11" t="s">
        <v>53</v>
      </c>
      <c r="C49" s="11" t="s">
        <v>308</v>
      </c>
      <c r="D49" s="11" t="s">
        <v>102</v>
      </c>
      <c r="E49" s="11">
        <v>7.5</v>
      </c>
      <c r="F49" s="11" t="s">
        <v>103</v>
      </c>
      <c r="G49" s="11"/>
    </row>
    <row r="50" spans="1:7" x14ac:dyDescent="0.25">
      <c r="A50" s="13">
        <v>45859</v>
      </c>
      <c r="B50" s="11" t="s">
        <v>58</v>
      </c>
      <c r="C50" s="11" t="s">
        <v>303</v>
      </c>
      <c r="D50" s="19">
        <v>0.125</v>
      </c>
      <c r="E50" s="11">
        <v>6</v>
      </c>
      <c r="F50" s="11" t="s">
        <v>103</v>
      </c>
      <c r="G50" s="11"/>
    </row>
    <row r="51" spans="1:7" x14ac:dyDescent="0.25">
      <c r="A51" s="13">
        <v>45860</v>
      </c>
      <c r="B51" s="11" t="s">
        <v>56</v>
      </c>
      <c r="C51" s="11" t="s">
        <v>308</v>
      </c>
      <c r="D51" s="11" t="s">
        <v>100</v>
      </c>
      <c r="E51" s="11">
        <v>5.5</v>
      </c>
      <c r="F51" s="11" t="s">
        <v>103</v>
      </c>
      <c r="G51" s="11"/>
    </row>
    <row r="52" spans="1:7" x14ac:dyDescent="0.25">
      <c r="A52" s="13">
        <v>45861</v>
      </c>
      <c r="B52" s="11" t="s">
        <v>56</v>
      </c>
      <c r="C52" s="11" t="s">
        <v>308</v>
      </c>
      <c r="D52" s="11" t="s">
        <v>100</v>
      </c>
      <c r="E52" s="11">
        <v>5.5</v>
      </c>
      <c r="F52" s="11" t="s">
        <v>103</v>
      </c>
      <c r="G52" s="11"/>
    </row>
    <row r="53" spans="1:7" x14ac:dyDescent="0.25">
      <c r="A53" s="13">
        <v>45862</v>
      </c>
      <c r="B53" s="11" t="s">
        <v>56</v>
      </c>
      <c r="C53" s="11" t="s">
        <v>308</v>
      </c>
      <c r="D53" s="11" t="s">
        <v>100</v>
      </c>
      <c r="E53" s="11">
        <v>5.5</v>
      </c>
      <c r="F53" s="11" t="s">
        <v>103</v>
      </c>
      <c r="G53" s="11"/>
    </row>
    <row r="54" spans="1:7" x14ac:dyDescent="0.25">
      <c r="A54" s="13">
        <v>45862</v>
      </c>
      <c r="B54" s="11" t="s">
        <v>49</v>
      </c>
      <c r="C54" s="11" t="s">
        <v>102</v>
      </c>
      <c r="D54" s="11" t="s">
        <v>255</v>
      </c>
      <c r="E54" s="11">
        <v>6</v>
      </c>
      <c r="F54" s="11" t="s">
        <v>103</v>
      </c>
      <c r="G54" s="11"/>
    </row>
    <row r="55" spans="1:7" x14ac:dyDescent="0.25">
      <c r="A55" s="13">
        <v>45863</v>
      </c>
      <c r="B55" s="11" t="s">
        <v>56</v>
      </c>
      <c r="C55" s="11" t="s">
        <v>308</v>
      </c>
      <c r="D55" s="11" t="s">
        <v>100</v>
      </c>
      <c r="E55" s="11">
        <v>5.5</v>
      </c>
      <c r="F55" s="11" t="s">
        <v>103</v>
      </c>
      <c r="G55" s="11"/>
    </row>
    <row r="56" spans="1:7" x14ac:dyDescent="0.25">
      <c r="A56" s="13">
        <v>45863</v>
      </c>
      <c r="B56" s="11" t="s">
        <v>56</v>
      </c>
      <c r="C56" s="11" t="s">
        <v>219</v>
      </c>
      <c r="D56" s="11" t="s">
        <v>172</v>
      </c>
      <c r="E56" s="11">
        <v>5</v>
      </c>
      <c r="F56" s="11"/>
      <c r="G56" s="11"/>
    </row>
    <row r="57" spans="1:7" x14ac:dyDescent="0.25">
      <c r="A57" s="13">
        <v>45864</v>
      </c>
      <c r="B57" s="11" t="s">
        <v>56</v>
      </c>
      <c r="C57" s="11" t="s">
        <v>308</v>
      </c>
      <c r="D57" s="11" t="s">
        <v>100</v>
      </c>
      <c r="E57" s="11">
        <v>5.5</v>
      </c>
      <c r="F57" s="11" t="s">
        <v>103</v>
      </c>
      <c r="G57" s="11"/>
    </row>
    <row r="58" spans="1:7" x14ac:dyDescent="0.25">
      <c r="A58" s="13">
        <v>45865</v>
      </c>
      <c r="B58" s="11" t="s">
        <v>49</v>
      </c>
      <c r="C58" s="11" t="s">
        <v>130</v>
      </c>
      <c r="D58" s="11" t="s">
        <v>181</v>
      </c>
      <c r="E58" s="11">
        <v>8</v>
      </c>
      <c r="F58" s="11" t="s">
        <v>103</v>
      </c>
      <c r="G58" s="11"/>
    </row>
    <row r="59" spans="1:7" x14ac:dyDescent="0.25">
      <c r="A59" s="13">
        <v>45865</v>
      </c>
      <c r="B59" s="11" t="s">
        <v>56</v>
      </c>
      <c r="C59" s="11" t="s">
        <v>308</v>
      </c>
      <c r="D59" s="11" t="s">
        <v>126</v>
      </c>
      <c r="E59" s="11">
        <v>5</v>
      </c>
      <c r="F59" s="11"/>
      <c r="G59" s="11"/>
    </row>
    <row r="60" spans="1:7" x14ac:dyDescent="0.25">
      <c r="A60" s="13">
        <v>45865</v>
      </c>
      <c r="B60" s="11" t="s">
        <v>46</v>
      </c>
      <c r="C60" s="11" t="s">
        <v>126</v>
      </c>
      <c r="D60" s="11" t="s">
        <v>219</v>
      </c>
      <c r="E60" s="11">
        <v>5.5</v>
      </c>
      <c r="F60" s="11" t="s">
        <v>103</v>
      </c>
      <c r="G60" s="11"/>
    </row>
    <row r="61" spans="1:7" x14ac:dyDescent="0.25">
      <c r="A61" s="13">
        <v>45865</v>
      </c>
      <c r="B61" s="11" t="s">
        <v>58</v>
      </c>
      <c r="C61" s="11" t="s">
        <v>181</v>
      </c>
      <c r="D61" s="11" t="s">
        <v>107</v>
      </c>
      <c r="E61" s="11">
        <v>5.5</v>
      </c>
      <c r="F61" s="11" t="s">
        <v>103</v>
      </c>
      <c r="G61" s="11"/>
    </row>
    <row r="62" spans="1:7" x14ac:dyDescent="0.25">
      <c r="A62" s="13">
        <v>45866</v>
      </c>
      <c r="B62" s="11" t="s">
        <v>53</v>
      </c>
      <c r="C62" s="11" t="s">
        <v>118</v>
      </c>
      <c r="D62" s="11" t="s">
        <v>105</v>
      </c>
      <c r="E62" s="11">
        <v>5</v>
      </c>
      <c r="F62" s="11"/>
      <c r="G62" s="11"/>
    </row>
    <row r="63" spans="1:7" x14ac:dyDescent="0.25">
      <c r="A63" s="13">
        <v>45867</v>
      </c>
      <c r="B63" s="11" t="s">
        <v>58</v>
      </c>
      <c r="C63" s="11" t="s">
        <v>296</v>
      </c>
      <c r="D63" s="11" t="s">
        <v>107</v>
      </c>
      <c r="E63" s="11">
        <v>5</v>
      </c>
      <c r="F63" s="11"/>
      <c r="G63" s="11"/>
    </row>
    <row r="64" spans="1:7" x14ac:dyDescent="0.25">
      <c r="A64" s="13">
        <v>45867</v>
      </c>
      <c r="B64" s="11" t="s">
        <v>56</v>
      </c>
      <c r="C64" s="11" t="s">
        <v>308</v>
      </c>
      <c r="D64" s="11" t="s">
        <v>100</v>
      </c>
      <c r="E64" s="11">
        <v>5.5</v>
      </c>
      <c r="F64" s="11" t="s">
        <v>103</v>
      </c>
      <c r="G64" s="11"/>
    </row>
    <row r="65" spans="1:7" x14ac:dyDescent="0.25">
      <c r="A65" s="13">
        <v>45868</v>
      </c>
      <c r="B65" s="11" t="s">
        <v>56</v>
      </c>
      <c r="C65" s="11" t="s">
        <v>308</v>
      </c>
      <c r="D65" s="11" t="s">
        <v>100</v>
      </c>
      <c r="E65" s="11">
        <v>5.5</v>
      </c>
      <c r="F65" s="11" t="s">
        <v>103</v>
      </c>
      <c r="G65" s="11"/>
    </row>
    <row r="66" spans="1:7" x14ac:dyDescent="0.25">
      <c r="A66" s="13">
        <v>45869</v>
      </c>
      <c r="B66" s="11" t="s">
        <v>56</v>
      </c>
      <c r="C66" s="11" t="s">
        <v>308</v>
      </c>
      <c r="D66" s="11" t="s">
        <v>100</v>
      </c>
      <c r="E66" s="11">
        <v>5.5</v>
      </c>
      <c r="F66" s="11" t="s">
        <v>103</v>
      </c>
      <c r="G66" s="11"/>
    </row>
    <row r="67" spans="1:7" x14ac:dyDescent="0.25">
      <c r="A67" s="13">
        <v>45869</v>
      </c>
      <c r="B67" s="11" t="s">
        <v>56</v>
      </c>
      <c r="C67" s="11" t="s">
        <v>102</v>
      </c>
      <c r="D67" s="11" t="s">
        <v>111</v>
      </c>
      <c r="E67" s="11">
        <v>5.5</v>
      </c>
      <c r="F67" s="11" t="s">
        <v>103</v>
      </c>
      <c r="G67" s="11"/>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7" tint="0.39997558519241921"/>
  </sheetPr>
  <dimension ref="A1:G73"/>
  <sheetViews>
    <sheetView workbookViewId="0">
      <selection activeCell="A2" sqref="A1:B1048576"/>
    </sheetView>
  </sheetViews>
  <sheetFormatPr defaultRowHeight="15" x14ac:dyDescent="0.25"/>
  <cols>
    <col min="2" max="2" width="78.5703125" customWidth="1"/>
    <col min="3" max="3" width="13.5703125" customWidth="1"/>
    <col min="4" max="4" width="12.5703125" customWidth="1"/>
    <col min="5" max="5" width="15.7109375" customWidth="1"/>
    <col min="6" max="6" width="23.42578125" customWidth="1"/>
    <col min="7" max="7" width="19.28515625" bestFit="1" customWidth="1"/>
  </cols>
  <sheetData>
    <row r="1" spans="1:7" x14ac:dyDescent="0.25">
      <c r="A1" s="9" t="s">
        <v>83</v>
      </c>
      <c r="B1" s="9" t="s">
        <v>84</v>
      </c>
      <c r="C1" s="9" t="s">
        <v>85</v>
      </c>
      <c r="D1" s="9" t="s">
        <v>86</v>
      </c>
      <c r="E1" s="9" t="s">
        <v>16</v>
      </c>
      <c r="F1" s="9" t="s">
        <v>87</v>
      </c>
      <c r="G1" s="9" t="s">
        <v>25</v>
      </c>
    </row>
    <row r="2" spans="1:7" x14ac:dyDescent="0.25">
      <c r="A2" s="22">
        <v>45870</v>
      </c>
      <c r="B2" s="23" t="s">
        <v>56</v>
      </c>
      <c r="C2" s="23" t="s">
        <v>120</v>
      </c>
      <c r="D2" s="23" t="s">
        <v>100</v>
      </c>
      <c r="E2" s="24">
        <v>5.5</v>
      </c>
      <c r="F2" s="23" t="s">
        <v>103</v>
      </c>
      <c r="G2" s="12">
        <f>SUM(E:E)</f>
        <v>375.1</v>
      </c>
    </row>
    <row r="3" spans="1:7" x14ac:dyDescent="0.25">
      <c r="A3" s="13">
        <v>45870</v>
      </c>
      <c r="B3" s="25" t="s">
        <v>56</v>
      </c>
      <c r="C3" s="11" t="s">
        <v>219</v>
      </c>
      <c r="D3" s="11" t="s">
        <v>172</v>
      </c>
      <c r="E3" s="11">
        <v>5</v>
      </c>
      <c r="F3" s="11"/>
      <c r="G3" s="11"/>
    </row>
    <row r="4" spans="1:7" x14ac:dyDescent="0.25">
      <c r="A4" s="13">
        <v>45871</v>
      </c>
      <c r="B4" s="11" t="s">
        <v>56</v>
      </c>
      <c r="C4" s="11" t="s">
        <v>120</v>
      </c>
      <c r="D4" s="11" t="s">
        <v>100</v>
      </c>
      <c r="E4" s="11">
        <v>5</v>
      </c>
      <c r="F4" s="11" t="s">
        <v>103</v>
      </c>
      <c r="G4" s="11"/>
    </row>
    <row r="5" spans="1:7" x14ac:dyDescent="0.25">
      <c r="A5" s="13">
        <v>45872</v>
      </c>
      <c r="B5" s="11" t="s">
        <v>49</v>
      </c>
      <c r="C5" s="11" t="s">
        <v>297</v>
      </c>
      <c r="D5" s="11" t="s">
        <v>118</v>
      </c>
      <c r="E5" s="11">
        <v>2.5</v>
      </c>
      <c r="F5" s="11"/>
      <c r="G5" s="11"/>
    </row>
    <row r="6" spans="1:7" x14ac:dyDescent="0.25">
      <c r="A6" s="13">
        <v>45872</v>
      </c>
      <c r="B6" s="11" t="s">
        <v>56</v>
      </c>
      <c r="C6" s="11" t="s">
        <v>120</v>
      </c>
      <c r="D6" s="11" t="s">
        <v>126</v>
      </c>
      <c r="E6" s="11">
        <v>5</v>
      </c>
      <c r="F6" s="11"/>
      <c r="G6" s="11"/>
    </row>
    <row r="7" spans="1:7" x14ac:dyDescent="0.25">
      <c r="A7" s="13">
        <v>45872</v>
      </c>
      <c r="B7" s="11" t="s">
        <v>46</v>
      </c>
      <c r="C7" s="11" t="s">
        <v>105</v>
      </c>
      <c r="D7" s="11" t="s">
        <v>166</v>
      </c>
      <c r="E7" s="11">
        <v>5</v>
      </c>
      <c r="F7" s="11"/>
      <c r="G7" s="11"/>
    </row>
    <row r="8" spans="1:7" x14ac:dyDescent="0.25">
      <c r="A8" s="13">
        <v>45873</v>
      </c>
      <c r="B8" s="11"/>
      <c r="C8" s="11"/>
      <c r="D8" s="11"/>
      <c r="E8" s="11"/>
      <c r="F8" s="11"/>
      <c r="G8" s="11"/>
    </row>
    <row r="9" spans="1:7" x14ac:dyDescent="0.25">
      <c r="A9" s="13">
        <v>45874</v>
      </c>
      <c r="B9" s="11" t="s">
        <v>49</v>
      </c>
      <c r="C9" s="11" t="s">
        <v>99</v>
      </c>
      <c r="D9" s="11" t="s">
        <v>105</v>
      </c>
      <c r="E9" s="11">
        <v>5.5</v>
      </c>
      <c r="F9" s="11" t="s">
        <v>103</v>
      </c>
      <c r="G9" s="11"/>
    </row>
    <row r="10" spans="1:7" x14ac:dyDescent="0.25">
      <c r="A10" s="13">
        <v>45874</v>
      </c>
      <c r="B10" s="11" t="s">
        <v>56</v>
      </c>
      <c r="C10" s="11" t="s">
        <v>120</v>
      </c>
      <c r="D10" s="11" t="s">
        <v>100</v>
      </c>
      <c r="E10" s="11">
        <v>5.5</v>
      </c>
      <c r="F10" s="11" t="s">
        <v>103</v>
      </c>
      <c r="G10" s="11"/>
    </row>
    <row r="11" spans="1:7" x14ac:dyDescent="0.25">
      <c r="A11" s="13">
        <v>45875</v>
      </c>
      <c r="B11" s="11" t="s">
        <v>56</v>
      </c>
      <c r="C11" s="11" t="s">
        <v>120</v>
      </c>
      <c r="D11" s="11" t="s">
        <v>100</v>
      </c>
      <c r="E11" s="11">
        <v>5.5</v>
      </c>
      <c r="F11" s="11" t="s">
        <v>103</v>
      </c>
      <c r="G11" s="11"/>
    </row>
    <row r="12" spans="1:7" x14ac:dyDescent="0.25">
      <c r="A12" s="13">
        <v>45876</v>
      </c>
      <c r="B12" s="11" t="s">
        <v>56</v>
      </c>
      <c r="C12" s="11" t="s">
        <v>120</v>
      </c>
      <c r="D12" s="11" t="s">
        <v>100</v>
      </c>
      <c r="E12" s="11">
        <v>5.5</v>
      </c>
      <c r="F12" s="11" t="s">
        <v>103</v>
      </c>
      <c r="G12" s="11"/>
    </row>
    <row r="13" spans="1:7" x14ac:dyDescent="0.25">
      <c r="A13" s="13">
        <v>45876</v>
      </c>
      <c r="B13" s="11" t="s">
        <v>49</v>
      </c>
      <c r="C13" s="11" t="s">
        <v>219</v>
      </c>
      <c r="D13" s="11" t="s">
        <v>111</v>
      </c>
      <c r="E13" s="11">
        <v>4</v>
      </c>
      <c r="F13" s="11"/>
      <c r="G13" s="11"/>
    </row>
    <row r="14" spans="1:7" x14ac:dyDescent="0.25">
      <c r="A14" s="13">
        <v>45876</v>
      </c>
      <c r="B14" s="11" t="s">
        <v>56</v>
      </c>
      <c r="C14" s="11" t="s">
        <v>102</v>
      </c>
      <c r="D14" s="11" t="s">
        <v>269</v>
      </c>
      <c r="E14" s="11">
        <v>5</v>
      </c>
      <c r="F14" s="11"/>
      <c r="G14" s="11"/>
    </row>
    <row r="15" spans="1:7" x14ac:dyDescent="0.25">
      <c r="A15" s="13">
        <v>45877</v>
      </c>
      <c r="B15" s="11" t="s">
        <v>56</v>
      </c>
      <c r="C15" s="11" t="s">
        <v>120</v>
      </c>
      <c r="D15" s="11" t="s">
        <v>100</v>
      </c>
      <c r="E15" s="11">
        <v>5.5</v>
      </c>
      <c r="F15" s="11" t="s">
        <v>103</v>
      </c>
      <c r="G15" s="11"/>
    </row>
    <row r="16" spans="1:7" x14ac:dyDescent="0.25">
      <c r="A16" s="13">
        <v>45877</v>
      </c>
      <c r="B16" s="11" t="s">
        <v>53</v>
      </c>
      <c r="C16" s="11" t="s">
        <v>102</v>
      </c>
      <c r="D16" s="11" t="s">
        <v>111</v>
      </c>
      <c r="E16" s="11">
        <v>6.6</v>
      </c>
      <c r="F16" s="11" t="s">
        <v>103</v>
      </c>
      <c r="G16" s="11"/>
    </row>
    <row r="17" spans="1:7" x14ac:dyDescent="0.25">
      <c r="A17" s="13">
        <v>45878</v>
      </c>
      <c r="B17" s="11" t="s">
        <v>56</v>
      </c>
      <c r="C17" s="11" t="s">
        <v>99</v>
      </c>
      <c r="D17" s="11" t="s">
        <v>100</v>
      </c>
      <c r="E17" s="11">
        <v>5</v>
      </c>
      <c r="F17" s="11"/>
      <c r="G17" s="11"/>
    </row>
    <row r="18" spans="1:7" x14ac:dyDescent="0.25">
      <c r="A18" s="13">
        <v>45878</v>
      </c>
      <c r="B18" s="11" t="s">
        <v>53</v>
      </c>
      <c r="C18" s="11" t="s">
        <v>102</v>
      </c>
      <c r="D18" s="11" t="s">
        <v>172</v>
      </c>
      <c r="E18" s="11">
        <v>6.5</v>
      </c>
      <c r="F18" s="11" t="s">
        <v>103</v>
      </c>
      <c r="G18" s="11"/>
    </row>
    <row r="19" spans="1:7" x14ac:dyDescent="0.25">
      <c r="A19" s="13">
        <v>45879</v>
      </c>
      <c r="B19" s="11" t="s">
        <v>56</v>
      </c>
      <c r="C19" s="11" t="s">
        <v>120</v>
      </c>
      <c r="D19" s="11" t="s">
        <v>126</v>
      </c>
      <c r="E19" s="11">
        <v>5</v>
      </c>
      <c r="F19" s="11"/>
      <c r="G19" s="11"/>
    </row>
    <row r="20" spans="1:7" x14ac:dyDescent="0.25">
      <c r="A20" s="13">
        <v>45879</v>
      </c>
      <c r="B20" s="11" t="s">
        <v>58</v>
      </c>
      <c r="C20" s="11" t="s">
        <v>188</v>
      </c>
      <c r="D20" s="11" t="s">
        <v>226</v>
      </c>
      <c r="E20" s="11">
        <v>6</v>
      </c>
      <c r="F20" s="11" t="s">
        <v>103</v>
      </c>
      <c r="G20" s="11"/>
    </row>
    <row r="21" spans="1:7" x14ac:dyDescent="0.25">
      <c r="A21" s="13">
        <v>45879</v>
      </c>
      <c r="B21" s="11" t="s">
        <v>49</v>
      </c>
      <c r="C21" s="11" t="s">
        <v>144</v>
      </c>
      <c r="D21" s="11" t="s">
        <v>302</v>
      </c>
      <c r="E21" s="11">
        <v>5.5</v>
      </c>
      <c r="F21" s="11" t="s">
        <v>103</v>
      </c>
      <c r="G21" s="11"/>
    </row>
    <row r="22" spans="1:7" x14ac:dyDescent="0.25">
      <c r="A22" s="13">
        <v>45879</v>
      </c>
      <c r="B22" s="11" t="s">
        <v>46</v>
      </c>
      <c r="C22" s="11" t="s">
        <v>180</v>
      </c>
      <c r="D22" s="11" t="s">
        <v>188</v>
      </c>
      <c r="E22" s="11">
        <v>6.5</v>
      </c>
      <c r="F22" s="11" t="s">
        <v>103</v>
      </c>
      <c r="G22" s="11"/>
    </row>
    <row r="23" spans="1:7" x14ac:dyDescent="0.25">
      <c r="A23" s="13">
        <v>45879</v>
      </c>
      <c r="B23" s="11" t="s">
        <v>58</v>
      </c>
      <c r="C23" s="11" t="s">
        <v>126</v>
      </c>
      <c r="D23" s="11" t="s">
        <v>188</v>
      </c>
      <c r="E23" s="11">
        <v>5</v>
      </c>
      <c r="F23" s="11" t="s">
        <v>103</v>
      </c>
      <c r="G23" s="11"/>
    </row>
    <row r="24" spans="1:7" x14ac:dyDescent="0.25">
      <c r="A24" s="13">
        <v>45880</v>
      </c>
      <c r="B24" s="11"/>
      <c r="C24" s="11"/>
      <c r="D24" s="11"/>
      <c r="E24" s="11"/>
      <c r="F24" s="11"/>
      <c r="G24" s="11"/>
    </row>
    <row r="25" spans="1:7" x14ac:dyDescent="0.25">
      <c r="A25" s="13">
        <v>45881</v>
      </c>
      <c r="B25" s="11" t="s">
        <v>56</v>
      </c>
      <c r="C25" s="11" t="s">
        <v>120</v>
      </c>
      <c r="D25" s="11" t="s">
        <v>100</v>
      </c>
      <c r="E25" s="11">
        <v>5.5</v>
      </c>
      <c r="F25" s="11" t="s">
        <v>103</v>
      </c>
      <c r="G25" s="11"/>
    </row>
    <row r="26" spans="1:7" x14ac:dyDescent="0.25">
      <c r="A26" s="13">
        <v>45882</v>
      </c>
      <c r="B26" s="11" t="s">
        <v>56</v>
      </c>
      <c r="C26" s="11" t="s">
        <v>120</v>
      </c>
      <c r="D26" s="11" t="s">
        <v>100</v>
      </c>
      <c r="E26" s="11">
        <v>5.5</v>
      </c>
      <c r="F26" s="11" t="s">
        <v>103</v>
      </c>
      <c r="G26" s="11"/>
    </row>
    <row r="27" spans="1:7" x14ac:dyDescent="0.25">
      <c r="A27" s="13">
        <v>45883</v>
      </c>
      <c r="B27" s="11" t="s">
        <v>56</v>
      </c>
      <c r="C27" s="11" t="s">
        <v>120</v>
      </c>
      <c r="D27" s="11" t="s">
        <v>100</v>
      </c>
      <c r="E27" s="11">
        <v>5.5</v>
      </c>
      <c r="F27" s="11" t="s">
        <v>103</v>
      </c>
      <c r="G27" s="11"/>
    </row>
    <row r="28" spans="1:7" x14ac:dyDescent="0.25">
      <c r="A28" s="13">
        <v>45883</v>
      </c>
      <c r="B28" s="11" t="s">
        <v>49</v>
      </c>
      <c r="C28" s="11" t="s">
        <v>102</v>
      </c>
      <c r="D28" s="11" t="s">
        <v>107</v>
      </c>
      <c r="E28" s="11">
        <v>5</v>
      </c>
      <c r="F28" s="11" t="s">
        <v>103</v>
      </c>
      <c r="G28" s="11"/>
    </row>
    <row r="29" spans="1:7" x14ac:dyDescent="0.25">
      <c r="A29" s="13">
        <v>45884</v>
      </c>
      <c r="B29" s="11" t="s">
        <v>56</v>
      </c>
      <c r="C29" s="11" t="s">
        <v>188</v>
      </c>
      <c r="D29" s="11" t="s">
        <v>172</v>
      </c>
      <c r="E29" s="11">
        <v>4.5</v>
      </c>
      <c r="F29" s="11"/>
      <c r="G29" s="11"/>
    </row>
    <row r="30" spans="1:7" x14ac:dyDescent="0.25">
      <c r="A30" s="13">
        <v>45884</v>
      </c>
      <c r="B30" s="11" t="s">
        <v>56</v>
      </c>
      <c r="C30" s="11" t="s">
        <v>120</v>
      </c>
      <c r="D30" s="11" t="s">
        <v>100</v>
      </c>
      <c r="E30" s="11">
        <v>5.5</v>
      </c>
      <c r="F30" s="11" t="s">
        <v>103</v>
      </c>
      <c r="G30" s="11"/>
    </row>
    <row r="31" spans="1:7" x14ac:dyDescent="0.25">
      <c r="A31" s="13">
        <v>45885</v>
      </c>
      <c r="B31" s="11" t="s">
        <v>53</v>
      </c>
      <c r="C31" s="11" t="s">
        <v>296</v>
      </c>
      <c r="D31" s="11" t="s">
        <v>172</v>
      </c>
      <c r="E31" s="11">
        <v>6</v>
      </c>
      <c r="F31" s="11" t="s">
        <v>103</v>
      </c>
      <c r="G31" s="11"/>
    </row>
    <row r="32" spans="1:7" x14ac:dyDescent="0.25">
      <c r="A32" s="13">
        <v>45885</v>
      </c>
      <c r="B32" s="11" t="s">
        <v>44</v>
      </c>
      <c r="C32" s="11" t="s">
        <v>120</v>
      </c>
      <c r="D32" s="11" t="s">
        <v>102</v>
      </c>
      <c r="E32" s="11">
        <v>7.5</v>
      </c>
      <c r="F32" s="11" t="s">
        <v>103</v>
      </c>
      <c r="G32" s="11"/>
    </row>
    <row r="33" spans="1:7" x14ac:dyDescent="0.25">
      <c r="A33" s="13">
        <v>45885</v>
      </c>
      <c r="B33" s="11" t="s">
        <v>56</v>
      </c>
      <c r="C33" s="11" t="s">
        <v>120</v>
      </c>
      <c r="D33" s="11" t="s">
        <v>100</v>
      </c>
      <c r="E33" s="11">
        <v>5.5</v>
      </c>
      <c r="F33" s="11" t="s">
        <v>103</v>
      </c>
      <c r="G33" s="11"/>
    </row>
    <row r="34" spans="1:7" x14ac:dyDescent="0.25">
      <c r="A34" s="13">
        <v>45886</v>
      </c>
      <c r="B34" s="11" t="s">
        <v>95</v>
      </c>
      <c r="C34" s="11" t="s">
        <v>118</v>
      </c>
      <c r="D34" s="11" t="s">
        <v>121</v>
      </c>
      <c r="E34" s="11">
        <v>6.5</v>
      </c>
      <c r="F34" s="11" t="s">
        <v>103</v>
      </c>
      <c r="G34" s="11"/>
    </row>
    <row r="35" spans="1:7" x14ac:dyDescent="0.25">
      <c r="A35" s="13">
        <v>45886</v>
      </c>
      <c r="B35" s="11" t="s">
        <v>49</v>
      </c>
      <c r="C35" s="11" t="s">
        <v>144</v>
      </c>
      <c r="D35" s="11" t="s">
        <v>301</v>
      </c>
      <c r="E35" s="11">
        <v>5.5</v>
      </c>
      <c r="F35" s="11" t="s">
        <v>103</v>
      </c>
      <c r="G35" s="11"/>
    </row>
    <row r="36" spans="1:7" x14ac:dyDescent="0.25">
      <c r="A36" s="13">
        <v>45886</v>
      </c>
      <c r="B36" s="11" t="s">
        <v>56</v>
      </c>
      <c r="C36" s="11" t="s">
        <v>120</v>
      </c>
      <c r="D36" s="19" t="s">
        <v>301</v>
      </c>
      <c r="E36" s="11">
        <v>4.5</v>
      </c>
      <c r="F36" s="11"/>
      <c r="G36" s="11"/>
    </row>
    <row r="37" spans="1:7" x14ac:dyDescent="0.25">
      <c r="A37" s="13">
        <v>45886</v>
      </c>
      <c r="B37" s="11" t="s">
        <v>58</v>
      </c>
      <c r="C37" s="11" t="s">
        <v>301</v>
      </c>
      <c r="D37" s="19" t="s">
        <v>177</v>
      </c>
      <c r="E37" s="11">
        <v>6.5</v>
      </c>
      <c r="F37" s="11" t="s">
        <v>103</v>
      </c>
      <c r="G37" s="11"/>
    </row>
    <row r="38" spans="1:7" x14ac:dyDescent="0.25">
      <c r="A38" s="13">
        <v>45886</v>
      </c>
      <c r="B38" s="11" t="s">
        <v>46</v>
      </c>
      <c r="C38" s="11" t="s">
        <v>132</v>
      </c>
      <c r="D38" s="19" t="s">
        <v>155</v>
      </c>
      <c r="E38" s="11">
        <v>6.5</v>
      </c>
      <c r="F38" s="11" t="s">
        <v>103</v>
      </c>
      <c r="G38" s="11"/>
    </row>
    <row r="39" spans="1:7" x14ac:dyDescent="0.25">
      <c r="A39" s="13">
        <v>45887</v>
      </c>
      <c r="B39" s="11" t="s">
        <v>58</v>
      </c>
      <c r="C39" s="11" t="s">
        <v>298</v>
      </c>
      <c r="D39" s="11" t="s">
        <v>296</v>
      </c>
      <c r="E39" s="11">
        <v>6.5</v>
      </c>
      <c r="F39" s="11" t="s">
        <v>103</v>
      </c>
      <c r="G39" s="11"/>
    </row>
    <row r="40" spans="1:7" x14ac:dyDescent="0.25">
      <c r="A40" s="13">
        <v>45887</v>
      </c>
      <c r="B40" s="11" t="s">
        <v>95</v>
      </c>
      <c r="C40" s="11" t="s">
        <v>118</v>
      </c>
      <c r="D40" s="11" t="s">
        <v>296</v>
      </c>
      <c r="E40" s="11">
        <v>6</v>
      </c>
      <c r="F40" s="11" t="s">
        <v>103</v>
      </c>
      <c r="G40" s="11"/>
    </row>
    <row r="41" spans="1:7" x14ac:dyDescent="0.25">
      <c r="A41" s="13">
        <v>45887</v>
      </c>
      <c r="B41" s="11" t="s">
        <v>53</v>
      </c>
      <c r="C41" s="11" t="s">
        <v>126</v>
      </c>
      <c r="D41" s="11" t="s">
        <v>155</v>
      </c>
      <c r="E41" s="11">
        <v>5.5</v>
      </c>
      <c r="F41" s="11" t="s">
        <v>103</v>
      </c>
      <c r="G41" s="11"/>
    </row>
    <row r="42" spans="1:7" x14ac:dyDescent="0.25">
      <c r="A42" s="13">
        <v>45887</v>
      </c>
      <c r="B42" s="11" t="s">
        <v>53</v>
      </c>
      <c r="C42" s="11" t="s">
        <v>120</v>
      </c>
      <c r="D42" s="11" t="s">
        <v>126</v>
      </c>
      <c r="E42" s="11">
        <v>5</v>
      </c>
      <c r="F42" s="11"/>
      <c r="G42" s="11"/>
    </row>
    <row r="43" spans="1:7" x14ac:dyDescent="0.25">
      <c r="A43" s="13">
        <v>45888</v>
      </c>
      <c r="B43" s="11" t="s">
        <v>56</v>
      </c>
      <c r="C43" s="11" t="s">
        <v>120</v>
      </c>
      <c r="D43" s="11" t="s">
        <v>100</v>
      </c>
      <c r="E43" s="11">
        <v>5.5</v>
      </c>
      <c r="F43" s="11" t="s">
        <v>103</v>
      </c>
      <c r="G43" s="11"/>
    </row>
    <row r="44" spans="1:7" x14ac:dyDescent="0.25">
      <c r="A44" s="13">
        <v>45889</v>
      </c>
      <c r="B44" s="11" t="s">
        <v>56</v>
      </c>
      <c r="C44" s="11" t="s">
        <v>120</v>
      </c>
      <c r="D44" s="11" t="s">
        <v>100</v>
      </c>
      <c r="E44" s="11">
        <v>5.5</v>
      </c>
      <c r="F44" s="11" t="s">
        <v>103</v>
      </c>
      <c r="G44" s="11"/>
    </row>
    <row r="45" spans="1:7" x14ac:dyDescent="0.25">
      <c r="A45" s="13">
        <v>45889</v>
      </c>
      <c r="B45" s="11" t="s">
        <v>51</v>
      </c>
      <c r="C45" s="11" t="s">
        <v>100</v>
      </c>
      <c r="D45" s="11" t="s">
        <v>166</v>
      </c>
      <c r="E45" s="11">
        <v>5.5</v>
      </c>
      <c r="F45" s="11" t="s">
        <v>103</v>
      </c>
      <c r="G45" s="11"/>
    </row>
    <row r="46" spans="1:7" x14ac:dyDescent="0.25">
      <c r="A46" s="13">
        <v>45889</v>
      </c>
      <c r="B46" s="11" t="s">
        <v>51</v>
      </c>
      <c r="C46" s="11" t="s">
        <v>166</v>
      </c>
      <c r="D46" s="11" t="s">
        <v>189</v>
      </c>
      <c r="E46" s="11">
        <v>4</v>
      </c>
      <c r="F46" s="11"/>
      <c r="G46" s="11"/>
    </row>
    <row r="47" spans="1:7" x14ac:dyDescent="0.25">
      <c r="A47" s="13">
        <v>45890</v>
      </c>
      <c r="B47" s="11" t="s">
        <v>56</v>
      </c>
      <c r="C47" s="11" t="s">
        <v>120</v>
      </c>
      <c r="D47" s="11" t="s">
        <v>100</v>
      </c>
      <c r="E47" s="11">
        <v>5.5</v>
      </c>
      <c r="F47" s="11" t="s">
        <v>103</v>
      </c>
      <c r="G47" s="11"/>
    </row>
    <row r="48" spans="1:7" x14ac:dyDescent="0.25">
      <c r="A48" s="13">
        <v>45890</v>
      </c>
      <c r="B48" s="11" t="s">
        <v>49</v>
      </c>
      <c r="C48" s="11" t="s">
        <v>102</v>
      </c>
      <c r="D48" s="11" t="s">
        <v>107</v>
      </c>
      <c r="E48" s="11">
        <v>5</v>
      </c>
      <c r="F48" s="11" t="s">
        <v>103</v>
      </c>
      <c r="G48" s="11"/>
    </row>
    <row r="49" spans="1:7" x14ac:dyDescent="0.25">
      <c r="A49" s="13">
        <v>45891</v>
      </c>
      <c r="B49" s="11" t="s">
        <v>53</v>
      </c>
      <c r="C49" s="11" t="s">
        <v>126</v>
      </c>
      <c r="D49" s="11" t="s">
        <v>188</v>
      </c>
      <c r="E49" s="11">
        <v>5</v>
      </c>
      <c r="F49" s="11" t="s">
        <v>103</v>
      </c>
      <c r="G49" s="11"/>
    </row>
    <row r="50" spans="1:7" x14ac:dyDescent="0.25">
      <c r="A50" s="13">
        <v>45891</v>
      </c>
      <c r="B50" s="11" t="s">
        <v>53</v>
      </c>
      <c r="C50" s="11" t="s">
        <v>188</v>
      </c>
      <c r="D50" s="11" t="s">
        <v>183</v>
      </c>
      <c r="E50" s="11">
        <v>5</v>
      </c>
      <c r="F50" s="11"/>
      <c r="G50" s="11"/>
    </row>
    <row r="51" spans="1:7" x14ac:dyDescent="0.25">
      <c r="A51" s="13">
        <v>45891</v>
      </c>
      <c r="B51" s="11" t="s">
        <v>56</v>
      </c>
      <c r="C51" s="11" t="s">
        <v>120</v>
      </c>
      <c r="D51" s="11" t="s">
        <v>100</v>
      </c>
      <c r="E51" s="11">
        <v>5.5</v>
      </c>
      <c r="F51" s="11" t="s">
        <v>103</v>
      </c>
      <c r="G51" s="11"/>
    </row>
    <row r="52" spans="1:7" x14ac:dyDescent="0.25">
      <c r="A52" s="13">
        <v>45891</v>
      </c>
      <c r="B52" s="11" t="s">
        <v>56</v>
      </c>
      <c r="C52" s="11" t="s">
        <v>121</v>
      </c>
      <c r="D52" s="11" t="s">
        <v>172</v>
      </c>
      <c r="E52" s="11">
        <v>5.5</v>
      </c>
      <c r="F52" s="11" t="s">
        <v>103</v>
      </c>
      <c r="G52" s="11"/>
    </row>
    <row r="53" spans="1:7" x14ac:dyDescent="0.25">
      <c r="A53" s="13">
        <v>45892</v>
      </c>
      <c r="B53" s="11" t="s">
        <v>56</v>
      </c>
      <c r="C53" s="11" t="s">
        <v>120</v>
      </c>
      <c r="D53" s="11" t="s">
        <v>100</v>
      </c>
      <c r="E53" s="11">
        <v>5.5</v>
      </c>
      <c r="F53" s="11" t="s">
        <v>103</v>
      </c>
      <c r="G53" s="11"/>
    </row>
    <row r="54" spans="1:7" x14ac:dyDescent="0.25">
      <c r="A54" s="13">
        <v>45893</v>
      </c>
      <c r="B54" s="11" t="s">
        <v>49</v>
      </c>
      <c r="C54" s="11" t="s">
        <v>144</v>
      </c>
      <c r="D54" s="11" t="s">
        <v>301</v>
      </c>
      <c r="E54" s="11">
        <v>5.5</v>
      </c>
      <c r="F54" s="11" t="s">
        <v>103</v>
      </c>
      <c r="G54" s="11"/>
    </row>
    <row r="55" spans="1:7" x14ac:dyDescent="0.25">
      <c r="A55" s="13">
        <v>45893</v>
      </c>
      <c r="B55" s="11" t="s">
        <v>53</v>
      </c>
      <c r="C55" s="11" t="s">
        <v>157</v>
      </c>
      <c r="D55" s="11" t="s">
        <v>177</v>
      </c>
      <c r="E55" s="11">
        <v>5.5</v>
      </c>
      <c r="F55" s="11" t="s">
        <v>103</v>
      </c>
      <c r="G55" s="11"/>
    </row>
    <row r="56" spans="1:7" x14ac:dyDescent="0.25">
      <c r="A56" s="13">
        <v>45893</v>
      </c>
      <c r="B56" s="11" t="s">
        <v>56</v>
      </c>
      <c r="C56" s="11" t="s">
        <v>120</v>
      </c>
      <c r="D56" s="11" t="s">
        <v>105</v>
      </c>
      <c r="E56" s="11">
        <v>6.5</v>
      </c>
      <c r="F56" s="11" t="s">
        <v>103</v>
      </c>
      <c r="G56" s="11"/>
    </row>
    <row r="57" spans="1:7" x14ac:dyDescent="0.25">
      <c r="A57" s="13">
        <v>45894</v>
      </c>
      <c r="B57" s="11" t="s">
        <v>56</v>
      </c>
      <c r="C57" s="11" t="s">
        <v>157</v>
      </c>
      <c r="D57" s="11" t="s">
        <v>155</v>
      </c>
      <c r="E57" s="11">
        <v>5</v>
      </c>
      <c r="F57" s="11" t="s">
        <v>103</v>
      </c>
      <c r="G57" s="11"/>
    </row>
    <row r="58" spans="1:7" x14ac:dyDescent="0.25">
      <c r="A58" s="13">
        <v>45894</v>
      </c>
      <c r="B58" s="11" t="s">
        <v>58</v>
      </c>
      <c r="C58" s="11" t="s">
        <v>120</v>
      </c>
      <c r="D58" s="11" t="s">
        <v>157</v>
      </c>
      <c r="E58" s="11">
        <v>5</v>
      </c>
      <c r="F58" s="11" t="s">
        <v>103</v>
      </c>
      <c r="G58" s="11"/>
    </row>
    <row r="59" spans="1:7" x14ac:dyDescent="0.25">
      <c r="A59" s="13">
        <v>45894</v>
      </c>
      <c r="B59" s="11" t="s">
        <v>58</v>
      </c>
      <c r="C59" s="11" t="s">
        <v>155</v>
      </c>
      <c r="D59" s="11" t="s">
        <v>189</v>
      </c>
      <c r="E59" s="11">
        <v>5</v>
      </c>
      <c r="F59" s="11"/>
      <c r="G59" s="11"/>
    </row>
    <row r="60" spans="1:7" x14ac:dyDescent="0.25">
      <c r="A60" s="13">
        <v>45895</v>
      </c>
      <c r="B60" s="11" t="s">
        <v>56</v>
      </c>
      <c r="C60" s="11" t="s">
        <v>120</v>
      </c>
      <c r="D60" s="11" t="s">
        <v>100</v>
      </c>
      <c r="E60" s="11">
        <v>5.5</v>
      </c>
      <c r="F60" s="11" t="s">
        <v>103</v>
      </c>
      <c r="G60" s="11"/>
    </row>
    <row r="61" spans="1:7" x14ac:dyDescent="0.25">
      <c r="A61" s="13">
        <v>45895</v>
      </c>
      <c r="B61" s="11" t="s">
        <v>56</v>
      </c>
      <c r="C61" s="11" t="s">
        <v>102</v>
      </c>
      <c r="D61" s="11" t="s">
        <v>269</v>
      </c>
      <c r="E61" s="11">
        <v>5</v>
      </c>
      <c r="F61" s="11"/>
      <c r="G61" s="11"/>
    </row>
    <row r="62" spans="1:7" x14ac:dyDescent="0.25">
      <c r="A62" s="13">
        <v>45896</v>
      </c>
      <c r="B62" s="11" t="s">
        <v>56</v>
      </c>
      <c r="C62" s="11" t="s">
        <v>120</v>
      </c>
      <c r="D62" s="11" t="s">
        <v>100</v>
      </c>
      <c r="E62" s="11">
        <v>5.5</v>
      </c>
      <c r="F62" s="11" t="s">
        <v>103</v>
      </c>
      <c r="G62" s="11"/>
    </row>
    <row r="63" spans="1:7" x14ac:dyDescent="0.25">
      <c r="A63" s="13">
        <v>45897</v>
      </c>
      <c r="B63" s="11" t="s">
        <v>56</v>
      </c>
      <c r="C63" s="11" t="s">
        <v>120</v>
      </c>
      <c r="D63" s="11" t="s">
        <v>100</v>
      </c>
      <c r="E63" s="11">
        <v>5.5</v>
      </c>
      <c r="F63" s="11" t="s">
        <v>103</v>
      </c>
      <c r="G63" s="11"/>
    </row>
    <row r="64" spans="1:7" x14ac:dyDescent="0.25">
      <c r="A64" s="13">
        <v>45897</v>
      </c>
      <c r="B64" s="11" t="s">
        <v>49</v>
      </c>
      <c r="C64" s="19" t="s">
        <v>102</v>
      </c>
      <c r="D64" s="11" t="s">
        <v>107</v>
      </c>
      <c r="E64" s="11">
        <v>5</v>
      </c>
      <c r="F64" s="11" t="s">
        <v>103</v>
      </c>
      <c r="G64" s="11"/>
    </row>
    <row r="65" spans="1:7" x14ac:dyDescent="0.25">
      <c r="A65" s="13">
        <v>45898</v>
      </c>
      <c r="B65" s="11" t="s">
        <v>56</v>
      </c>
      <c r="C65" s="11" t="s">
        <v>120</v>
      </c>
      <c r="D65" s="11" t="s">
        <v>100</v>
      </c>
      <c r="E65" s="11">
        <v>5.5</v>
      </c>
      <c r="F65" s="11" t="s">
        <v>103</v>
      </c>
      <c r="G65" s="11"/>
    </row>
    <row r="66" spans="1:7" x14ac:dyDescent="0.25">
      <c r="A66" s="13">
        <v>45898</v>
      </c>
      <c r="B66" s="11" t="s">
        <v>56</v>
      </c>
      <c r="C66" s="11" t="s">
        <v>188</v>
      </c>
      <c r="D66" s="11" t="s">
        <v>172</v>
      </c>
      <c r="E66" s="11">
        <v>4.5</v>
      </c>
      <c r="F66" s="11"/>
      <c r="G66" s="11"/>
    </row>
    <row r="67" spans="1:7" x14ac:dyDescent="0.25">
      <c r="A67" s="13">
        <v>45899</v>
      </c>
      <c r="B67" s="11" t="s">
        <v>56</v>
      </c>
      <c r="C67" s="11" t="s">
        <v>120</v>
      </c>
      <c r="D67" s="11" t="s">
        <v>100</v>
      </c>
      <c r="E67" s="11">
        <v>5.5</v>
      </c>
      <c r="F67" s="11" t="s">
        <v>103</v>
      </c>
      <c r="G67" s="11"/>
    </row>
    <row r="68" spans="1:7" x14ac:dyDescent="0.25">
      <c r="A68" s="13">
        <v>45900</v>
      </c>
      <c r="B68" s="11" t="s">
        <v>56</v>
      </c>
      <c r="C68" s="11" t="s">
        <v>120</v>
      </c>
      <c r="D68" s="11" t="s">
        <v>126</v>
      </c>
      <c r="E68" s="11">
        <v>5</v>
      </c>
      <c r="F68" s="11"/>
      <c r="G68" s="11"/>
    </row>
    <row r="69" spans="1:7" x14ac:dyDescent="0.25">
      <c r="A69" s="13">
        <v>45900</v>
      </c>
      <c r="B69" s="11" t="s">
        <v>53</v>
      </c>
      <c r="C69" s="11" t="s">
        <v>100</v>
      </c>
      <c r="D69" s="11" t="s">
        <v>177</v>
      </c>
      <c r="E69" s="11">
        <v>5</v>
      </c>
      <c r="F69" s="11" t="s">
        <v>103</v>
      </c>
      <c r="G69" s="11"/>
    </row>
    <row r="70" spans="1:7" x14ac:dyDescent="0.25">
      <c r="A70" s="13">
        <v>45900</v>
      </c>
      <c r="B70" s="11" t="s">
        <v>58</v>
      </c>
      <c r="C70" s="11" t="s">
        <v>166</v>
      </c>
      <c r="D70" s="11" t="s">
        <v>226</v>
      </c>
      <c r="E70" s="11">
        <v>5</v>
      </c>
      <c r="F70" s="11"/>
      <c r="G70" s="11"/>
    </row>
    <row r="71" spans="1:7" x14ac:dyDescent="0.25">
      <c r="A71" s="13">
        <v>45900</v>
      </c>
      <c r="B71" s="11" t="s">
        <v>58</v>
      </c>
      <c r="C71" s="11" t="s">
        <v>100</v>
      </c>
      <c r="D71" s="11" t="s">
        <v>166</v>
      </c>
      <c r="E71" s="11">
        <v>5.5</v>
      </c>
      <c r="F71" s="11" t="s">
        <v>103</v>
      </c>
      <c r="G71" s="11"/>
    </row>
    <row r="72" spans="1:7" x14ac:dyDescent="0.25">
      <c r="A72" s="13">
        <v>45900</v>
      </c>
      <c r="B72" s="11" t="s">
        <v>49</v>
      </c>
      <c r="C72" s="11" t="s">
        <v>120</v>
      </c>
      <c r="D72" s="19" t="s">
        <v>301</v>
      </c>
      <c r="E72" s="11">
        <v>4.5</v>
      </c>
      <c r="F72" s="11"/>
      <c r="G72" s="11"/>
    </row>
    <row r="73" spans="1:7" x14ac:dyDescent="0.25">
      <c r="A73" s="13">
        <v>45900</v>
      </c>
      <c r="B73" s="11" t="s">
        <v>53</v>
      </c>
      <c r="C73" s="11" t="s">
        <v>177</v>
      </c>
      <c r="D73" s="11" t="s">
        <v>189</v>
      </c>
      <c r="E73" s="11">
        <v>4.5</v>
      </c>
      <c r="F73" s="11"/>
      <c r="G73" s="11"/>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tint="0.39997558519241921"/>
  </sheetPr>
  <dimension ref="A1:G74"/>
  <sheetViews>
    <sheetView workbookViewId="0">
      <selection activeCell="A2" sqref="A1:B1048576"/>
    </sheetView>
  </sheetViews>
  <sheetFormatPr defaultRowHeight="15" x14ac:dyDescent="0.25"/>
  <cols>
    <col min="1" max="1" width="14.5703125" customWidth="1"/>
    <col min="2" max="2" width="80.28515625" customWidth="1"/>
    <col min="3" max="3" width="14.85546875" customWidth="1"/>
    <col min="4" max="4" width="13.42578125" customWidth="1"/>
    <col min="5" max="5" width="17.42578125" customWidth="1"/>
    <col min="6" max="6" width="26" customWidth="1"/>
  </cols>
  <sheetData>
    <row r="1" spans="1:7" x14ac:dyDescent="0.25">
      <c r="A1" s="56" t="s">
        <v>83</v>
      </c>
      <c r="B1" s="56" t="s">
        <v>84</v>
      </c>
      <c r="C1" s="56" t="s">
        <v>85</v>
      </c>
      <c r="D1" s="56" t="s">
        <v>86</v>
      </c>
      <c r="E1" s="56" t="s">
        <v>16</v>
      </c>
      <c r="F1" s="56" t="s">
        <v>87</v>
      </c>
      <c r="G1" s="9" t="s">
        <v>25</v>
      </c>
    </row>
    <row r="2" spans="1:7" x14ac:dyDescent="0.25">
      <c r="A2" s="1">
        <v>45901</v>
      </c>
      <c r="G2" s="12">
        <f>SUM(E:E)</f>
        <v>379</v>
      </c>
    </row>
    <row r="3" spans="1:7" x14ac:dyDescent="0.25">
      <c r="A3" s="1">
        <v>45902</v>
      </c>
    </row>
    <row r="4" spans="1:7" x14ac:dyDescent="0.25">
      <c r="A4" s="1">
        <v>45903</v>
      </c>
      <c r="B4" t="s">
        <v>56</v>
      </c>
      <c r="C4" t="s">
        <v>120</v>
      </c>
      <c r="D4" t="s">
        <v>100</v>
      </c>
      <c r="E4">
        <v>5.5</v>
      </c>
      <c r="F4" t="s">
        <v>103</v>
      </c>
    </row>
    <row r="5" spans="1:7" x14ac:dyDescent="0.25">
      <c r="A5" s="1">
        <v>45903</v>
      </c>
      <c r="B5" t="s">
        <v>49</v>
      </c>
      <c r="C5" t="s">
        <v>296</v>
      </c>
      <c r="D5" t="s">
        <v>107</v>
      </c>
      <c r="E5">
        <v>5</v>
      </c>
      <c r="F5" t="s">
        <v>103</v>
      </c>
    </row>
    <row r="6" spans="1:7" x14ac:dyDescent="0.25">
      <c r="A6" s="1">
        <v>45904</v>
      </c>
      <c r="B6" t="s">
        <v>56</v>
      </c>
      <c r="C6" t="s">
        <v>120</v>
      </c>
      <c r="D6" t="s">
        <v>100</v>
      </c>
      <c r="E6">
        <v>5.5</v>
      </c>
      <c r="F6" t="s">
        <v>103</v>
      </c>
    </row>
    <row r="7" spans="1:7" x14ac:dyDescent="0.25">
      <c r="A7" s="1">
        <v>45904</v>
      </c>
      <c r="B7" t="s">
        <v>56</v>
      </c>
      <c r="C7" t="s">
        <v>102</v>
      </c>
      <c r="D7" t="s">
        <v>107</v>
      </c>
      <c r="E7">
        <v>5</v>
      </c>
    </row>
    <row r="8" spans="1:7" x14ac:dyDescent="0.25">
      <c r="A8" s="1">
        <v>45905</v>
      </c>
      <c r="B8" t="s">
        <v>56</v>
      </c>
      <c r="C8" t="s">
        <v>219</v>
      </c>
      <c r="D8" t="s">
        <v>172</v>
      </c>
      <c r="E8">
        <v>5</v>
      </c>
    </row>
    <row r="9" spans="1:7" x14ac:dyDescent="0.25">
      <c r="A9" s="1">
        <v>45905</v>
      </c>
      <c r="B9" t="s">
        <v>56</v>
      </c>
      <c r="C9" t="s">
        <v>120</v>
      </c>
      <c r="D9" t="s">
        <v>100</v>
      </c>
      <c r="E9">
        <v>5.5</v>
      </c>
      <c r="F9" t="s">
        <v>103</v>
      </c>
    </row>
    <row r="10" spans="1:7" x14ac:dyDescent="0.25">
      <c r="A10" s="1">
        <v>45906</v>
      </c>
      <c r="B10" t="s">
        <v>56</v>
      </c>
      <c r="C10" t="s">
        <v>120</v>
      </c>
      <c r="D10" t="s">
        <v>100</v>
      </c>
      <c r="E10">
        <v>5.5</v>
      </c>
      <c r="F10" t="s">
        <v>103</v>
      </c>
    </row>
    <row r="11" spans="1:7" x14ac:dyDescent="0.25">
      <c r="A11" s="1">
        <v>45907</v>
      </c>
      <c r="B11" t="s">
        <v>56</v>
      </c>
      <c r="C11" t="s">
        <v>144</v>
      </c>
      <c r="D11" t="s">
        <v>118</v>
      </c>
      <c r="E11">
        <v>3.5</v>
      </c>
    </row>
    <row r="12" spans="1:7" x14ac:dyDescent="0.25">
      <c r="A12" s="1">
        <v>45907</v>
      </c>
      <c r="B12" t="s">
        <v>56</v>
      </c>
      <c r="C12" t="s">
        <v>120</v>
      </c>
      <c r="D12" t="s">
        <v>126</v>
      </c>
      <c r="E12">
        <v>5.5</v>
      </c>
    </row>
    <row r="13" spans="1:7" x14ac:dyDescent="0.25">
      <c r="A13" s="1">
        <v>45907</v>
      </c>
      <c r="B13" t="s">
        <v>49</v>
      </c>
      <c r="C13" s="4" t="s">
        <v>120</v>
      </c>
      <c r="D13" t="s">
        <v>301</v>
      </c>
      <c r="E13">
        <v>4.5</v>
      </c>
    </row>
    <row r="14" spans="1:7" x14ac:dyDescent="0.25">
      <c r="A14" s="1">
        <v>45907</v>
      </c>
      <c r="B14" t="s">
        <v>58</v>
      </c>
      <c r="C14" s="4" t="s">
        <v>126</v>
      </c>
      <c r="D14" t="s">
        <v>269</v>
      </c>
      <c r="E14">
        <v>7.5</v>
      </c>
      <c r="F14" t="s">
        <v>103</v>
      </c>
    </row>
    <row r="15" spans="1:7" x14ac:dyDescent="0.25">
      <c r="A15" s="1">
        <v>45907</v>
      </c>
      <c r="B15" t="s">
        <v>53</v>
      </c>
      <c r="C15" s="4" t="s">
        <v>180</v>
      </c>
      <c r="D15" t="s">
        <v>219</v>
      </c>
      <c r="E15">
        <v>6</v>
      </c>
      <c r="F15" t="s">
        <v>103</v>
      </c>
    </row>
    <row r="16" spans="1:7" x14ac:dyDescent="0.25">
      <c r="A16" s="1">
        <v>45907</v>
      </c>
      <c r="B16" t="s">
        <v>46</v>
      </c>
      <c r="C16" s="4" t="s">
        <v>132</v>
      </c>
      <c r="D16" t="s">
        <v>155</v>
      </c>
      <c r="E16">
        <v>6.5</v>
      </c>
      <c r="F16" t="s">
        <v>103</v>
      </c>
    </row>
    <row r="17" spans="1:6" x14ac:dyDescent="0.25">
      <c r="A17" s="1">
        <v>45907</v>
      </c>
      <c r="B17" t="s">
        <v>53</v>
      </c>
      <c r="C17" s="4" t="s">
        <v>219</v>
      </c>
      <c r="D17" s="5" t="s">
        <v>132</v>
      </c>
      <c r="E17">
        <v>6</v>
      </c>
      <c r="F17" t="s">
        <v>103</v>
      </c>
    </row>
    <row r="18" spans="1:6" x14ac:dyDescent="0.25">
      <c r="A18" s="1">
        <v>45908</v>
      </c>
      <c r="B18" t="s">
        <v>46</v>
      </c>
      <c r="C18" t="s">
        <v>100</v>
      </c>
      <c r="D18" t="s">
        <v>111</v>
      </c>
      <c r="E18">
        <v>7.5</v>
      </c>
      <c r="F18" t="s">
        <v>103</v>
      </c>
    </row>
    <row r="19" spans="1:6" x14ac:dyDescent="0.25">
      <c r="A19" s="1">
        <v>45909</v>
      </c>
      <c r="B19" t="s">
        <v>56</v>
      </c>
      <c r="C19" t="s">
        <v>120</v>
      </c>
      <c r="D19" t="s">
        <v>100</v>
      </c>
      <c r="E19">
        <v>5.5</v>
      </c>
      <c r="F19" t="s">
        <v>103</v>
      </c>
    </row>
    <row r="20" spans="1:6" x14ac:dyDescent="0.25">
      <c r="A20" s="1">
        <v>45910</v>
      </c>
      <c r="B20" t="s">
        <v>53</v>
      </c>
      <c r="C20" t="s">
        <v>102</v>
      </c>
      <c r="D20" t="s">
        <v>269</v>
      </c>
      <c r="E20">
        <v>5</v>
      </c>
    </row>
    <row r="21" spans="1:6" x14ac:dyDescent="0.25">
      <c r="A21" s="1">
        <v>45910</v>
      </c>
      <c r="B21" t="s">
        <v>56</v>
      </c>
      <c r="C21" t="s">
        <v>120</v>
      </c>
      <c r="D21" t="s">
        <v>100</v>
      </c>
      <c r="E21">
        <v>5.5</v>
      </c>
      <c r="F21" t="s">
        <v>103</v>
      </c>
    </row>
    <row r="22" spans="1:6" x14ac:dyDescent="0.25">
      <c r="A22" s="1">
        <v>45911</v>
      </c>
      <c r="B22" t="s">
        <v>56</v>
      </c>
      <c r="C22" t="s">
        <v>120</v>
      </c>
      <c r="D22" t="s">
        <v>100</v>
      </c>
      <c r="E22">
        <v>5.5</v>
      </c>
      <c r="F22" t="s">
        <v>103</v>
      </c>
    </row>
    <row r="23" spans="1:6" x14ac:dyDescent="0.25">
      <c r="A23" s="1">
        <v>45912</v>
      </c>
      <c r="B23" t="s">
        <v>56</v>
      </c>
      <c r="C23" t="s">
        <v>120</v>
      </c>
      <c r="D23" t="s">
        <v>100</v>
      </c>
      <c r="E23">
        <v>5.5</v>
      </c>
      <c r="F23" t="s">
        <v>103</v>
      </c>
    </row>
    <row r="24" spans="1:6" x14ac:dyDescent="0.25">
      <c r="A24" s="1">
        <v>45912</v>
      </c>
      <c r="B24" t="s">
        <v>56</v>
      </c>
      <c r="C24" t="s">
        <v>188</v>
      </c>
      <c r="D24" t="s">
        <v>172</v>
      </c>
      <c r="E24">
        <v>4.5</v>
      </c>
    </row>
    <row r="25" spans="1:6" x14ac:dyDescent="0.25">
      <c r="A25" s="1">
        <v>45913</v>
      </c>
      <c r="B25" t="s">
        <v>45</v>
      </c>
      <c r="C25" t="s">
        <v>120</v>
      </c>
      <c r="D25" t="s">
        <v>102</v>
      </c>
      <c r="E25">
        <v>7.5</v>
      </c>
      <c r="F25" t="s">
        <v>103</v>
      </c>
    </row>
    <row r="26" spans="1:6" x14ac:dyDescent="0.25">
      <c r="A26" s="1">
        <v>45913</v>
      </c>
      <c r="B26" t="s">
        <v>53</v>
      </c>
      <c r="C26" t="s">
        <v>105</v>
      </c>
      <c r="D26" t="s">
        <v>166</v>
      </c>
      <c r="E26">
        <v>5</v>
      </c>
    </row>
    <row r="27" spans="1:6" x14ac:dyDescent="0.25">
      <c r="A27" s="1">
        <v>45913</v>
      </c>
      <c r="B27" t="s">
        <v>56</v>
      </c>
      <c r="C27" t="s">
        <v>120</v>
      </c>
      <c r="D27" t="s">
        <v>100</v>
      </c>
      <c r="E27">
        <v>5.5</v>
      </c>
      <c r="F27" t="s">
        <v>103</v>
      </c>
    </row>
    <row r="28" spans="1:6" x14ac:dyDescent="0.25">
      <c r="A28" s="1">
        <v>45914</v>
      </c>
      <c r="B28" t="s">
        <v>49</v>
      </c>
      <c r="C28" t="s">
        <v>120</v>
      </c>
      <c r="D28" t="s">
        <v>301</v>
      </c>
      <c r="E28">
        <v>4.5</v>
      </c>
    </row>
    <row r="29" spans="1:6" x14ac:dyDescent="0.25">
      <c r="A29" s="1">
        <v>45914</v>
      </c>
      <c r="B29" t="s">
        <v>53</v>
      </c>
      <c r="C29" t="s">
        <v>102</v>
      </c>
      <c r="D29" t="s">
        <v>166</v>
      </c>
      <c r="E29">
        <v>4</v>
      </c>
    </row>
    <row r="30" spans="1:6" x14ac:dyDescent="0.25">
      <c r="A30" s="1">
        <v>45914</v>
      </c>
      <c r="B30" t="s">
        <v>58</v>
      </c>
      <c r="C30" t="s">
        <v>121</v>
      </c>
      <c r="D30" t="s">
        <v>172</v>
      </c>
      <c r="E30">
        <v>5.5</v>
      </c>
      <c r="F30" t="s">
        <v>103</v>
      </c>
    </row>
    <row r="31" spans="1:6" x14ac:dyDescent="0.25">
      <c r="A31" s="1">
        <v>45914</v>
      </c>
      <c r="B31" t="s">
        <v>53</v>
      </c>
      <c r="C31" t="s">
        <v>166</v>
      </c>
      <c r="D31" t="s">
        <v>226</v>
      </c>
      <c r="E31">
        <v>5</v>
      </c>
    </row>
    <row r="32" spans="1:6" x14ac:dyDescent="0.25">
      <c r="A32" s="1">
        <v>45914</v>
      </c>
      <c r="B32" t="s">
        <v>58</v>
      </c>
      <c r="C32" t="s">
        <v>104</v>
      </c>
      <c r="D32" t="s">
        <v>121</v>
      </c>
      <c r="E32">
        <v>5.5</v>
      </c>
      <c r="F32" t="s">
        <v>103</v>
      </c>
    </row>
    <row r="33" spans="1:6" x14ac:dyDescent="0.25">
      <c r="A33" s="1">
        <v>45914</v>
      </c>
      <c r="B33" t="s">
        <v>58</v>
      </c>
      <c r="C33" t="s">
        <v>144</v>
      </c>
      <c r="D33" t="s">
        <v>118</v>
      </c>
      <c r="E33">
        <v>3.5</v>
      </c>
    </row>
    <row r="34" spans="1:6" x14ac:dyDescent="0.25">
      <c r="A34" s="1">
        <v>45914</v>
      </c>
      <c r="B34" t="s">
        <v>56</v>
      </c>
      <c r="C34" t="s">
        <v>120</v>
      </c>
      <c r="D34" t="s">
        <v>126</v>
      </c>
      <c r="E34">
        <v>5</v>
      </c>
    </row>
    <row r="35" spans="1:6" x14ac:dyDescent="0.25">
      <c r="A35" s="1">
        <v>45915</v>
      </c>
      <c r="B35" t="s">
        <v>46</v>
      </c>
      <c r="C35" t="s">
        <v>99</v>
      </c>
      <c r="D35" t="s">
        <v>121</v>
      </c>
      <c r="E35">
        <v>7.5</v>
      </c>
      <c r="F35" t="s">
        <v>103</v>
      </c>
    </row>
    <row r="36" spans="1:6" x14ac:dyDescent="0.25">
      <c r="A36" s="1">
        <v>45915</v>
      </c>
      <c r="B36" t="s">
        <v>58</v>
      </c>
      <c r="C36" t="s">
        <v>104</v>
      </c>
      <c r="D36" t="s">
        <v>121</v>
      </c>
      <c r="E36">
        <v>5.5</v>
      </c>
      <c r="F36" t="s">
        <v>103</v>
      </c>
    </row>
    <row r="37" spans="1:6" x14ac:dyDescent="0.25">
      <c r="A37" s="1">
        <v>45916</v>
      </c>
      <c r="B37" t="s">
        <v>56</v>
      </c>
      <c r="C37" t="s">
        <v>120</v>
      </c>
      <c r="D37" t="s">
        <v>100</v>
      </c>
      <c r="E37">
        <v>5.5</v>
      </c>
      <c r="F37" t="s">
        <v>103</v>
      </c>
    </row>
    <row r="38" spans="1:6" x14ac:dyDescent="0.25">
      <c r="A38" s="1">
        <v>45917</v>
      </c>
      <c r="B38" t="s">
        <v>56</v>
      </c>
      <c r="C38" t="s">
        <v>120</v>
      </c>
      <c r="D38" t="s">
        <v>100</v>
      </c>
      <c r="E38">
        <v>5.5</v>
      </c>
      <c r="F38" t="s">
        <v>103</v>
      </c>
    </row>
    <row r="39" spans="1:6" x14ac:dyDescent="0.25">
      <c r="A39" s="1">
        <v>45918</v>
      </c>
      <c r="B39" t="s">
        <v>49</v>
      </c>
      <c r="C39" t="s">
        <v>296</v>
      </c>
      <c r="D39" t="s">
        <v>107</v>
      </c>
      <c r="E39">
        <v>5</v>
      </c>
    </row>
    <row r="40" spans="1:6" x14ac:dyDescent="0.25">
      <c r="A40" s="1">
        <v>45918</v>
      </c>
      <c r="B40" t="s">
        <v>56</v>
      </c>
      <c r="C40" t="s">
        <v>120</v>
      </c>
      <c r="D40" t="s">
        <v>100</v>
      </c>
      <c r="E40">
        <v>5.5</v>
      </c>
      <c r="F40" t="s">
        <v>103</v>
      </c>
    </row>
    <row r="41" spans="1:6" x14ac:dyDescent="0.25">
      <c r="A41" s="1">
        <v>45918</v>
      </c>
      <c r="B41" t="s">
        <v>56</v>
      </c>
      <c r="C41" t="s">
        <v>121</v>
      </c>
      <c r="D41" t="s">
        <v>269</v>
      </c>
      <c r="E41">
        <v>4</v>
      </c>
    </row>
    <row r="42" spans="1:6" x14ac:dyDescent="0.25">
      <c r="A42" s="1">
        <v>45919</v>
      </c>
      <c r="B42" t="s">
        <v>56</v>
      </c>
      <c r="C42" t="s">
        <v>120</v>
      </c>
      <c r="D42" t="s">
        <v>100</v>
      </c>
      <c r="E42">
        <v>5.5</v>
      </c>
      <c r="F42" t="s">
        <v>103</v>
      </c>
    </row>
    <row r="43" spans="1:6" x14ac:dyDescent="0.25">
      <c r="A43" s="1">
        <v>45919</v>
      </c>
      <c r="B43" t="s">
        <v>56</v>
      </c>
      <c r="C43" t="s">
        <v>188</v>
      </c>
      <c r="D43" t="s">
        <v>172</v>
      </c>
      <c r="E43">
        <v>4.5</v>
      </c>
    </row>
    <row r="44" spans="1:6" x14ac:dyDescent="0.25">
      <c r="A44" s="1">
        <v>45920</v>
      </c>
      <c r="B44" t="s">
        <v>56</v>
      </c>
      <c r="C44" t="s">
        <v>120</v>
      </c>
      <c r="D44" t="s">
        <v>100</v>
      </c>
      <c r="E44">
        <v>5.5</v>
      </c>
      <c r="F44" t="s">
        <v>103</v>
      </c>
    </row>
    <row r="45" spans="1:6" x14ac:dyDescent="0.25">
      <c r="A45" s="1">
        <v>45921</v>
      </c>
      <c r="B45" t="s">
        <v>58</v>
      </c>
      <c r="C45" t="s">
        <v>144</v>
      </c>
      <c r="D45" t="s">
        <v>118</v>
      </c>
      <c r="E45">
        <v>3.5</v>
      </c>
    </row>
    <row r="46" spans="1:6" x14ac:dyDescent="0.25">
      <c r="A46" s="1">
        <v>45921</v>
      </c>
      <c r="B46" t="s">
        <v>56</v>
      </c>
      <c r="C46" t="s">
        <v>120</v>
      </c>
      <c r="D46" s="4" t="s">
        <v>181</v>
      </c>
      <c r="E46">
        <v>7</v>
      </c>
      <c r="F46" t="s">
        <v>103</v>
      </c>
    </row>
    <row r="47" spans="1:6" x14ac:dyDescent="0.25">
      <c r="A47" s="1">
        <v>45921</v>
      </c>
      <c r="B47" t="s">
        <v>58</v>
      </c>
      <c r="C47" t="s">
        <v>105</v>
      </c>
      <c r="D47" t="s">
        <v>226</v>
      </c>
      <c r="E47">
        <v>9</v>
      </c>
      <c r="F47" t="s">
        <v>122</v>
      </c>
    </row>
    <row r="48" spans="1:6" x14ac:dyDescent="0.25">
      <c r="A48" s="1">
        <v>45921</v>
      </c>
      <c r="B48" t="s">
        <v>53</v>
      </c>
      <c r="C48" t="s">
        <v>126</v>
      </c>
      <c r="D48" t="s">
        <v>155</v>
      </c>
      <c r="E48">
        <v>5.5</v>
      </c>
      <c r="F48" t="s">
        <v>103</v>
      </c>
    </row>
    <row r="49" spans="1:6" x14ac:dyDescent="0.25">
      <c r="A49" s="1">
        <v>45921</v>
      </c>
      <c r="B49" t="s">
        <v>46</v>
      </c>
      <c r="C49" t="s">
        <v>142</v>
      </c>
      <c r="D49" t="s">
        <v>111</v>
      </c>
      <c r="E49">
        <v>4.5</v>
      </c>
    </row>
    <row r="50" spans="1:6" x14ac:dyDescent="0.25">
      <c r="A50" s="1">
        <v>45921</v>
      </c>
      <c r="B50" t="s">
        <v>47</v>
      </c>
      <c r="C50" t="s">
        <v>120</v>
      </c>
      <c r="D50" t="s">
        <v>180</v>
      </c>
      <c r="E50">
        <v>3.5</v>
      </c>
    </row>
    <row r="51" spans="1:6" x14ac:dyDescent="0.25">
      <c r="A51" s="1">
        <v>45921</v>
      </c>
      <c r="B51" t="s">
        <v>49</v>
      </c>
      <c r="C51" t="s">
        <v>120</v>
      </c>
      <c r="D51" t="s">
        <v>126</v>
      </c>
      <c r="E51">
        <v>5</v>
      </c>
    </row>
    <row r="52" spans="1:6" x14ac:dyDescent="0.25">
      <c r="A52" s="1">
        <v>45921</v>
      </c>
      <c r="B52" t="s">
        <v>46</v>
      </c>
      <c r="C52" t="s">
        <v>132</v>
      </c>
      <c r="D52" t="s">
        <v>121</v>
      </c>
      <c r="E52">
        <v>5</v>
      </c>
      <c r="F52" t="s">
        <v>103</v>
      </c>
    </row>
    <row r="53" spans="1:6" x14ac:dyDescent="0.25">
      <c r="A53" s="1">
        <v>45921</v>
      </c>
      <c r="B53" t="s">
        <v>48</v>
      </c>
      <c r="C53" t="s">
        <v>180</v>
      </c>
      <c r="D53" t="s">
        <v>105</v>
      </c>
      <c r="E53">
        <v>3.5</v>
      </c>
    </row>
    <row r="54" spans="1:6" x14ac:dyDescent="0.25">
      <c r="A54" s="1">
        <v>45922</v>
      </c>
      <c r="B54" t="s">
        <v>46</v>
      </c>
      <c r="C54" t="s">
        <v>126</v>
      </c>
      <c r="D54" t="s">
        <v>219</v>
      </c>
      <c r="E54">
        <v>5</v>
      </c>
    </row>
    <row r="55" spans="1:6" x14ac:dyDescent="0.25">
      <c r="A55" s="1">
        <v>45922</v>
      </c>
      <c r="B55" t="s">
        <v>49</v>
      </c>
      <c r="C55" t="s">
        <v>157</v>
      </c>
      <c r="D55" t="s">
        <v>142</v>
      </c>
      <c r="E55">
        <v>4</v>
      </c>
    </row>
    <row r="56" spans="1:6" x14ac:dyDescent="0.25">
      <c r="A56" s="1">
        <v>45923</v>
      </c>
      <c r="B56" t="s">
        <v>56</v>
      </c>
      <c r="C56" t="s">
        <v>120</v>
      </c>
      <c r="D56" t="s">
        <v>100</v>
      </c>
      <c r="E56">
        <v>5.5</v>
      </c>
      <c r="F56" t="s">
        <v>103</v>
      </c>
    </row>
    <row r="57" spans="1:6" x14ac:dyDescent="0.25">
      <c r="A57" s="1">
        <v>45924</v>
      </c>
      <c r="B57" t="s">
        <v>56</v>
      </c>
      <c r="C57" t="s">
        <v>120</v>
      </c>
      <c r="D57" t="s">
        <v>100</v>
      </c>
      <c r="E57">
        <v>5.5</v>
      </c>
      <c r="F57" t="s">
        <v>103</v>
      </c>
    </row>
    <row r="58" spans="1:6" x14ac:dyDescent="0.25">
      <c r="A58" s="1">
        <v>45925</v>
      </c>
      <c r="B58" t="s">
        <v>49</v>
      </c>
      <c r="C58" t="s">
        <v>121</v>
      </c>
      <c r="D58" t="s">
        <v>107</v>
      </c>
      <c r="E58">
        <v>4.5</v>
      </c>
    </row>
    <row r="59" spans="1:6" x14ac:dyDescent="0.25">
      <c r="A59" s="1">
        <v>45925</v>
      </c>
      <c r="B59" t="s">
        <v>56</v>
      </c>
      <c r="C59" t="s">
        <v>120</v>
      </c>
      <c r="D59" t="s">
        <v>100</v>
      </c>
      <c r="E59">
        <v>5.5</v>
      </c>
      <c r="F59" t="s">
        <v>103</v>
      </c>
    </row>
    <row r="60" spans="1:6" x14ac:dyDescent="0.25">
      <c r="A60" s="1">
        <v>45926</v>
      </c>
      <c r="B60" t="s">
        <v>56</v>
      </c>
      <c r="C60" t="s">
        <v>142</v>
      </c>
      <c r="D60" t="s">
        <v>172</v>
      </c>
      <c r="E60">
        <v>5</v>
      </c>
      <c r="F60" t="s">
        <v>103</v>
      </c>
    </row>
    <row r="61" spans="1:6" x14ac:dyDescent="0.25">
      <c r="A61" s="1">
        <v>45926</v>
      </c>
      <c r="B61" t="s">
        <v>56</v>
      </c>
      <c r="C61" t="s">
        <v>120</v>
      </c>
      <c r="D61" t="s">
        <v>100</v>
      </c>
      <c r="E61">
        <v>5.5</v>
      </c>
      <c r="F61" t="s">
        <v>103</v>
      </c>
    </row>
    <row r="62" spans="1:6" x14ac:dyDescent="0.25">
      <c r="A62" s="1">
        <v>45927</v>
      </c>
      <c r="B62" t="s">
        <v>56</v>
      </c>
      <c r="C62" t="s">
        <v>120</v>
      </c>
      <c r="D62" t="s">
        <v>100</v>
      </c>
      <c r="E62">
        <v>5.5</v>
      </c>
      <c r="F62" t="s">
        <v>103</v>
      </c>
    </row>
    <row r="63" spans="1:6" x14ac:dyDescent="0.25">
      <c r="A63" s="1">
        <v>45927</v>
      </c>
      <c r="B63" t="s">
        <v>56</v>
      </c>
      <c r="C63" t="s">
        <v>105</v>
      </c>
      <c r="D63" t="s">
        <v>166</v>
      </c>
      <c r="E63">
        <v>5</v>
      </c>
    </row>
    <row r="64" spans="1:6" x14ac:dyDescent="0.25">
      <c r="A64" s="1">
        <v>45928</v>
      </c>
      <c r="B64" t="s">
        <v>56</v>
      </c>
      <c r="C64" t="s">
        <v>120</v>
      </c>
      <c r="D64" t="s">
        <v>126</v>
      </c>
      <c r="E64">
        <v>5</v>
      </c>
    </row>
    <row r="65" spans="1:6" x14ac:dyDescent="0.25">
      <c r="A65" s="1">
        <v>45928</v>
      </c>
      <c r="B65" t="s">
        <v>53</v>
      </c>
      <c r="C65" t="s">
        <v>121</v>
      </c>
      <c r="D65" t="s">
        <v>111</v>
      </c>
      <c r="E65">
        <v>5</v>
      </c>
    </row>
    <row r="66" spans="1:6" x14ac:dyDescent="0.25">
      <c r="A66" s="1">
        <v>45928</v>
      </c>
      <c r="B66" t="s">
        <v>58</v>
      </c>
      <c r="C66" t="s">
        <v>126</v>
      </c>
      <c r="D66" t="s">
        <v>269</v>
      </c>
      <c r="E66">
        <v>7.5</v>
      </c>
      <c r="F66" t="s">
        <v>103</v>
      </c>
    </row>
    <row r="67" spans="1:6" x14ac:dyDescent="0.25">
      <c r="A67" s="1">
        <v>45928</v>
      </c>
      <c r="B67" t="s">
        <v>53</v>
      </c>
      <c r="C67" t="s">
        <v>132</v>
      </c>
      <c r="D67" t="s">
        <v>121</v>
      </c>
      <c r="E67">
        <v>5</v>
      </c>
    </row>
    <row r="68" spans="1:6" x14ac:dyDescent="0.25">
      <c r="A68" s="1">
        <v>45928</v>
      </c>
      <c r="B68" t="s">
        <v>53</v>
      </c>
      <c r="C68" t="s">
        <v>144</v>
      </c>
      <c r="D68" t="s">
        <v>132</v>
      </c>
      <c r="E68">
        <v>5</v>
      </c>
      <c r="F68" t="s">
        <v>103</v>
      </c>
    </row>
    <row r="69" spans="1:6" x14ac:dyDescent="0.25">
      <c r="A69" s="1">
        <v>45928</v>
      </c>
      <c r="B69" t="s">
        <v>58</v>
      </c>
      <c r="C69" t="s">
        <v>144</v>
      </c>
      <c r="D69" t="s">
        <v>118</v>
      </c>
      <c r="E69">
        <v>3.5</v>
      </c>
    </row>
    <row r="70" spans="1:6" x14ac:dyDescent="0.25">
      <c r="A70" s="1">
        <v>45929</v>
      </c>
      <c r="B70" t="s">
        <v>49</v>
      </c>
      <c r="C70" t="s">
        <v>126</v>
      </c>
      <c r="D70" t="s">
        <v>188</v>
      </c>
      <c r="E70">
        <v>5</v>
      </c>
      <c r="F70" t="s">
        <v>103</v>
      </c>
    </row>
    <row r="71" spans="1:6" x14ac:dyDescent="0.25">
      <c r="A71" s="1">
        <v>45929</v>
      </c>
      <c r="B71" t="s">
        <v>53</v>
      </c>
      <c r="C71" t="s">
        <v>188</v>
      </c>
      <c r="D71" t="s">
        <v>226</v>
      </c>
      <c r="E71">
        <v>6</v>
      </c>
      <c r="F71" t="s">
        <v>103</v>
      </c>
    </row>
    <row r="72" spans="1:6" x14ac:dyDescent="0.25">
      <c r="A72" s="1">
        <v>45929</v>
      </c>
      <c r="B72" t="s">
        <v>46</v>
      </c>
      <c r="C72" t="s">
        <v>105</v>
      </c>
      <c r="D72" t="s">
        <v>269</v>
      </c>
      <c r="E72">
        <v>5.5</v>
      </c>
      <c r="F72" t="s">
        <v>103</v>
      </c>
    </row>
    <row r="73" spans="1:6" x14ac:dyDescent="0.25">
      <c r="A73" s="1">
        <v>45929</v>
      </c>
      <c r="B73" t="s">
        <v>58</v>
      </c>
      <c r="C73" t="s">
        <v>120</v>
      </c>
      <c r="D73" t="s">
        <v>121</v>
      </c>
      <c r="E73">
        <v>8</v>
      </c>
      <c r="F73" t="s">
        <v>122</v>
      </c>
    </row>
    <row r="74" spans="1:6" x14ac:dyDescent="0.25">
      <c r="A74" s="1">
        <v>45930</v>
      </c>
      <c r="B74" t="s">
        <v>56</v>
      </c>
      <c r="C74" t="s">
        <v>120</v>
      </c>
      <c r="D74" t="s">
        <v>100</v>
      </c>
      <c r="E74">
        <v>5.5</v>
      </c>
      <c r="F74" t="s">
        <v>103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tint="0.39997558519241921"/>
  </sheetPr>
  <dimension ref="A1:G76"/>
  <sheetViews>
    <sheetView workbookViewId="0">
      <selection activeCell="A2" sqref="A1:B1048576"/>
    </sheetView>
  </sheetViews>
  <sheetFormatPr defaultRowHeight="15" x14ac:dyDescent="0.25"/>
  <cols>
    <col min="1" max="1" width="12" customWidth="1"/>
    <col min="2" max="2" width="79.7109375" customWidth="1"/>
    <col min="3" max="3" width="13.140625" customWidth="1"/>
    <col min="4" max="4" width="10.7109375" customWidth="1"/>
    <col min="5" max="5" width="14.28515625" customWidth="1"/>
    <col min="6" max="6" width="26.7109375" customWidth="1"/>
    <col min="7" max="7" width="19.28515625" bestFit="1" customWidth="1"/>
  </cols>
  <sheetData>
    <row r="1" spans="1:7" x14ac:dyDescent="0.25">
      <c r="A1" s="9" t="s">
        <v>83</v>
      </c>
      <c r="B1" s="9" t="s">
        <v>84</v>
      </c>
      <c r="C1" s="9" t="s">
        <v>85</v>
      </c>
      <c r="D1" s="9" t="s">
        <v>86</v>
      </c>
      <c r="E1" s="9" t="s">
        <v>16</v>
      </c>
      <c r="F1" s="9" t="s">
        <v>87</v>
      </c>
      <c r="G1" s="9" t="s">
        <v>25</v>
      </c>
    </row>
    <row r="2" spans="1:7" x14ac:dyDescent="0.25">
      <c r="A2" s="13">
        <v>45931</v>
      </c>
      <c r="B2" s="11" t="s">
        <v>56</v>
      </c>
      <c r="C2" s="11" t="s">
        <v>120</v>
      </c>
      <c r="D2" s="11" t="s">
        <v>100</v>
      </c>
      <c r="E2" s="11">
        <v>5.5</v>
      </c>
      <c r="F2" s="11" t="s">
        <v>103</v>
      </c>
      <c r="G2" s="12">
        <f>SUM(E:E)</f>
        <v>386.5</v>
      </c>
    </row>
    <row r="3" spans="1:7" x14ac:dyDescent="0.25">
      <c r="A3" s="13">
        <v>45932</v>
      </c>
      <c r="B3" s="11" t="s">
        <v>56</v>
      </c>
      <c r="C3" s="11" t="s">
        <v>297</v>
      </c>
      <c r="D3" s="11" t="s">
        <v>100</v>
      </c>
      <c r="E3" s="11">
        <v>6</v>
      </c>
      <c r="F3" s="11" t="s">
        <v>103</v>
      </c>
      <c r="G3" s="11"/>
    </row>
    <row r="4" spans="1:7" x14ac:dyDescent="0.25">
      <c r="A4" s="13">
        <v>45932</v>
      </c>
      <c r="B4" s="11" t="s">
        <v>49</v>
      </c>
      <c r="C4" s="11" t="s">
        <v>121</v>
      </c>
      <c r="D4" s="11" t="s">
        <v>269</v>
      </c>
      <c r="E4" s="11">
        <v>4</v>
      </c>
      <c r="F4" s="11"/>
      <c r="G4" s="11"/>
    </row>
    <row r="5" spans="1:7" x14ac:dyDescent="0.25">
      <c r="A5" s="13">
        <v>45932</v>
      </c>
      <c r="B5" s="11" t="s">
        <v>56</v>
      </c>
      <c r="C5" s="11" t="s">
        <v>102</v>
      </c>
      <c r="D5" s="11" t="s">
        <v>269</v>
      </c>
      <c r="E5" s="11">
        <v>5</v>
      </c>
      <c r="F5" s="11"/>
      <c r="G5" s="11"/>
    </row>
    <row r="6" spans="1:7" x14ac:dyDescent="0.25">
      <c r="A6" s="13">
        <v>45933</v>
      </c>
      <c r="B6" s="11" t="s">
        <v>56</v>
      </c>
      <c r="C6" s="11" t="s">
        <v>120</v>
      </c>
      <c r="D6" s="11" t="s">
        <v>100</v>
      </c>
      <c r="E6" s="11">
        <v>5.5</v>
      </c>
      <c r="F6" s="11" t="s">
        <v>103</v>
      </c>
      <c r="G6" s="11"/>
    </row>
    <row r="7" spans="1:7" x14ac:dyDescent="0.25">
      <c r="A7" s="13">
        <v>45933</v>
      </c>
      <c r="B7" s="11" t="s">
        <v>56</v>
      </c>
      <c r="C7" s="11" t="s">
        <v>296</v>
      </c>
      <c r="D7" s="11" t="s">
        <v>172</v>
      </c>
      <c r="E7" s="11">
        <v>6</v>
      </c>
      <c r="F7" s="11" t="s">
        <v>103</v>
      </c>
      <c r="G7" s="11"/>
    </row>
    <row r="8" spans="1:7" x14ac:dyDescent="0.25">
      <c r="A8" s="13">
        <v>45934</v>
      </c>
      <c r="B8" s="11" t="s">
        <v>56</v>
      </c>
      <c r="C8" s="11" t="s">
        <v>105</v>
      </c>
      <c r="D8" s="11" t="s">
        <v>155</v>
      </c>
      <c r="E8" s="11">
        <v>4</v>
      </c>
      <c r="F8" s="11"/>
      <c r="G8" s="11"/>
    </row>
    <row r="9" spans="1:7" x14ac:dyDescent="0.25">
      <c r="A9" s="13">
        <v>45934</v>
      </c>
      <c r="B9" s="11" t="s">
        <v>56</v>
      </c>
      <c r="C9" s="11" t="s">
        <v>120</v>
      </c>
      <c r="D9" s="11" t="s">
        <v>100</v>
      </c>
      <c r="E9" s="11">
        <v>5.5</v>
      </c>
      <c r="F9" s="11" t="s">
        <v>103</v>
      </c>
      <c r="G9" s="11"/>
    </row>
    <row r="10" spans="1:7" x14ac:dyDescent="0.25">
      <c r="A10" s="13">
        <v>45935</v>
      </c>
      <c r="B10" s="11" t="s">
        <v>58</v>
      </c>
      <c r="C10" s="11" t="s">
        <v>142</v>
      </c>
      <c r="D10" s="11" t="s">
        <v>111</v>
      </c>
      <c r="E10" s="11">
        <v>4.5</v>
      </c>
      <c r="F10" s="11"/>
      <c r="G10" s="11"/>
    </row>
    <row r="11" spans="1:7" x14ac:dyDescent="0.25">
      <c r="A11" s="13">
        <v>45935</v>
      </c>
      <c r="B11" s="11" t="s">
        <v>53</v>
      </c>
      <c r="C11" s="11" t="s">
        <v>105</v>
      </c>
      <c r="D11" s="11" t="s">
        <v>269</v>
      </c>
      <c r="E11" s="11">
        <v>5.5</v>
      </c>
      <c r="F11" s="11" t="s">
        <v>103</v>
      </c>
      <c r="G11" s="11"/>
    </row>
    <row r="12" spans="1:7" x14ac:dyDescent="0.25">
      <c r="A12" s="13">
        <v>45935</v>
      </c>
      <c r="B12" s="11" t="s">
        <v>56</v>
      </c>
      <c r="C12" s="11" t="s">
        <v>120</v>
      </c>
      <c r="D12" s="11" t="s">
        <v>126</v>
      </c>
      <c r="E12" s="11">
        <v>5</v>
      </c>
      <c r="F12" s="11"/>
      <c r="G12" s="11"/>
    </row>
    <row r="13" spans="1:7" x14ac:dyDescent="0.25">
      <c r="A13" s="13">
        <v>45935</v>
      </c>
      <c r="B13" s="11" t="s">
        <v>58</v>
      </c>
      <c r="C13" s="11" t="s">
        <v>144</v>
      </c>
      <c r="D13" s="11" t="s">
        <v>118</v>
      </c>
      <c r="E13" s="11">
        <v>3.5</v>
      </c>
      <c r="F13" s="11"/>
      <c r="G13" s="11"/>
    </row>
    <row r="14" spans="1:7" x14ac:dyDescent="0.25">
      <c r="A14" s="13">
        <v>45935</v>
      </c>
      <c r="B14" s="11" t="s">
        <v>49</v>
      </c>
      <c r="C14" s="11" t="s">
        <v>99</v>
      </c>
      <c r="D14" s="19" t="s">
        <v>132</v>
      </c>
      <c r="E14" s="11">
        <v>3</v>
      </c>
      <c r="F14" s="11"/>
      <c r="G14" s="11"/>
    </row>
    <row r="15" spans="1:7" x14ac:dyDescent="0.25">
      <c r="A15" s="13">
        <v>45935</v>
      </c>
      <c r="B15" s="11" t="s">
        <v>48</v>
      </c>
      <c r="C15" s="11" t="s">
        <v>120</v>
      </c>
      <c r="D15" s="11" t="s">
        <v>157</v>
      </c>
      <c r="E15" s="11">
        <v>5</v>
      </c>
      <c r="F15" s="11" t="s">
        <v>103</v>
      </c>
      <c r="G15" s="11"/>
    </row>
    <row r="16" spans="1:7" x14ac:dyDescent="0.25">
      <c r="A16" s="13">
        <v>45935</v>
      </c>
      <c r="B16" s="11" t="s">
        <v>48</v>
      </c>
      <c r="C16" s="11" t="s">
        <v>157</v>
      </c>
      <c r="D16" s="19" t="s">
        <v>142</v>
      </c>
      <c r="E16" s="11">
        <v>4</v>
      </c>
      <c r="F16" s="11"/>
      <c r="G16" s="11"/>
    </row>
    <row r="17" spans="1:7" x14ac:dyDescent="0.25">
      <c r="A17" s="13">
        <v>45935</v>
      </c>
      <c r="B17" s="11" t="s">
        <v>58</v>
      </c>
      <c r="C17" s="11" t="s">
        <v>126</v>
      </c>
      <c r="D17" s="19" t="s">
        <v>142</v>
      </c>
      <c r="E17" s="11">
        <v>4.5</v>
      </c>
      <c r="F17" s="11"/>
      <c r="G17" s="11"/>
    </row>
    <row r="18" spans="1:7" x14ac:dyDescent="0.25">
      <c r="A18" s="13">
        <v>45936</v>
      </c>
      <c r="B18" s="11" t="s">
        <v>58</v>
      </c>
      <c r="C18" s="11" t="s">
        <v>104</v>
      </c>
      <c r="D18" s="19" t="s">
        <v>219</v>
      </c>
      <c r="E18" s="11">
        <v>6.5</v>
      </c>
      <c r="F18" s="11" t="s">
        <v>103</v>
      </c>
      <c r="G18" s="11"/>
    </row>
    <row r="19" spans="1:7" x14ac:dyDescent="0.25">
      <c r="A19" s="13">
        <v>45936</v>
      </c>
      <c r="B19" s="11" t="s">
        <v>58</v>
      </c>
      <c r="C19" s="11" t="s">
        <v>219</v>
      </c>
      <c r="D19" s="11" t="s">
        <v>226</v>
      </c>
      <c r="E19" s="11">
        <v>6.5</v>
      </c>
      <c r="F19" s="11" t="s">
        <v>103</v>
      </c>
      <c r="G19" s="11"/>
    </row>
    <row r="20" spans="1:7" x14ac:dyDescent="0.25">
      <c r="A20" s="13">
        <v>45936</v>
      </c>
      <c r="B20" s="11" t="s">
        <v>49</v>
      </c>
      <c r="C20" s="11" t="s">
        <v>132</v>
      </c>
      <c r="D20" s="11" t="s">
        <v>166</v>
      </c>
      <c r="E20" s="11">
        <v>7.5</v>
      </c>
      <c r="F20" s="11" t="s">
        <v>103</v>
      </c>
      <c r="G20" s="11"/>
    </row>
    <row r="21" spans="1:7" x14ac:dyDescent="0.25">
      <c r="A21" s="13">
        <v>45937</v>
      </c>
      <c r="B21" s="11" t="s">
        <v>56</v>
      </c>
      <c r="C21" s="11" t="s">
        <v>120</v>
      </c>
      <c r="D21" s="11" t="s">
        <v>100</v>
      </c>
      <c r="E21" s="11">
        <v>5.5</v>
      </c>
      <c r="F21" s="11" t="s">
        <v>103</v>
      </c>
      <c r="G21" s="11"/>
    </row>
    <row r="22" spans="1:7" x14ac:dyDescent="0.25">
      <c r="A22" s="13">
        <v>45937</v>
      </c>
      <c r="B22" s="11" t="s">
        <v>49</v>
      </c>
      <c r="C22" s="11" t="s">
        <v>121</v>
      </c>
      <c r="D22" s="11" t="s">
        <v>111</v>
      </c>
      <c r="E22" s="11">
        <v>5</v>
      </c>
      <c r="F22" s="11"/>
      <c r="G22" s="11"/>
    </row>
    <row r="23" spans="1:7" x14ac:dyDescent="0.25">
      <c r="A23" s="13">
        <v>45938</v>
      </c>
      <c r="B23" s="11" t="s">
        <v>56</v>
      </c>
      <c r="C23" s="11" t="s">
        <v>120</v>
      </c>
      <c r="D23" s="11" t="s">
        <v>100</v>
      </c>
      <c r="E23" s="11">
        <v>5.5</v>
      </c>
      <c r="F23" s="11" t="s">
        <v>103</v>
      </c>
      <c r="G23" s="11"/>
    </row>
    <row r="24" spans="1:7" x14ac:dyDescent="0.25">
      <c r="A24" s="13">
        <v>45938</v>
      </c>
      <c r="B24" s="11" t="s">
        <v>56</v>
      </c>
      <c r="C24" s="11" t="s">
        <v>105</v>
      </c>
      <c r="D24" s="11" t="s">
        <v>219</v>
      </c>
      <c r="E24" s="11">
        <v>3</v>
      </c>
      <c r="F24" s="11"/>
      <c r="G24" s="11"/>
    </row>
    <row r="25" spans="1:7" x14ac:dyDescent="0.25">
      <c r="A25" s="13">
        <v>45939</v>
      </c>
      <c r="B25" s="11" t="s">
        <v>56</v>
      </c>
      <c r="C25" s="11" t="s">
        <v>120</v>
      </c>
      <c r="D25" s="11" t="s">
        <v>100</v>
      </c>
      <c r="E25" s="11">
        <v>5.5</v>
      </c>
      <c r="F25" s="11" t="s">
        <v>103</v>
      </c>
      <c r="G25" s="11"/>
    </row>
    <row r="26" spans="1:7" x14ac:dyDescent="0.25">
      <c r="A26" s="13">
        <v>45939</v>
      </c>
      <c r="B26" s="11" t="s">
        <v>49</v>
      </c>
      <c r="C26" s="19" t="s">
        <v>142</v>
      </c>
      <c r="D26" s="11" t="s">
        <v>107</v>
      </c>
      <c r="E26" s="11">
        <v>4</v>
      </c>
      <c r="F26" s="11"/>
      <c r="G26" s="11"/>
    </row>
    <row r="27" spans="1:7" x14ac:dyDescent="0.25">
      <c r="A27" s="13">
        <v>45940</v>
      </c>
      <c r="B27" s="11" t="s">
        <v>56</v>
      </c>
      <c r="C27" s="11" t="s">
        <v>121</v>
      </c>
      <c r="D27" s="11" t="s">
        <v>172</v>
      </c>
      <c r="E27" s="11">
        <v>5.5</v>
      </c>
      <c r="F27" s="11" t="s">
        <v>103</v>
      </c>
      <c r="G27" s="11"/>
    </row>
    <row r="28" spans="1:7" x14ac:dyDescent="0.25">
      <c r="A28" s="13">
        <v>45940</v>
      </c>
      <c r="B28" s="11" t="s">
        <v>49</v>
      </c>
      <c r="C28" s="11" t="s">
        <v>121</v>
      </c>
      <c r="D28" s="11" t="s">
        <v>185</v>
      </c>
      <c r="E28" s="11">
        <v>3.5</v>
      </c>
      <c r="F28" s="11"/>
      <c r="G28" s="11"/>
    </row>
    <row r="29" spans="1:7" x14ac:dyDescent="0.25">
      <c r="A29" s="13">
        <v>45940</v>
      </c>
      <c r="B29" s="11" t="s">
        <v>56</v>
      </c>
      <c r="C29" s="11" t="s">
        <v>120</v>
      </c>
      <c r="D29" s="11" t="s">
        <v>100</v>
      </c>
      <c r="E29" s="11">
        <v>5.5</v>
      </c>
      <c r="F29" s="11" t="s">
        <v>103</v>
      </c>
      <c r="G29" s="11"/>
    </row>
    <row r="30" spans="1:7" x14ac:dyDescent="0.25">
      <c r="A30" s="13">
        <v>45941</v>
      </c>
      <c r="B30" s="11" t="s">
        <v>56</v>
      </c>
      <c r="C30" s="11" t="s">
        <v>120</v>
      </c>
      <c r="D30" s="11" t="s">
        <v>100</v>
      </c>
      <c r="E30" s="11">
        <v>5.5</v>
      </c>
      <c r="F30" s="11" t="s">
        <v>103</v>
      </c>
      <c r="G30" s="11"/>
    </row>
    <row r="31" spans="1:7" x14ac:dyDescent="0.25">
      <c r="A31" s="13">
        <v>45941</v>
      </c>
      <c r="B31" s="11" t="s">
        <v>46</v>
      </c>
      <c r="C31" s="11" t="s">
        <v>104</v>
      </c>
      <c r="D31" s="11" t="s">
        <v>155</v>
      </c>
      <c r="E31" s="11">
        <v>7.5</v>
      </c>
      <c r="F31" s="11" t="s">
        <v>103</v>
      </c>
      <c r="G31" s="11"/>
    </row>
    <row r="32" spans="1:7" x14ac:dyDescent="0.25">
      <c r="A32" s="13">
        <v>45942</v>
      </c>
      <c r="B32" s="11" t="s">
        <v>53</v>
      </c>
      <c r="C32" s="11" t="s">
        <v>105</v>
      </c>
      <c r="D32" s="11" t="s">
        <v>126</v>
      </c>
      <c r="E32" s="11">
        <v>9</v>
      </c>
      <c r="F32" s="11" t="s">
        <v>122</v>
      </c>
      <c r="G32" s="11"/>
    </row>
    <row r="33" spans="1:7" x14ac:dyDescent="0.25">
      <c r="A33" s="13">
        <v>45942</v>
      </c>
      <c r="B33" s="11" t="s">
        <v>49</v>
      </c>
      <c r="C33" s="11" t="s">
        <v>99</v>
      </c>
      <c r="D33" s="11" t="s">
        <v>132</v>
      </c>
      <c r="E33" s="11">
        <v>3</v>
      </c>
      <c r="F33" s="11"/>
      <c r="G33" s="11"/>
    </row>
    <row r="34" spans="1:7" x14ac:dyDescent="0.25">
      <c r="A34" s="13">
        <v>45942</v>
      </c>
      <c r="B34" s="11" t="s">
        <v>56</v>
      </c>
      <c r="C34" s="11" t="s">
        <v>144</v>
      </c>
      <c r="D34" s="11" t="s">
        <v>126</v>
      </c>
      <c r="E34" s="11">
        <v>6</v>
      </c>
      <c r="F34" s="11" t="s">
        <v>103</v>
      </c>
      <c r="G34" s="11"/>
    </row>
    <row r="35" spans="1:7" x14ac:dyDescent="0.25">
      <c r="A35" s="13">
        <v>45943</v>
      </c>
      <c r="B35" s="11" t="s">
        <v>49</v>
      </c>
      <c r="C35" s="11" t="s">
        <v>223</v>
      </c>
      <c r="D35" s="11" t="s">
        <v>142</v>
      </c>
      <c r="E35" s="11">
        <v>3</v>
      </c>
      <c r="F35" s="11"/>
      <c r="G35" s="11"/>
    </row>
    <row r="36" spans="1:7" x14ac:dyDescent="0.25">
      <c r="A36" s="13">
        <v>45944</v>
      </c>
      <c r="B36" s="11" t="s">
        <v>56</v>
      </c>
      <c r="C36" s="11" t="s">
        <v>120</v>
      </c>
      <c r="D36" s="11" t="s">
        <v>100</v>
      </c>
      <c r="E36" s="11">
        <v>5.5</v>
      </c>
      <c r="F36" s="11" t="s">
        <v>103</v>
      </c>
      <c r="G36" s="11"/>
    </row>
    <row r="37" spans="1:7" x14ac:dyDescent="0.25">
      <c r="A37" s="13">
        <v>45945</v>
      </c>
      <c r="B37" s="11" t="s">
        <v>56</v>
      </c>
      <c r="C37" s="11" t="s">
        <v>120</v>
      </c>
      <c r="D37" s="11" t="s">
        <v>100</v>
      </c>
      <c r="E37" s="11">
        <v>5.5</v>
      </c>
      <c r="F37" s="11" t="s">
        <v>103</v>
      </c>
      <c r="G37" s="11"/>
    </row>
    <row r="38" spans="1:7" x14ac:dyDescent="0.25">
      <c r="A38" s="13">
        <v>45946</v>
      </c>
      <c r="B38" s="11" t="s">
        <v>56</v>
      </c>
      <c r="C38" s="11" t="s">
        <v>120</v>
      </c>
      <c r="D38" s="11" t="s">
        <v>104</v>
      </c>
      <c r="E38" s="11">
        <v>3</v>
      </c>
      <c r="F38" s="11"/>
      <c r="G38" s="11"/>
    </row>
    <row r="39" spans="1:7" x14ac:dyDescent="0.25">
      <c r="A39" s="13">
        <v>45946</v>
      </c>
      <c r="B39" s="11" t="s">
        <v>56</v>
      </c>
      <c r="C39" s="11" t="s">
        <v>104</v>
      </c>
      <c r="D39" s="11" t="s">
        <v>100</v>
      </c>
      <c r="E39" s="11">
        <v>3</v>
      </c>
      <c r="F39" s="11"/>
      <c r="G39" s="11"/>
    </row>
    <row r="40" spans="1:7" x14ac:dyDescent="0.25">
      <c r="A40" s="13">
        <v>45946</v>
      </c>
      <c r="B40" s="11" t="s">
        <v>56</v>
      </c>
      <c r="C40" s="11" t="s">
        <v>296</v>
      </c>
      <c r="D40" s="11" t="s">
        <v>107</v>
      </c>
      <c r="E40" s="11">
        <v>5</v>
      </c>
      <c r="F40" s="11"/>
      <c r="G40" s="11"/>
    </row>
    <row r="41" spans="1:7" x14ac:dyDescent="0.25">
      <c r="A41" s="13">
        <v>45947</v>
      </c>
      <c r="B41" s="11" t="s">
        <v>56</v>
      </c>
      <c r="C41" s="11" t="s">
        <v>120</v>
      </c>
      <c r="D41" s="11" t="s">
        <v>100</v>
      </c>
      <c r="E41" s="11">
        <v>5.5</v>
      </c>
      <c r="F41" s="11" t="s">
        <v>103</v>
      </c>
      <c r="G41" s="11"/>
    </row>
    <row r="42" spans="1:7" x14ac:dyDescent="0.25">
      <c r="A42" s="13">
        <v>45947</v>
      </c>
      <c r="B42" s="11" t="s">
        <v>56</v>
      </c>
      <c r="C42" s="11" t="s">
        <v>121</v>
      </c>
      <c r="D42" s="11" t="s">
        <v>172</v>
      </c>
      <c r="E42" s="11">
        <v>5.5</v>
      </c>
      <c r="F42" s="11" t="s">
        <v>103</v>
      </c>
      <c r="G42" s="11"/>
    </row>
    <row r="43" spans="1:7" x14ac:dyDescent="0.25">
      <c r="A43" s="13">
        <v>45948</v>
      </c>
      <c r="B43" s="11" t="s">
        <v>56</v>
      </c>
      <c r="C43" s="11" t="s">
        <v>120</v>
      </c>
      <c r="D43" s="11" t="s">
        <v>100</v>
      </c>
      <c r="E43" s="11">
        <v>5.5</v>
      </c>
      <c r="F43" s="11" t="s">
        <v>103</v>
      </c>
      <c r="G43" s="11"/>
    </row>
    <row r="44" spans="1:7" x14ac:dyDescent="0.25">
      <c r="A44" s="13">
        <v>45948</v>
      </c>
      <c r="B44" s="11" t="s">
        <v>56</v>
      </c>
      <c r="C44" s="11" t="s">
        <v>105</v>
      </c>
      <c r="D44" s="11" t="s">
        <v>166</v>
      </c>
      <c r="E44" s="11">
        <v>5</v>
      </c>
      <c r="F44" s="11"/>
      <c r="G44" s="11"/>
    </row>
    <row r="45" spans="1:7" x14ac:dyDescent="0.25">
      <c r="A45" s="13">
        <v>45949</v>
      </c>
      <c r="B45" s="11" t="s">
        <v>48</v>
      </c>
      <c r="C45" s="11" t="s">
        <v>132</v>
      </c>
      <c r="D45" s="11" t="s">
        <v>219</v>
      </c>
      <c r="E45" s="11">
        <v>5.5</v>
      </c>
      <c r="F45" s="11" t="s">
        <v>103</v>
      </c>
      <c r="G45" s="11"/>
    </row>
    <row r="46" spans="1:7" x14ac:dyDescent="0.25">
      <c r="A46" s="13">
        <v>45949</v>
      </c>
      <c r="B46" s="11" t="s">
        <v>49</v>
      </c>
      <c r="C46" s="11" t="s">
        <v>99</v>
      </c>
      <c r="D46" s="11" t="s">
        <v>132</v>
      </c>
      <c r="E46" s="11">
        <v>3</v>
      </c>
      <c r="F46" s="11"/>
      <c r="G46" s="11"/>
    </row>
    <row r="47" spans="1:7" x14ac:dyDescent="0.25">
      <c r="A47" s="13">
        <v>45949</v>
      </c>
      <c r="B47" s="11" t="s">
        <v>58</v>
      </c>
      <c r="C47" s="11" t="s">
        <v>126</v>
      </c>
      <c r="D47" s="11" t="s">
        <v>188</v>
      </c>
      <c r="E47" s="11">
        <v>5</v>
      </c>
      <c r="F47" s="11" t="s">
        <v>103</v>
      </c>
      <c r="G47" s="11"/>
    </row>
    <row r="48" spans="1:7" x14ac:dyDescent="0.25">
      <c r="A48" s="13">
        <v>45949</v>
      </c>
      <c r="B48" s="11" t="s">
        <v>58</v>
      </c>
      <c r="C48" s="11" t="s">
        <v>310</v>
      </c>
      <c r="D48" s="11" t="s">
        <v>189</v>
      </c>
      <c r="E48" s="11">
        <v>5</v>
      </c>
      <c r="F48" s="11" t="s">
        <v>103</v>
      </c>
      <c r="G48" s="11"/>
    </row>
    <row r="49" spans="1:7" x14ac:dyDescent="0.25">
      <c r="A49" s="13">
        <v>45949</v>
      </c>
      <c r="B49" s="11" t="s">
        <v>56</v>
      </c>
      <c r="C49" s="11" t="s">
        <v>144</v>
      </c>
      <c r="D49" s="11" t="s">
        <v>118</v>
      </c>
      <c r="E49" s="11">
        <v>3.5</v>
      </c>
      <c r="F49" s="11"/>
      <c r="G49" s="11"/>
    </row>
    <row r="50" spans="1:7" x14ac:dyDescent="0.25">
      <c r="A50" s="13">
        <v>45949</v>
      </c>
      <c r="B50" s="11" t="s">
        <v>56</v>
      </c>
      <c r="C50" s="11" t="s">
        <v>120</v>
      </c>
      <c r="D50" s="11" t="s">
        <v>126</v>
      </c>
      <c r="E50" s="11">
        <v>5</v>
      </c>
      <c r="F50" s="11"/>
      <c r="G50" s="11"/>
    </row>
    <row r="51" spans="1:7" x14ac:dyDescent="0.25">
      <c r="A51" s="13">
        <v>45950</v>
      </c>
      <c r="B51" s="11" t="s">
        <v>58</v>
      </c>
      <c r="C51" s="11" t="s">
        <v>118</v>
      </c>
      <c r="D51" s="11" t="s">
        <v>155</v>
      </c>
      <c r="E51" s="11">
        <v>8</v>
      </c>
      <c r="F51" s="11" t="s">
        <v>122</v>
      </c>
      <c r="G51" s="11"/>
    </row>
    <row r="52" spans="1:7" x14ac:dyDescent="0.25">
      <c r="A52" s="13">
        <v>45950</v>
      </c>
      <c r="B52" s="11" t="s">
        <v>49</v>
      </c>
      <c r="C52" s="11" t="s">
        <v>223</v>
      </c>
      <c r="D52" s="19" t="s">
        <v>142</v>
      </c>
      <c r="E52" s="11">
        <v>3</v>
      </c>
      <c r="F52" s="11"/>
      <c r="G52" s="11"/>
    </row>
    <row r="53" spans="1:7" x14ac:dyDescent="0.25">
      <c r="A53" s="13">
        <v>45951</v>
      </c>
      <c r="B53" s="11" t="s">
        <v>56</v>
      </c>
      <c r="C53" s="11" t="s">
        <v>120</v>
      </c>
      <c r="D53" s="11" t="s">
        <v>100</v>
      </c>
      <c r="E53" s="11">
        <v>5.5</v>
      </c>
      <c r="F53" s="11" t="s">
        <v>103</v>
      </c>
      <c r="G53" s="11"/>
    </row>
    <row r="54" spans="1:7" x14ac:dyDescent="0.25">
      <c r="A54" s="13">
        <v>45952</v>
      </c>
      <c r="B54" s="11" t="s">
        <v>56</v>
      </c>
      <c r="C54" s="11" t="s">
        <v>120</v>
      </c>
      <c r="D54" s="11" t="s">
        <v>100</v>
      </c>
      <c r="E54" s="11">
        <v>5.5</v>
      </c>
      <c r="F54" s="11" t="s">
        <v>103</v>
      </c>
      <c r="G54" s="11"/>
    </row>
    <row r="55" spans="1:7" x14ac:dyDescent="0.25">
      <c r="A55" s="13">
        <v>45953</v>
      </c>
      <c r="B55" s="11" t="s">
        <v>49</v>
      </c>
      <c r="C55" s="11" t="s">
        <v>121</v>
      </c>
      <c r="D55" s="11" t="s">
        <v>107</v>
      </c>
      <c r="E55" s="11">
        <v>4.5</v>
      </c>
      <c r="F55" s="11"/>
      <c r="G55" s="11"/>
    </row>
    <row r="56" spans="1:7" x14ac:dyDescent="0.25">
      <c r="A56" s="13">
        <v>45953</v>
      </c>
      <c r="B56" s="11" t="s">
        <v>56</v>
      </c>
      <c r="C56" s="11" t="s">
        <v>120</v>
      </c>
      <c r="D56" s="11" t="s">
        <v>100</v>
      </c>
      <c r="E56" s="11">
        <v>5.5</v>
      </c>
      <c r="F56" s="11" t="s">
        <v>103</v>
      </c>
      <c r="G56" s="11"/>
    </row>
    <row r="57" spans="1:7" x14ac:dyDescent="0.25">
      <c r="A57" s="13">
        <v>45954</v>
      </c>
      <c r="B57" s="11" t="s">
        <v>49</v>
      </c>
      <c r="C57" s="11" t="s">
        <v>219</v>
      </c>
      <c r="D57" s="11" t="s">
        <v>183</v>
      </c>
      <c r="E57" s="11">
        <v>5</v>
      </c>
      <c r="F57" s="11" t="s">
        <v>103</v>
      </c>
      <c r="G57" s="11"/>
    </row>
    <row r="58" spans="1:7" x14ac:dyDescent="0.25">
      <c r="A58" s="13">
        <v>45954</v>
      </c>
      <c r="B58" s="11" t="s">
        <v>56</v>
      </c>
      <c r="C58" s="11" t="s">
        <v>120</v>
      </c>
      <c r="D58" s="11" t="s">
        <v>100</v>
      </c>
      <c r="E58" s="11">
        <v>5.5</v>
      </c>
      <c r="F58" s="11" t="s">
        <v>103</v>
      </c>
      <c r="G58" s="11"/>
    </row>
    <row r="59" spans="1:7" x14ac:dyDescent="0.25">
      <c r="A59" s="13">
        <v>45954</v>
      </c>
      <c r="B59" s="11" t="s">
        <v>56</v>
      </c>
      <c r="C59" s="11" t="s">
        <v>121</v>
      </c>
      <c r="D59" s="11" t="s">
        <v>172</v>
      </c>
      <c r="E59" s="11">
        <v>5.5</v>
      </c>
      <c r="F59" s="11" t="s">
        <v>103</v>
      </c>
      <c r="G59" s="11"/>
    </row>
    <row r="60" spans="1:7" x14ac:dyDescent="0.25">
      <c r="A60" s="13">
        <v>45954</v>
      </c>
      <c r="B60" s="11" t="s">
        <v>53</v>
      </c>
      <c r="C60" s="11" t="s">
        <v>180</v>
      </c>
      <c r="D60" s="11" t="s">
        <v>142</v>
      </c>
      <c r="E60" s="11">
        <v>5.5</v>
      </c>
      <c r="F60" s="11" t="s">
        <v>103</v>
      </c>
      <c r="G60" s="11"/>
    </row>
    <row r="61" spans="1:7" x14ac:dyDescent="0.25">
      <c r="A61" s="13">
        <v>45955</v>
      </c>
      <c r="B61" s="11" t="s">
        <v>49</v>
      </c>
      <c r="C61" s="19" t="s">
        <v>180</v>
      </c>
      <c r="D61" s="11" t="s">
        <v>142</v>
      </c>
      <c r="E61" s="11">
        <v>5.5</v>
      </c>
      <c r="F61" s="11" t="s">
        <v>103</v>
      </c>
      <c r="G61" s="11"/>
    </row>
    <row r="62" spans="1:7" x14ac:dyDescent="0.25">
      <c r="A62" s="13">
        <v>45955</v>
      </c>
      <c r="B62" s="11" t="s">
        <v>56</v>
      </c>
      <c r="C62" s="11" t="s">
        <v>120</v>
      </c>
      <c r="D62" s="11" t="s">
        <v>100</v>
      </c>
      <c r="E62" s="11">
        <v>5.5</v>
      </c>
      <c r="F62" s="11" t="s">
        <v>103</v>
      </c>
      <c r="G62" s="11"/>
    </row>
    <row r="63" spans="1:7" x14ac:dyDescent="0.25">
      <c r="A63" s="13">
        <v>45956</v>
      </c>
      <c r="B63" s="11" t="s">
        <v>58</v>
      </c>
      <c r="C63" s="11" t="s">
        <v>144</v>
      </c>
      <c r="D63" s="11" t="s">
        <v>223</v>
      </c>
      <c r="E63" s="11">
        <v>7.5</v>
      </c>
      <c r="F63" s="11" t="s">
        <v>103</v>
      </c>
      <c r="G63" s="11"/>
    </row>
    <row r="64" spans="1:7" x14ac:dyDescent="0.25">
      <c r="A64" s="13">
        <v>45956</v>
      </c>
      <c r="B64" s="11" t="s">
        <v>53</v>
      </c>
      <c r="C64" s="11" t="s">
        <v>120</v>
      </c>
      <c r="D64" s="11" t="s">
        <v>100</v>
      </c>
      <c r="E64" s="11">
        <v>5.5</v>
      </c>
      <c r="F64" s="11" t="s">
        <v>103</v>
      </c>
      <c r="G64" s="11"/>
    </row>
    <row r="65" spans="1:7" x14ac:dyDescent="0.25">
      <c r="A65" s="13">
        <v>45956</v>
      </c>
      <c r="B65" s="11" t="s">
        <v>53</v>
      </c>
      <c r="C65" s="11" t="s">
        <v>100</v>
      </c>
      <c r="D65" s="11" t="s">
        <v>188</v>
      </c>
      <c r="E65" s="11">
        <v>4.5</v>
      </c>
      <c r="F65" s="11"/>
      <c r="G65" s="11"/>
    </row>
    <row r="66" spans="1:7" x14ac:dyDescent="0.25">
      <c r="A66" s="13">
        <v>45956</v>
      </c>
      <c r="B66" s="11" t="s">
        <v>58</v>
      </c>
      <c r="C66" s="11" t="s">
        <v>100</v>
      </c>
      <c r="D66" s="11" t="s">
        <v>226</v>
      </c>
      <c r="E66" s="11">
        <v>10</v>
      </c>
      <c r="F66" s="11" t="s">
        <v>122</v>
      </c>
      <c r="G66" s="11"/>
    </row>
    <row r="67" spans="1:7" x14ac:dyDescent="0.25">
      <c r="A67" s="13">
        <v>45956</v>
      </c>
      <c r="B67" s="11" t="s">
        <v>46</v>
      </c>
      <c r="C67" s="11" t="s">
        <v>223</v>
      </c>
      <c r="D67" s="11" t="s">
        <v>185</v>
      </c>
      <c r="E67" s="11">
        <v>5.5</v>
      </c>
      <c r="F67" s="11" t="s">
        <v>103</v>
      </c>
      <c r="G67" s="11"/>
    </row>
    <row r="68" spans="1:7" x14ac:dyDescent="0.25">
      <c r="A68" s="13">
        <v>45956</v>
      </c>
      <c r="B68" s="11" t="s">
        <v>55</v>
      </c>
      <c r="C68" s="11" t="s">
        <v>142</v>
      </c>
      <c r="D68" s="11" t="s">
        <v>107</v>
      </c>
      <c r="E68" s="11">
        <v>4</v>
      </c>
      <c r="F68" s="11"/>
      <c r="G68" s="11"/>
    </row>
    <row r="69" spans="1:7" x14ac:dyDescent="0.25">
      <c r="A69" s="13">
        <v>45957</v>
      </c>
      <c r="B69" s="11" t="s">
        <v>53</v>
      </c>
      <c r="C69" s="11" t="s">
        <v>132</v>
      </c>
      <c r="D69" s="11" t="s">
        <v>219</v>
      </c>
      <c r="E69" s="11">
        <v>5.5</v>
      </c>
      <c r="F69" s="11" t="s">
        <v>103</v>
      </c>
      <c r="G69" s="11"/>
    </row>
    <row r="70" spans="1:7" x14ac:dyDescent="0.25">
      <c r="A70" s="13">
        <v>45957</v>
      </c>
      <c r="B70" s="11" t="s">
        <v>58</v>
      </c>
      <c r="C70" s="11" t="s">
        <v>157</v>
      </c>
      <c r="D70" s="11" t="s">
        <v>188</v>
      </c>
      <c r="E70" s="11">
        <v>5</v>
      </c>
      <c r="F70" s="11"/>
      <c r="G70" s="11"/>
    </row>
    <row r="71" spans="1:7" x14ac:dyDescent="0.25">
      <c r="A71" s="13">
        <v>45958</v>
      </c>
      <c r="B71" s="11" t="s">
        <v>56</v>
      </c>
      <c r="C71" s="11" t="s">
        <v>120</v>
      </c>
      <c r="D71" s="11" t="s">
        <v>100</v>
      </c>
      <c r="E71" s="11">
        <v>5.5</v>
      </c>
      <c r="F71" s="11" t="s">
        <v>103</v>
      </c>
      <c r="G71" s="11"/>
    </row>
    <row r="72" spans="1:7" x14ac:dyDescent="0.25">
      <c r="A72" s="13">
        <v>45959</v>
      </c>
      <c r="B72" s="11" t="s">
        <v>56</v>
      </c>
      <c r="C72" s="11" t="s">
        <v>120</v>
      </c>
      <c r="D72" s="11" t="s">
        <v>100</v>
      </c>
      <c r="E72" s="11">
        <v>5.5</v>
      </c>
      <c r="F72" s="11" t="s">
        <v>103</v>
      </c>
      <c r="G72" s="11"/>
    </row>
    <row r="73" spans="1:7" x14ac:dyDescent="0.25">
      <c r="A73" s="13">
        <v>45960</v>
      </c>
      <c r="B73" s="11" t="s">
        <v>49</v>
      </c>
      <c r="C73" s="11" t="s">
        <v>121</v>
      </c>
      <c r="D73" s="11" t="s">
        <v>107</v>
      </c>
      <c r="E73" s="11">
        <v>4.5</v>
      </c>
      <c r="F73" s="11"/>
      <c r="G73" s="11"/>
    </row>
    <row r="74" spans="1:7" x14ac:dyDescent="0.25">
      <c r="A74" s="13">
        <v>45960</v>
      </c>
      <c r="B74" s="11" t="s">
        <v>56</v>
      </c>
      <c r="C74" s="11" t="s">
        <v>120</v>
      </c>
      <c r="D74" s="11" t="s">
        <v>100</v>
      </c>
      <c r="E74" s="11">
        <v>5.5</v>
      </c>
      <c r="F74" s="11" t="s">
        <v>103</v>
      </c>
      <c r="G74" s="11"/>
    </row>
    <row r="75" spans="1:7" x14ac:dyDescent="0.25">
      <c r="A75" s="13">
        <v>45961</v>
      </c>
      <c r="B75" s="11" t="s">
        <v>56</v>
      </c>
      <c r="C75" s="11" t="s">
        <v>310</v>
      </c>
      <c r="D75" s="11" t="s">
        <v>111</v>
      </c>
      <c r="E75" s="11">
        <v>3.5</v>
      </c>
      <c r="F75" s="11"/>
      <c r="G75" s="11"/>
    </row>
    <row r="76" spans="1:7" x14ac:dyDescent="0.25">
      <c r="A76" s="13">
        <v>45961</v>
      </c>
      <c r="B76" s="11" t="s">
        <v>56</v>
      </c>
      <c r="C76" s="11" t="s">
        <v>120</v>
      </c>
      <c r="D76" s="11" t="s">
        <v>100</v>
      </c>
      <c r="E76" s="11">
        <v>5.5</v>
      </c>
      <c r="F76" s="11" t="s">
        <v>103</v>
      </c>
      <c r="G76" s="11"/>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7" tint="0.39997558519241921"/>
  </sheetPr>
  <dimension ref="A1:G83"/>
  <sheetViews>
    <sheetView topLeftCell="A63" workbookViewId="0">
      <selection activeCell="A2" sqref="A1:B1048576"/>
    </sheetView>
  </sheetViews>
  <sheetFormatPr defaultRowHeight="15" x14ac:dyDescent="0.25"/>
  <cols>
    <col min="1" max="1" width="13.85546875" customWidth="1"/>
    <col min="2" max="2" width="86.7109375" customWidth="1"/>
    <col min="3" max="3" width="11.140625" customWidth="1"/>
    <col min="4" max="4" width="11.5703125" customWidth="1"/>
    <col min="5" max="5" width="15.42578125" customWidth="1"/>
    <col min="6" max="6" width="24.42578125" customWidth="1"/>
    <col min="7" max="7" width="19.28515625" bestFit="1" customWidth="1"/>
  </cols>
  <sheetData>
    <row r="1" spans="1:7" x14ac:dyDescent="0.25">
      <c r="A1" s="9" t="s">
        <v>83</v>
      </c>
      <c r="B1" s="9" t="s">
        <v>84</v>
      </c>
      <c r="C1" s="9" t="s">
        <v>85</v>
      </c>
      <c r="D1" s="9" t="s">
        <v>86</v>
      </c>
      <c r="E1" s="9" t="s">
        <v>16</v>
      </c>
      <c r="F1" s="9" t="s">
        <v>87</v>
      </c>
      <c r="G1" s="9" t="s">
        <v>25</v>
      </c>
    </row>
    <row r="2" spans="1:7" x14ac:dyDescent="0.25">
      <c r="A2" s="13">
        <v>45962</v>
      </c>
      <c r="B2" s="11" t="s">
        <v>56</v>
      </c>
      <c r="C2" s="11" t="s">
        <v>120</v>
      </c>
      <c r="D2" s="11" t="s">
        <v>100</v>
      </c>
      <c r="E2" s="11">
        <v>5.5</v>
      </c>
      <c r="F2" s="11" t="s">
        <v>103</v>
      </c>
      <c r="G2" s="12">
        <f>SUM(E:E)</f>
        <v>421.5</v>
      </c>
    </row>
    <row r="3" spans="1:7" x14ac:dyDescent="0.25">
      <c r="A3" s="13">
        <v>45962</v>
      </c>
      <c r="B3" s="11" t="s">
        <v>53</v>
      </c>
      <c r="C3" s="11" t="s">
        <v>219</v>
      </c>
      <c r="D3" s="11" t="s">
        <v>172</v>
      </c>
      <c r="E3" s="11">
        <v>5</v>
      </c>
      <c r="F3" s="11"/>
      <c r="G3" s="11"/>
    </row>
    <row r="4" spans="1:7" x14ac:dyDescent="0.25">
      <c r="A4" s="13">
        <v>45962</v>
      </c>
      <c r="B4" s="11" t="s">
        <v>53</v>
      </c>
      <c r="C4" s="11" t="s">
        <v>104</v>
      </c>
      <c r="D4" s="11" t="s">
        <v>102</v>
      </c>
      <c r="E4" s="11">
        <v>5</v>
      </c>
      <c r="F4" s="11"/>
      <c r="G4" s="11"/>
    </row>
    <row r="5" spans="1:7" x14ac:dyDescent="0.25">
      <c r="A5" s="13">
        <v>45963</v>
      </c>
      <c r="B5" s="11" t="s">
        <v>48</v>
      </c>
      <c r="C5" s="11" t="s">
        <v>233</v>
      </c>
      <c r="D5" s="11" t="s">
        <v>126</v>
      </c>
      <c r="E5" s="11">
        <v>3</v>
      </c>
      <c r="F5" s="11"/>
      <c r="G5" s="11"/>
    </row>
    <row r="6" spans="1:7" x14ac:dyDescent="0.25">
      <c r="A6" s="13">
        <v>45963</v>
      </c>
      <c r="B6" s="11" t="s">
        <v>49</v>
      </c>
      <c r="C6" s="11" t="s">
        <v>99</v>
      </c>
      <c r="D6" s="11" t="s">
        <v>172</v>
      </c>
      <c r="E6" s="11">
        <v>4</v>
      </c>
      <c r="F6" s="11"/>
      <c r="G6" s="11"/>
    </row>
    <row r="7" spans="1:7" x14ac:dyDescent="0.25">
      <c r="A7" s="13">
        <v>45963</v>
      </c>
      <c r="B7" s="11" t="s">
        <v>58</v>
      </c>
      <c r="C7" s="11" t="s">
        <v>144</v>
      </c>
      <c r="D7" s="11" t="s">
        <v>126</v>
      </c>
      <c r="E7" s="11">
        <v>6</v>
      </c>
      <c r="F7" s="11" t="s">
        <v>103</v>
      </c>
      <c r="G7" s="11"/>
    </row>
    <row r="8" spans="1:7" x14ac:dyDescent="0.25">
      <c r="A8" s="13">
        <v>45963</v>
      </c>
      <c r="B8" s="11" t="s">
        <v>53</v>
      </c>
      <c r="C8" s="11" t="s">
        <v>126</v>
      </c>
      <c r="D8" s="11" t="s">
        <v>306</v>
      </c>
      <c r="E8" s="11">
        <v>11.5</v>
      </c>
      <c r="F8" s="11" t="s">
        <v>122</v>
      </c>
      <c r="G8" s="11"/>
    </row>
    <row r="9" spans="1:7" x14ac:dyDescent="0.25">
      <c r="A9" s="13">
        <v>45963</v>
      </c>
      <c r="B9" s="11" t="s">
        <v>58</v>
      </c>
      <c r="C9" s="11" t="s">
        <v>126</v>
      </c>
      <c r="D9" s="11" t="s">
        <v>111</v>
      </c>
      <c r="E9" s="11">
        <v>8</v>
      </c>
      <c r="F9" s="11" t="s">
        <v>122</v>
      </c>
      <c r="G9" s="11"/>
    </row>
    <row r="10" spans="1:7" x14ac:dyDescent="0.25">
      <c r="A10" s="13">
        <v>45963</v>
      </c>
      <c r="B10" s="11" t="s">
        <v>48</v>
      </c>
      <c r="C10" s="11" t="s">
        <v>126</v>
      </c>
      <c r="D10" s="11" t="s">
        <v>121</v>
      </c>
      <c r="E10" s="11">
        <v>4</v>
      </c>
      <c r="F10" s="11"/>
      <c r="G10" s="11"/>
    </row>
    <row r="11" spans="1:7" x14ac:dyDescent="0.25">
      <c r="A11" s="13">
        <v>45963</v>
      </c>
      <c r="B11" s="11" t="s">
        <v>46</v>
      </c>
      <c r="C11" s="11" t="s">
        <v>104</v>
      </c>
      <c r="D11" s="11" t="s">
        <v>155</v>
      </c>
      <c r="E11" s="11">
        <v>7.5</v>
      </c>
      <c r="F11" s="11" t="s">
        <v>103</v>
      </c>
      <c r="G11" s="11"/>
    </row>
    <row r="12" spans="1:7" x14ac:dyDescent="0.25">
      <c r="A12" s="13">
        <v>45964</v>
      </c>
      <c r="B12" s="11" t="s">
        <v>49</v>
      </c>
      <c r="C12" s="11" t="s">
        <v>105</v>
      </c>
      <c r="D12" s="11" t="s">
        <v>121</v>
      </c>
      <c r="E12" s="11">
        <v>2</v>
      </c>
      <c r="F12" s="11"/>
      <c r="G12" s="11"/>
    </row>
    <row r="13" spans="1:7" x14ac:dyDescent="0.25">
      <c r="A13" s="13">
        <v>45965</v>
      </c>
      <c r="B13" s="13" t="s">
        <v>56</v>
      </c>
      <c r="C13" s="11" t="s">
        <v>219</v>
      </c>
      <c r="D13" s="11" t="s">
        <v>172</v>
      </c>
      <c r="E13" s="11">
        <v>5</v>
      </c>
      <c r="F13" s="11"/>
      <c r="G13" s="11"/>
    </row>
    <row r="14" spans="1:7" x14ac:dyDescent="0.25">
      <c r="A14" s="13">
        <v>45965</v>
      </c>
      <c r="B14" s="13" t="s">
        <v>56</v>
      </c>
      <c r="C14" s="11" t="s">
        <v>120</v>
      </c>
      <c r="D14" s="11" t="s">
        <v>100</v>
      </c>
      <c r="E14" s="11">
        <v>5.5</v>
      </c>
      <c r="F14" s="11" t="s">
        <v>103</v>
      </c>
      <c r="G14" s="11"/>
    </row>
    <row r="15" spans="1:7" x14ac:dyDescent="0.25">
      <c r="A15" s="13">
        <v>45966</v>
      </c>
      <c r="B15" s="11" t="s">
        <v>56</v>
      </c>
      <c r="C15" s="11" t="s">
        <v>120</v>
      </c>
      <c r="D15" s="11" t="s">
        <v>100</v>
      </c>
      <c r="E15" s="11">
        <v>5.5</v>
      </c>
      <c r="F15" s="11" t="s">
        <v>311</v>
      </c>
      <c r="G15" s="11"/>
    </row>
    <row r="16" spans="1:7" x14ac:dyDescent="0.25">
      <c r="A16" s="13">
        <v>45966</v>
      </c>
      <c r="B16" s="11" t="s">
        <v>53</v>
      </c>
      <c r="C16" s="19" t="s">
        <v>121</v>
      </c>
      <c r="D16" s="11" t="s">
        <v>255</v>
      </c>
      <c r="E16" s="11">
        <v>5</v>
      </c>
      <c r="F16" s="11" t="s">
        <v>103</v>
      </c>
      <c r="G16" s="11"/>
    </row>
    <row r="17" spans="1:7" x14ac:dyDescent="0.25">
      <c r="A17" s="13">
        <v>45967</v>
      </c>
      <c r="B17" s="11" t="s">
        <v>49</v>
      </c>
      <c r="C17" s="19" t="s">
        <v>105</v>
      </c>
      <c r="D17" s="11" t="s">
        <v>107</v>
      </c>
      <c r="E17" s="11">
        <v>6</v>
      </c>
      <c r="F17" s="11" t="s">
        <v>103</v>
      </c>
      <c r="G17" s="11"/>
    </row>
    <row r="18" spans="1:7" x14ac:dyDescent="0.25">
      <c r="A18" s="13">
        <v>45967</v>
      </c>
      <c r="B18" s="11" t="s">
        <v>56</v>
      </c>
      <c r="C18" s="11" t="s">
        <v>120</v>
      </c>
      <c r="D18" s="11" t="s">
        <v>100</v>
      </c>
      <c r="E18" s="11">
        <v>5.5</v>
      </c>
      <c r="F18" s="11" t="s">
        <v>103</v>
      </c>
      <c r="G18" s="11"/>
    </row>
    <row r="19" spans="1:7" x14ac:dyDescent="0.25">
      <c r="A19" s="13">
        <v>45968</v>
      </c>
      <c r="B19" s="11" t="s">
        <v>56</v>
      </c>
      <c r="C19" s="11" t="s">
        <v>188</v>
      </c>
      <c r="D19" s="11" t="s">
        <v>255</v>
      </c>
      <c r="E19" s="11">
        <v>4</v>
      </c>
      <c r="F19" s="11"/>
      <c r="G19" s="11"/>
    </row>
    <row r="20" spans="1:7" x14ac:dyDescent="0.25">
      <c r="A20" s="13">
        <v>45968</v>
      </c>
      <c r="B20" s="11" t="s">
        <v>53</v>
      </c>
      <c r="C20" s="11" t="s">
        <v>120</v>
      </c>
      <c r="D20" s="11" t="s">
        <v>121</v>
      </c>
      <c r="E20" s="11">
        <v>8</v>
      </c>
      <c r="F20" s="11" t="s">
        <v>122</v>
      </c>
      <c r="G20" s="11"/>
    </row>
    <row r="21" spans="1:7" x14ac:dyDescent="0.25">
      <c r="A21" s="13">
        <v>45968</v>
      </c>
      <c r="B21" s="11" t="s">
        <v>56</v>
      </c>
      <c r="C21" s="11" t="s">
        <v>120</v>
      </c>
      <c r="D21" s="11" t="s">
        <v>100</v>
      </c>
      <c r="E21" s="11">
        <v>5.5</v>
      </c>
      <c r="F21" s="11" t="s">
        <v>103</v>
      </c>
      <c r="G21" s="11"/>
    </row>
    <row r="22" spans="1:7" x14ac:dyDescent="0.25">
      <c r="A22" s="13">
        <v>45969</v>
      </c>
      <c r="B22" s="11" t="s">
        <v>56</v>
      </c>
      <c r="C22" s="11" t="s">
        <v>120</v>
      </c>
      <c r="D22" s="11" t="s">
        <v>100</v>
      </c>
      <c r="E22" s="11">
        <v>5.5</v>
      </c>
      <c r="F22" s="11" t="s">
        <v>103</v>
      </c>
      <c r="G22" s="11"/>
    </row>
    <row r="23" spans="1:7" x14ac:dyDescent="0.25">
      <c r="A23" s="13">
        <v>45969</v>
      </c>
      <c r="B23" s="11" t="s">
        <v>56</v>
      </c>
      <c r="C23" s="11" t="s">
        <v>296</v>
      </c>
      <c r="D23" s="11" t="s">
        <v>107</v>
      </c>
      <c r="E23" s="11">
        <v>5</v>
      </c>
      <c r="F23" s="11"/>
      <c r="G23" s="11"/>
    </row>
    <row r="24" spans="1:7" x14ac:dyDescent="0.25">
      <c r="A24" s="13">
        <v>45970</v>
      </c>
      <c r="B24" s="11" t="s">
        <v>56</v>
      </c>
      <c r="C24" s="11" t="s">
        <v>120</v>
      </c>
      <c r="D24" s="11" t="s">
        <v>126</v>
      </c>
      <c r="E24" s="11">
        <v>5</v>
      </c>
      <c r="F24" s="11"/>
      <c r="G24" s="11"/>
    </row>
    <row r="25" spans="1:7" x14ac:dyDescent="0.25">
      <c r="A25" s="13">
        <v>45970</v>
      </c>
      <c r="B25" s="11" t="s">
        <v>58</v>
      </c>
      <c r="C25" s="11" t="s">
        <v>144</v>
      </c>
      <c r="D25" s="11" t="s">
        <v>118</v>
      </c>
      <c r="E25" s="11">
        <v>3.5</v>
      </c>
      <c r="F25" s="11"/>
      <c r="G25" s="11"/>
    </row>
    <row r="26" spans="1:7" x14ac:dyDescent="0.25">
      <c r="A26" s="13">
        <v>45970</v>
      </c>
      <c r="B26" s="11" t="s">
        <v>53</v>
      </c>
      <c r="C26" s="11" t="s">
        <v>155</v>
      </c>
      <c r="D26" s="11" t="s">
        <v>157</v>
      </c>
      <c r="E26" s="11">
        <v>6</v>
      </c>
      <c r="F26" s="11" t="s">
        <v>103</v>
      </c>
      <c r="G26" s="11"/>
    </row>
    <row r="27" spans="1:7" x14ac:dyDescent="0.25">
      <c r="A27" s="13">
        <v>45970</v>
      </c>
      <c r="B27" s="11" t="s">
        <v>48</v>
      </c>
      <c r="C27" s="11" t="s">
        <v>121</v>
      </c>
      <c r="D27" s="11" t="s">
        <v>306</v>
      </c>
      <c r="E27" s="11">
        <v>7.5</v>
      </c>
      <c r="F27" s="11" t="s">
        <v>122</v>
      </c>
      <c r="G27" s="11"/>
    </row>
    <row r="28" spans="1:7" x14ac:dyDescent="0.25">
      <c r="A28" s="13">
        <v>45970</v>
      </c>
      <c r="B28" s="11" t="s">
        <v>58</v>
      </c>
      <c r="C28" s="11" t="s">
        <v>100</v>
      </c>
      <c r="D28" s="11" t="s">
        <v>219</v>
      </c>
      <c r="E28" s="11">
        <v>4.5</v>
      </c>
      <c r="F28" s="11"/>
      <c r="G28" s="11"/>
    </row>
    <row r="29" spans="1:7" x14ac:dyDescent="0.25">
      <c r="A29" s="13">
        <v>45970</v>
      </c>
      <c r="B29" s="11" t="s">
        <v>53</v>
      </c>
      <c r="C29" s="11" t="s">
        <v>126</v>
      </c>
      <c r="D29" s="11" t="s">
        <v>155</v>
      </c>
      <c r="E29" s="11">
        <v>5.5</v>
      </c>
      <c r="F29" s="11" t="s">
        <v>103</v>
      </c>
      <c r="G29" s="11"/>
    </row>
    <row r="30" spans="1:7" x14ac:dyDescent="0.25">
      <c r="A30" s="13">
        <v>45970</v>
      </c>
      <c r="B30" s="11" t="s">
        <v>49</v>
      </c>
      <c r="C30" s="11" t="s">
        <v>99</v>
      </c>
      <c r="D30" s="11" t="s">
        <v>132</v>
      </c>
      <c r="E30" s="11">
        <v>3</v>
      </c>
      <c r="F30" s="11"/>
      <c r="G30" s="11"/>
    </row>
    <row r="31" spans="1:7" x14ac:dyDescent="0.25">
      <c r="A31" s="13">
        <v>45970</v>
      </c>
      <c r="B31" s="11" t="s">
        <v>46</v>
      </c>
      <c r="C31" s="11" t="s">
        <v>99</v>
      </c>
      <c r="D31" s="11" t="s">
        <v>181</v>
      </c>
      <c r="E31" s="11">
        <v>6</v>
      </c>
      <c r="F31" s="11" t="s">
        <v>103</v>
      </c>
      <c r="G31" s="11"/>
    </row>
    <row r="32" spans="1:7" x14ac:dyDescent="0.25">
      <c r="A32" s="13">
        <v>45970</v>
      </c>
      <c r="B32" s="11" t="s">
        <v>58</v>
      </c>
      <c r="C32" s="11" t="s">
        <v>188</v>
      </c>
      <c r="D32" s="11" t="s">
        <v>172</v>
      </c>
      <c r="E32" s="11">
        <v>4.5</v>
      </c>
      <c r="F32" s="11"/>
      <c r="G32" s="11"/>
    </row>
    <row r="33" spans="1:7" x14ac:dyDescent="0.25">
      <c r="A33" s="13">
        <v>45971</v>
      </c>
      <c r="B33" s="11" t="s">
        <v>53</v>
      </c>
      <c r="C33" s="11" t="s">
        <v>233</v>
      </c>
      <c r="D33" s="11" t="s">
        <v>219</v>
      </c>
      <c r="E33" s="11">
        <v>7.5</v>
      </c>
      <c r="F33" s="11" t="s">
        <v>122</v>
      </c>
      <c r="G33" s="11"/>
    </row>
    <row r="34" spans="1:7" x14ac:dyDescent="0.25">
      <c r="A34" s="13">
        <v>45971</v>
      </c>
      <c r="B34" s="11" t="s">
        <v>48</v>
      </c>
      <c r="C34" s="11" t="s">
        <v>157</v>
      </c>
      <c r="D34" s="11" t="s">
        <v>188</v>
      </c>
      <c r="E34" s="11">
        <v>5</v>
      </c>
      <c r="F34" s="11"/>
      <c r="G34" s="11"/>
    </row>
    <row r="35" spans="1:7" x14ac:dyDescent="0.25">
      <c r="A35" s="13">
        <v>45971</v>
      </c>
      <c r="B35" s="11" t="s">
        <v>58</v>
      </c>
      <c r="C35" s="11" t="s">
        <v>132</v>
      </c>
      <c r="D35" s="11" t="s">
        <v>219</v>
      </c>
      <c r="E35" s="11">
        <v>5.5</v>
      </c>
      <c r="F35" s="11" t="s">
        <v>103</v>
      </c>
      <c r="G35" s="11"/>
    </row>
    <row r="36" spans="1:7" x14ac:dyDescent="0.25">
      <c r="A36" s="13">
        <v>45972</v>
      </c>
      <c r="B36" s="11"/>
      <c r="C36" s="11"/>
      <c r="D36" s="11"/>
      <c r="E36" s="11"/>
      <c r="F36" s="11"/>
      <c r="G36" s="11"/>
    </row>
    <row r="37" spans="1:7" x14ac:dyDescent="0.25">
      <c r="A37" s="13">
        <v>45973</v>
      </c>
      <c r="B37" s="11" t="s">
        <v>56</v>
      </c>
      <c r="C37" s="11" t="s">
        <v>120</v>
      </c>
      <c r="D37" s="11" t="s">
        <v>100</v>
      </c>
      <c r="E37" s="11">
        <v>5.5</v>
      </c>
      <c r="F37" s="11" t="s">
        <v>103</v>
      </c>
      <c r="G37" s="11"/>
    </row>
    <row r="38" spans="1:7" x14ac:dyDescent="0.25">
      <c r="A38" s="13">
        <v>45973</v>
      </c>
      <c r="B38" s="11" t="s">
        <v>53</v>
      </c>
      <c r="C38" s="11" t="s">
        <v>142</v>
      </c>
      <c r="D38" s="11" t="s">
        <v>185</v>
      </c>
      <c r="E38" s="11">
        <v>3</v>
      </c>
      <c r="F38" s="11"/>
      <c r="G38" s="11"/>
    </row>
    <row r="39" spans="1:7" x14ac:dyDescent="0.25">
      <c r="A39" s="13">
        <v>45974</v>
      </c>
      <c r="B39" s="11" t="s">
        <v>49</v>
      </c>
      <c r="C39" s="11" t="s">
        <v>105</v>
      </c>
      <c r="D39" s="11" t="s">
        <v>107</v>
      </c>
      <c r="E39" s="11">
        <v>6</v>
      </c>
      <c r="F39" s="11" t="s">
        <v>103</v>
      </c>
      <c r="G39" s="11"/>
    </row>
    <row r="40" spans="1:7" x14ac:dyDescent="0.25">
      <c r="A40" s="13">
        <v>45974</v>
      </c>
      <c r="B40" s="11" t="s">
        <v>56</v>
      </c>
      <c r="C40" s="11" t="s">
        <v>120</v>
      </c>
      <c r="D40" s="11" t="s">
        <v>100</v>
      </c>
      <c r="E40" s="11">
        <v>5.5</v>
      </c>
      <c r="F40" s="11" t="s">
        <v>103</v>
      </c>
      <c r="G40" s="11"/>
    </row>
    <row r="41" spans="1:7" x14ac:dyDescent="0.25">
      <c r="A41" s="13">
        <v>45975</v>
      </c>
      <c r="B41" s="11" t="s">
        <v>51</v>
      </c>
      <c r="C41" s="11" t="s">
        <v>296</v>
      </c>
      <c r="D41" s="11" t="s">
        <v>111</v>
      </c>
      <c r="E41" s="11">
        <v>5</v>
      </c>
      <c r="F41" s="11" t="s">
        <v>103</v>
      </c>
      <c r="G41" s="11"/>
    </row>
    <row r="42" spans="1:7" x14ac:dyDescent="0.25">
      <c r="A42" s="13">
        <v>45975</v>
      </c>
      <c r="B42" s="11" t="s">
        <v>56</v>
      </c>
      <c r="C42" s="11" t="s">
        <v>121</v>
      </c>
      <c r="D42" s="11" t="s">
        <v>255</v>
      </c>
      <c r="E42" s="11">
        <v>5</v>
      </c>
      <c r="F42" s="11" t="s">
        <v>103</v>
      </c>
      <c r="G42" s="11"/>
    </row>
    <row r="43" spans="1:7" x14ac:dyDescent="0.25">
      <c r="A43" s="13">
        <v>45976</v>
      </c>
      <c r="B43" s="11" t="s">
        <v>53</v>
      </c>
      <c r="C43" s="11" t="s">
        <v>142</v>
      </c>
      <c r="D43" s="11" t="s">
        <v>107</v>
      </c>
      <c r="E43" s="11">
        <v>4</v>
      </c>
      <c r="F43" s="11"/>
      <c r="G43" s="11"/>
    </row>
    <row r="44" spans="1:7" x14ac:dyDescent="0.25">
      <c r="A44" s="13">
        <v>45976</v>
      </c>
      <c r="B44" s="11" t="s">
        <v>56</v>
      </c>
      <c r="C44" s="11" t="s">
        <v>120</v>
      </c>
      <c r="D44" s="11" t="s">
        <v>100</v>
      </c>
      <c r="E44" s="11">
        <v>5.5</v>
      </c>
      <c r="F44" s="11" t="s">
        <v>103</v>
      </c>
      <c r="G44" s="11"/>
    </row>
    <row r="45" spans="1:7" x14ac:dyDescent="0.25">
      <c r="A45" s="13">
        <v>45977</v>
      </c>
      <c r="B45" s="11" t="s">
        <v>56</v>
      </c>
      <c r="C45" s="11" t="s">
        <v>120</v>
      </c>
      <c r="D45" s="11" t="s">
        <v>126</v>
      </c>
      <c r="E45" s="11">
        <v>5</v>
      </c>
      <c r="F45" s="11"/>
      <c r="G45" s="11"/>
    </row>
    <row r="46" spans="1:7" x14ac:dyDescent="0.25">
      <c r="A46" s="13">
        <v>45977</v>
      </c>
      <c r="B46" s="11" t="s">
        <v>58</v>
      </c>
      <c r="C46" s="11" t="s">
        <v>144</v>
      </c>
      <c r="D46" s="11" t="s">
        <v>118</v>
      </c>
      <c r="E46" s="11">
        <v>3.5</v>
      </c>
      <c r="F46" s="11"/>
      <c r="G46" s="11"/>
    </row>
    <row r="47" spans="1:7" x14ac:dyDescent="0.25">
      <c r="A47" s="13">
        <v>45977</v>
      </c>
      <c r="B47" s="11" t="s">
        <v>47</v>
      </c>
      <c r="C47" s="11" t="s">
        <v>126</v>
      </c>
      <c r="D47" s="11" t="s">
        <v>188</v>
      </c>
      <c r="E47" s="11">
        <v>5</v>
      </c>
      <c r="F47" s="11" t="s">
        <v>103</v>
      </c>
      <c r="G47" s="11"/>
    </row>
    <row r="48" spans="1:7" x14ac:dyDescent="0.25">
      <c r="A48" s="13">
        <v>45977</v>
      </c>
      <c r="B48" s="11" t="s">
        <v>49</v>
      </c>
      <c r="C48" s="11" t="s">
        <v>99</v>
      </c>
      <c r="D48" s="11" t="s">
        <v>181</v>
      </c>
      <c r="E48" s="11">
        <v>6</v>
      </c>
      <c r="F48" s="11" t="s">
        <v>103</v>
      </c>
      <c r="G48" s="11"/>
    </row>
    <row r="49" spans="1:7" x14ac:dyDescent="0.25">
      <c r="A49" s="13">
        <v>45977</v>
      </c>
      <c r="B49" s="11" t="s">
        <v>58</v>
      </c>
      <c r="C49" s="11" t="s">
        <v>126</v>
      </c>
      <c r="D49" s="11" t="s">
        <v>166</v>
      </c>
      <c r="E49" s="11">
        <v>6.5</v>
      </c>
      <c r="F49" s="11" t="s">
        <v>103</v>
      </c>
      <c r="G49" s="11"/>
    </row>
    <row r="50" spans="1:7" x14ac:dyDescent="0.25">
      <c r="A50" s="13">
        <v>45978</v>
      </c>
      <c r="B50" s="11" t="s">
        <v>46</v>
      </c>
      <c r="C50" s="11" t="s">
        <v>233</v>
      </c>
      <c r="D50" s="11" t="s">
        <v>296</v>
      </c>
      <c r="E50" s="11">
        <v>6</v>
      </c>
      <c r="F50" s="11" t="s">
        <v>103</v>
      </c>
      <c r="G50" s="11"/>
    </row>
    <row r="51" spans="1:7" x14ac:dyDescent="0.25">
      <c r="A51" s="13">
        <v>45978</v>
      </c>
      <c r="B51" s="11" t="s">
        <v>58</v>
      </c>
      <c r="C51" s="11" t="s">
        <v>105</v>
      </c>
      <c r="D51" s="11" t="s">
        <v>183</v>
      </c>
      <c r="E51" s="11">
        <v>7.5</v>
      </c>
      <c r="F51" s="11" t="s">
        <v>122</v>
      </c>
      <c r="G51" s="11"/>
    </row>
    <row r="52" spans="1:7" x14ac:dyDescent="0.25">
      <c r="A52" s="13">
        <v>45978</v>
      </c>
      <c r="B52" s="11" t="s">
        <v>53</v>
      </c>
      <c r="C52" s="11" t="s">
        <v>121</v>
      </c>
      <c r="D52" s="11" t="s">
        <v>172</v>
      </c>
      <c r="E52" s="11">
        <v>5.5</v>
      </c>
      <c r="F52" s="11" t="s">
        <v>103</v>
      </c>
      <c r="G52" s="11"/>
    </row>
    <row r="53" spans="1:7" x14ac:dyDescent="0.25">
      <c r="A53" s="13">
        <v>45978</v>
      </c>
      <c r="B53" s="11" t="s">
        <v>53</v>
      </c>
      <c r="C53" s="11" t="s">
        <v>126</v>
      </c>
      <c r="D53" s="11" t="s">
        <v>121</v>
      </c>
      <c r="E53" s="11">
        <v>4</v>
      </c>
      <c r="F53" s="11"/>
      <c r="G53" s="11"/>
    </row>
    <row r="54" spans="1:7" x14ac:dyDescent="0.25">
      <c r="A54" s="13">
        <v>45979</v>
      </c>
      <c r="B54" s="11" t="s">
        <v>56</v>
      </c>
      <c r="C54" s="11" t="s">
        <v>120</v>
      </c>
      <c r="D54" s="11" t="s">
        <v>100</v>
      </c>
      <c r="E54" s="11">
        <v>5.5</v>
      </c>
      <c r="F54" s="11" t="s">
        <v>103</v>
      </c>
      <c r="G54" s="11"/>
    </row>
    <row r="55" spans="1:7" x14ac:dyDescent="0.25">
      <c r="A55" s="13">
        <v>45979</v>
      </c>
      <c r="B55" s="11" t="s">
        <v>49</v>
      </c>
      <c r="C55" s="11" t="s">
        <v>121</v>
      </c>
      <c r="D55" s="11" t="s">
        <v>111</v>
      </c>
      <c r="E55" s="11">
        <v>5</v>
      </c>
      <c r="F55" s="11"/>
      <c r="G55" s="11"/>
    </row>
    <row r="56" spans="1:7" x14ac:dyDescent="0.25">
      <c r="A56" s="13">
        <v>45980</v>
      </c>
      <c r="B56" s="11" t="s">
        <v>53</v>
      </c>
      <c r="C56" s="11" t="s">
        <v>142</v>
      </c>
      <c r="D56" s="11" t="s">
        <v>185</v>
      </c>
      <c r="E56" s="11">
        <v>3</v>
      </c>
      <c r="F56" s="11"/>
      <c r="G56" s="11"/>
    </row>
    <row r="57" spans="1:7" x14ac:dyDescent="0.25">
      <c r="A57" s="13">
        <v>45980</v>
      </c>
      <c r="B57" s="11" t="s">
        <v>56</v>
      </c>
      <c r="C57" s="11" t="s">
        <v>120</v>
      </c>
      <c r="D57" s="11" t="s">
        <v>100</v>
      </c>
      <c r="E57" s="11">
        <v>5.5</v>
      </c>
      <c r="F57" s="11" t="s">
        <v>103</v>
      </c>
      <c r="G57" s="11"/>
    </row>
    <row r="58" spans="1:7" x14ac:dyDescent="0.25">
      <c r="A58" s="13">
        <v>45981</v>
      </c>
      <c r="B58" s="11" t="s">
        <v>56</v>
      </c>
      <c r="C58" s="11" t="s">
        <v>120</v>
      </c>
      <c r="D58" s="11" t="s">
        <v>100</v>
      </c>
      <c r="E58" s="11">
        <v>5.5</v>
      </c>
      <c r="F58" s="11" t="s">
        <v>103</v>
      </c>
      <c r="G58" s="11"/>
    </row>
    <row r="59" spans="1:7" x14ac:dyDescent="0.25">
      <c r="A59" s="13">
        <v>45981</v>
      </c>
      <c r="B59" s="11" t="s">
        <v>49</v>
      </c>
      <c r="C59" s="11" t="s">
        <v>105</v>
      </c>
      <c r="D59" s="11" t="s">
        <v>107</v>
      </c>
      <c r="E59" s="11">
        <v>6</v>
      </c>
      <c r="F59" s="11" t="s">
        <v>103</v>
      </c>
      <c r="G59" s="11"/>
    </row>
    <row r="60" spans="1:7" x14ac:dyDescent="0.25">
      <c r="A60" s="13">
        <v>45982</v>
      </c>
      <c r="B60" s="11" t="s">
        <v>56</v>
      </c>
      <c r="C60" s="11" t="s">
        <v>120</v>
      </c>
      <c r="D60" s="11" t="s">
        <v>100</v>
      </c>
      <c r="E60" s="11">
        <v>5.5</v>
      </c>
      <c r="F60" s="11" t="s">
        <v>103</v>
      </c>
      <c r="G60" s="11"/>
    </row>
    <row r="61" spans="1:7" x14ac:dyDescent="0.25">
      <c r="A61" s="13">
        <v>45982</v>
      </c>
      <c r="B61" s="11" t="s">
        <v>56</v>
      </c>
      <c r="C61" s="11" t="s">
        <v>188</v>
      </c>
      <c r="D61" s="11" t="s">
        <v>111</v>
      </c>
      <c r="E61" s="11">
        <v>4</v>
      </c>
      <c r="F61" s="11"/>
      <c r="G61" s="11"/>
    </row>
    <row r="62" spans="1:7" x14ac:dyDescent="0.25">
      <c r="A62" s="13">
        <v>45983</v>
      </c>
      <c r="B62" s="11" t="s">
        <v>56</v>
      </c>
      <c r="C62" s="11" t="s">
        <v>166</v>
      </c>
      <c r="D62" s="11" t="s">
        <v>100</v>
      </c>
      <c r="E62" s="11">
        <v>5.5</v>
      </c>
      <c r="F62" s="11" t="s">
        <v>103</v>
      </c>
      <c r="G62" s="11"/>
    </row>
    <row r="63" spans="1:7" x14ac:dyDescent="0.25">
      <c r="A63" s="13">
        <v>45983</v>
      </c>
      <c r="B63" s="11" t="s">
        <v>56</v>
      </c>
      <c r="C63" s="11" t="s">
        <v>296</v>
      </c>
      <c r="D63" s="11" t="s">
        <v>188</v>
      </c>
      <c r="E63" s="11">
        <v>2</v>
      </c>
      <c r="F63" s="11"/>
      <c r="G63" s="11"/>
    </row>
    <row r="64" spans="1:7" x14ac:dyDescent="0.25">
      <c r="A64" s="13">
        <v>45984</v>
      </c>
      <c r="B64" s="11" t="s">
        <v>56</v>
      </c>
      <c r="C64" s="11" t="s">
        <v>120</v>
      </c>
      <c r="D64" s="11" t="s">
        <v>126</v>
      </c>
      <c r="E64" s="11">
        <v>5</v>
      </c>
      <c r="F64" s="11"/>
      <c r="G64" s="11"/>
    </row>
    <row r="65" spans="1:7" x14ac:dyDescent="0.25">
      <c r="A65" s="13">
        <v>45984</v>
      </c>
      <c r="B65" s="11" t="s">
        <v>58</v>
      </c>
      <c r="C65" s="11" t="s">
        <v>144</v>
      </c>
      <c r="D65" s="11" t="s">
        <v>118</v>
      </c>
      <c r="E65" s="11">
        <v>3.5</v>
      </c>
      <c r="F65" s="11"/>
      <c r="G65" s="11"/>
    </row>
    <row r="66" spans="1:7" x14ac:dyDescent="0.25">
      <c r="A66" s="13">
        <v>45984</v>
      </c>
      <c r="B66" s="11" t="s">
        <v>53</v>
      </c>
      <c r="C66" s="11" t="s">
        <v>155</v>
      </c>
      <c r="D66" s="11" t="s">
        <v>226</v>
      </c>
      <c r="E66" s="11">
        <v>5.5</v>
      </c>
      <c r="F66" s="11" t="s">
        <v>103</v>
      </c>
      <c r="G66" s="11"/>
    </row>
    <row r="67" spans="1:7" x14ac:dyDescent="0.25">
      <c r="A67" s="13">
        <v>45984</v>
      </c>
      <c r="B67" s="11" t="s">
        <v>48</v>
      </c>
      <c r="C67" s="11" t="s">
        <v>142</v>
      </c>
      <c r="D67" s="11" t="s">
        <v>111</v>
      </c>
      <c r="E67" s="11">
        <v>4.5</v>
      </c>
      <c r="F67" s="11"/>
      <c r="G67" s="11"/>
    </row>
    <row r="68" spans="1:7" x14ac:dyDescent="0.25">
      <c r="A68" s="13">
        <v>45984</v>
      </c>
      <c r="B68" s="11" t="s">
        <v>49</v>
      </c>
      <c r="C68" s="11" t="s">
        <v>120</v>
      </c>
      <c r="D68" s="11" t="s">
        <v>132</v>
      </c>
      <c r="E68" s="11">
        <v>4</v>
      </c>
      <c r="F68" s="11"/>
      <c r="G68" s="11"/>
    </row>
    <row r="69" spans="1:7" x14ac:dyDescent="0.25">
      <c r="A69" s="13">
        <v>45984</v>
      </c>
      <c r="B69" s="11" t="s">
        <v>47</v>
      </c>
      <c r="C69" s="11" t="s">
        <v>120</v>
      </c>
      <c r="D69" s="11" t="s">
        <v>126</v>
      </c>
      <c r="E69" s="11">
        <v>5</v>
      </c>
      <c r="F69" s="11"/>
      <c r="G69" s="11"/>
    </row>
    <row r="70" spans="1:7" x14ac:dyDescent="0.25">
      <c r="A70" s="13">
        <v>45984</v>
      </c>
      <c r="B70" s="11" t="s">
        <v>53</v>
      </c>
      <c r="C70" s="11" t="s">
        <v>157</v>
      </c>
      <c r="D70" s="11" t="s">
        <v>155</v>
      </c>
      <c r="E70" s="11">
        <v>5</v>
      </c>
      <c r="F70" s="11" t="s">
        <v>103</v>
      </c>
      <c r="G70" s="11"/>
    </row>
    <row r="71" spans="1:7" x14ac:dyDescent="0.25">
      <c r="A71" s="13">
        <v>45984</v>
      </c>
      <c r="B71" s="11" t="s">
        <v>47</v>
      </c>
      <c r="C71" s="11" t="s">
        <v>126</v>
      </c>
      <c r="D71" s="11" t="s">
        <v>142</v>
      </c>
      <c r="E71" s="11">
        <v>4.5</v>
      </c>
      <c r="F71" s="11"/>
      <c r="G71" s="11"/>
    </row>
    <row r="72" spans="1:7" x14ac:dyDescent="0.25">
      <c r="A72" s="13">
        <v>45985</v>
      </c>
      <c r="B72" s="11" t="s">
        <v>46</v>
      </c>
      <c r="C72" s="11" t="s">
        <v>233</v>
      </c>
      <c r="D72" s="11" t="s">
        <v>121</v>
      </c>
      <c r="E72" s="11">
        <v>6.5</v>
      </c>
      <c r="F72" s="11" t="s">
        <v>103</v>
      </c>
      <c r="G72" s="11"/>
    </row>
    <row r="73" spans="1:7" x14ac:dyDescent="0.25">
      <c r="A73" s="13">
        <v>45985</v>
      </c>
      <c r="B73" s="11" t="s">
        <v>53</v>
      </c>
      <c r="C73" s="11" t="s">
        <v>296</v>
      </c>
      <c r="D73" s="11" t="s">
        <v>183</v>
      </c>
      <c r="E73" s="11">
        <v>6.5</v>
      </c>
      <c r="F73" s="11" t="s">
        <v>103</v>
      </c>
      <c r="G73" s="11"/>
    </row>
    <row r="74" spans="1:7" x14ac:dyDescent="0.25">
      <c r="A74" s="13">
        <v>45985</v>
      </c>
      <c r="B74" s="11" t="s">
        <v>58</v>
      </c>
      <c r="C74" s="11" t="s">
        <v>233</v>
      </c>
      <c r="D74" s="11" t="s">
        <v>142</v>
      </c>
      <c r="E74" s="11">
        <v>7</v>
      </c>
      <c r="F74" s="11"/>
      <c r="G74" s="11"/>
    </row>
    <row r="75" spans="1:7" x14ac:dyDescent="0.25">
      <c r="A75" s="13">
        <v>45986</v>
      </c>
      <c r="B75" s="11" t="s">
        <v>56</v>
      </c>
      <c r="C75" s="11" t="s">
        <v>120</v>
      </c>
      <c r="D75" s="11" t="s">
        <v>100</v>
      </c>
      <c r="E75" s="11">
        <v>5.5</v>
      </c>
      <c r="F75" s="11"/>
      <c r="G75" s="11"/>
    </row>
    <row r="76" spans="1:7" x14ac:dyDescent="0.25">
      <c r="A76" s="13">
        <v>45987</v>
      </c>
      <c r="B76" s="11" t="s">
        <v>56</v>
      </c>
      <c r="C76" s="11" t="s">
        <v>120</v>
      </c>
      <c r="D76" s="11" t="s">
        <v>100</v>
      </c>
      <c r="E76" s="11">
        <v>5.5</v>
      </c>
      <c r="F76" s="11"/>
      <c r="G76" s="11"/>
    </row>
    <row r="77" spans="1:7" x14ac:dyDescent="0.25">
      <c r="A77" s="13">
        <v>45988</v>
      </c>
      <c r="B77" s="11" t="s">
        <v>56</v>
      </c>
      <c r="C77" s="11" t="s">
        <v>120</v>
      </c>
      <c r="D77" s="11" t="s">
        <v>100</v>
      </c>
      <c r="E77" s="11">
        <v>5.5</v>
      </c>
      <c r="F77" s="11"/>
      <c r="G77" s="11"/>
    </row>
    <row r="78" spans="1:7" x14ac:dyDescent="0.25">
      <c r="A78" s="13">
        <v>45988</v>
      </c>
      <c r="B78" s="11" t="s">
        <v>49</v>
      </c>
      <c r="C78" s="19" t="s">
        <v>223</v>
      </c>
      <c r="D78" s="19" t="s">
        <v>107</v>
      </c>
      <c r="E78" s="11">
        <v>6.5</v>
      </c>
      <c r="F78" s="11"/>
      <c r="G78" s="11"/>
    </row>
    <row r="79" spans="1:7" x14ac:dyDescent="0.25">
      <c r="A79" s="13">
        <v>45989</v>
      </c>
      <c r="B79" s="11"/>
      <c r="C79" s="11"/>
      <c r="D79" s="11"/>
      <c r="E79" s="11"/>
      <c r="F79" s="11"/>
      <c r="G79" s="11"/>
    </row>
    <row r="80" spans="1:7" x14ac:dyDescent="0.25">
      <c r="A80" s="13">
        <v>45990</v>
      </c>
      <c r="B80" s="11"/>
      <c r="C80" s="11"/>
      <c r="D80" s="11"/>
      <c r="E80" s="11"/>
      <c r="F80" s="11"/>
      <c r="G80" s="11"/>
    </row>
    <row r="81" spans="1:7" x14ac:dyDescent="0.25">
      <c r="A81" s="13">
        <v>45991</v>
      </c>
      <c r="B81" s="11" t="s">
        <v>56</v>
      </c>
      <c r="C81" s="11" t="s">
        <v>120</v>
      </c>
      <c r="D81" s="11" t="s">
        <v>126</v>
      </c>
      <c r="E81" s="11">
        <v>5</v>
      </c>
      <c r="F81" s="11"/>
      <c r="G81" s="11"/>
    </row>
    <row r="82" spans="1:7" x14ac:dyDescent="0.25">
      <c r="A82" s="13">
        <v>45991</v>
      </c>
      <c r="B82" s="11" t="s">
        <v>58</v>
      </c>
      <c r="C82" s="11" t="s">
        <v>100</v>
      </c>
      <c r="D82" s="11" t="s">
        <v>111</v>
      </c>
      <c r="E82" s="11">
        <v>7.5</v>
      </c>
      <c r="F82" s="11"/>
      <c r="G82" s="11"/>
    </row>
    <row r="83" spans="1:7" x14ac:dyDescent="0.25">
      <c r="A83" s="13">
        <v>45991</v>
      </c>
      <c r="B83" s="11" t="s">
        <v>53</v>
      </c>
      <c r="C83" s="11" t="s">
        <v>126</v>
      </c>
      <c r="D83" s="11" t="s">
        <v>269</v>
      </c>
      <c r="E83" s="11">
        <v>7.5</v>
      </c>
      <c r="F83" s="11"/>
      <c r="G83" s="11"/>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tint="0.39997558519241921"/>
  </sheetPr>
  <dimension ref="A1:G56"/>
  <sheetViews>
    <sheetView workbookViewId="0">
      <selection activeCell="A2" sqref="A1:B1048576"/>
    </sheetView>
  </sheetViews>
  <sheetFormatPr defaultRowHeight="15" x14ac:dyDescent="0.25"/>
  <cols>
    <col min="1" max="1" width="13" customWidth="1"/>
    <col min="2" max="2" width="79.85546875" customWidth="1"/>
    <col min="3" max="3" width="11.7109375" customWidth="1"/>
    <col min="4" max="4" width="12.140625" customWidth="1"/>
    <col min="5" max="5" width="15.28515625" customWidth="1"/>
    <col min="6" max="6" width="27.140625" customWidth="1"/>
    <col min="7" max="7" width="19.28515625" bestFit="1" customWidth="1"/>
  </cols>
  <sheetData>
    <row r="1" spans="1:7" x14ac:dyDescent="0.25">
      <c r="A1" s="9" t="s">
        <v>83</v>
      </c>
      <c r="B1" s="9" t="s">
        <v>84</v>
      </c>
      <c r="C1" s="9" t="s">
        <v>85</v>
      </c>
      <c r="D1" s="9" t="s">
        <v>86</v>
      </c>
      <c r="E1" s="9" t="s">
        <v>16</v>
      </c>
      <c r="F1" s="9" t="s">
        <v>87</v>
      </c>
      <c r="G1" s="9" t="s">
        <v>25</v>
      </c>
    </row>
    <row r="2" spans="1:7" x14ac:dyDescent="0.25">
      <c r="A2" s="13">
        <v>45992</v>
      </c>
      <c r="B2" s="11"/>
      <c r="C2" s="11"/>
      <c r="D2" s="11"/>
      <c r="E2" s="11"/>
      <c r="F2" s="11"/>
      <c r="G2" s="12">
        <f>SUM(E:E)</f>
        <v>263</v>
      </c>
    </row>
    <row r="3" spans="1:7" x14ac:dyDescent="0.25">
      <c r="A3" s="13">
        <v>45993</v>
      </c>
      <c r="B3" s="11" t="s">
        <v>56</v>
      </c>
      <c r="C3" s="11" t="s">
        <v>120</v>
      </c>
      <c r="D3" s="11" t="s">
        <v>100</v>
      </c>
      <c r="E3" s="11">
        <v>5.5</v>
      </c>
      <c r="F3" s="11"/>
      <c r="G3" s="11"/>
    </row>
    <row r="4" spans="1:7" x14ac:dyDescent="0.25">
      <c r="A4" s="13">
        <v>45993</v>
      </c>
      <c r="B4" s="11" t="s">
        <v>49</v>
      </c>
      <c r="C4" s="11" t="s">
        <v>121</v>
      </c>
      <c r="D4" s="11" t="s">
        <v>155</v>
      </c>
      <c r="E4" s="11">
        <v>2</v>
      </c>
      <c r="F4" s="11"/>
      <c r="G4" s="11"/>
    </row>
    <row r="5" spans="1:7" x14ac:dyDescent="0.25">
      <c r="A5" s="13">
        <v>45994</v>
      </c>
      <c r="B5" s="11" t="s">
        <v>53</v>
      </c>
      <c r="C5" s="11" t="s">
        <v>142</v>
      </c>
      <c r="D5" s="11" t="s">
        <v>185</v>
      </c>
      <c r="E5" s="11">
        <v>3</v>
      </c>
      <c r="F5" s="11"/>
      <c r="G5" s="11"/>
    </row>
    <row r="6" spans="1:7" x14ac:dyDescent="0.25">
      <c r="A6" s="13">
        <v>45994</v>
      </c>
      <c r="B6" s="11" t="s">
        <v>56</v>
      </c>
      <c r="C6" s="11" t="s">
        <v>120</v>
      </c>
      <c r="D6" s="11" t="s">
        <v>100</v>
      </c>
      <c r="E6" s="11">
        <v>5.5</v>
      </c>
      <c r="F6" s="11"/>
      <c r="G6" s="11"/>
    </row>
    <row r="7" spans="1:7" x14ac:dyDescent="0.25">
      <c r="A7" s="13">
        <v>45995</v>
      </c>
      <c r="B7" s="11" t="s">
        <v>56</v>
      </c>
      <c r="C7" s="11" t="s">
        <v>121</v>
      </c>
      <c r="D7" s="11" t="s">
        <v>111</v>
      </c>
      <c r="E7" s="11">
        <v>5</v>
      </c>
      <c r="F7" s="11"/>
      <c r="G7" s="11"/>
    </row>
    <row r="8" spans="1:7" x14ac:dyDescent="0.25">
      <c r="A8" s="13">
        <v>45995</v>
      </c>
      <c r="B8" s="11" t="s">
        <v>56</v>
      </c>
      <c r="C8" s="11" t="s">
        <v>120</v>
      </c>
      <c r="D8" s="11" t="s">
        <v>100</v>
      </c>
      <c r="E8" s="11">
        <v>5.5</v>
      </c>
      <c r="F8" s="11"/>
      <c r="G8" s="11"/>
    </row>
    <row r="9" spans="1:7" x14ac:dyDescent="0.25">
      <c r="A9" s="13">
        <v>45996</v>
      </c>
      <c r="B9" s="11" t="s">
        <v>56</v>
      </c>
      <c r="C9" s="11" t="s">
        <v>120</v>
      </c>
      <c r="D9" s="11" t="s">
        <v>100</v>
      </c>
      <c r="E9" s="11">
        <v>5.5</v>
      </c>
      <c r="F9" s="11"/>
      <c r="G9" s="11"/>
    </row>
    <row r="10" spans="1:7" x14ac:dyDescent="0.25">
      <c r="A10" s="13">
        <v>45996</v>
      </c>
      <c r="B10" s="11" t="s">
        <v>47</v>
      </c>
      <c r="C10" s="11" t="s">
        <v>188</v>
      </c>
      <c r="D10" s="11" t="s">
        <v>255</v>
      </c>
      <c r="E10" s="11">
        <v>4</v>
      </c>
      <c r="F10" s="11"/>
      <c r="G10" s="11"/>
    </row>
    <row r="11" spans="1:7" x14ac:dyDescent="0.25">
      <c r="A11" s="13">
        <v>45997</v>
      </c>
      <c r="B11" s="11" t="s">
        <v>53</v>
      </c>
      <c r="C11" s="11" t="s">
        <v>132</v>
      </c>
      <c r="D11" s="11" t="s">
        <v>102</v>
      </c>
      <c r="E11" s="11">
        <v>4</v>
      </c>
      <c r="F11" s="11"/>
      <c r="G11" s="11"/>
    </row>
    <row r="12" spans="1:7" x14ac:dyDescent="0.25">
      <c r="A12" s="13">
        <v>45997</v>
      </c>
      <c r="B12" s="11" t="s">
        <v>56</v>
      </c>
      <c r="C12" s="11" t="s">
        <v>120</v>
      </c>
      <c r="D12" s="11" t="s">
        <v>100</v>
      </c>
      <c r="E12" s="11">
        <v>5.5</v>
      </c>
      <c r="F12" s="11"/>
      <c r="G12" s="11"/>
    </row>
    <row r="13" spans="1:7" x14ac:dyDescent="0.25">
      <c r="A13" s="13">
        <v>45997</v>
      </c>
      <c r="B13" s="11" t="s">
        <v>53</v>
      </c>
      <c r="C13" s="11" t="s">
        <v>121</v>
      </c>
      <c r="D13" s="11" t="s">
        <v>255</v>
      </c>
      <c r="E13" s="11">
        <v>5</v>
      </c>
      <c r="F13" s="11"/>
      <c r="G13" s="11"/>
    </row>
    <row r="14" spans="1:7" x14ac:dyDescent="0.25">
      <c r="A14" s="13">
        <v>45998</v>
      </c>
      <c r="B14" s="11" t="s">
        <v>56</v>
      </c>
      <c r="C14" s="11" t="s">
        <v>120</v>
      </c>
      <c r="D14" s="11" t="s">
        <v>126</v>
      </c>
      <c r="E14" s="11">
        <v>5</v>
      </c>
      <c r="F14" s="11"/>
      <c r="G14" s="11"/>
    </row>
    <row r="15" spans="1:7" x14ac:dyDescent="0.25">
      <c r="A15" s="13">
        <v>45998</v>
      </c>
      <c r="B15" s="11" t="s">
        <v>48</v>
      </c>
      <c r="C15" s="11" t="s">
        <v>188</v>
      </c>
      <c r="D15" s="11" t="s">
        <v>172</v>
      </c>
      <c r="E15" s="11">
        <v>4.5</v>
      </c>
      <c r="F15" s="11"/>
      <c r="G15" s="11"/>
    </row>
    <row r="16" spans="1:7" x14ac:dyDescent="0.25">
      <c r="A16" s="13">
        <v>45998</v>
      </c>
      <c r="B16" s="11" t="s">
        <v>48</v>
      </c>
      <c r="C16" s="11" t="s">
        <v>105</v>
      </c>
      <c r="D16" s="11" t="s">
        <v>188</v>
      </c>
      <c r="E16" s="11">
        <v>3.5</v>
      </c>
      <c r="F16" s="11"/>
      <c r="G16" s="11"/>
    </row>
    <row r="17" spans="1:7" x14ac:dyDescent="0.25">
      <c r="A17" s="13">
        <v>45998</v>
      </c>
      <c r="B17" s="11" t="s">
        <v>56</v>
      </c>
      <c r="C17" s="11" t="s">
        <v>126</v>
      </c>
      <c r="D17" s="11" t="s">
        <v>219</v>
      </c>
      <c r="E17" s="11">
        <v>5</v>
      </c>
      <c r="F17" s="11"/>
      <c r="G17" s="11"/>
    </row>
    <row r="18" spans="1:7" x14ac:dyDescent="0.25">
      <c r="A18" s="13">
        <v>45998</v>
      </c>
      <c r="B18" s="11" t="s">
        <v>49</v>
      </c>
      <c r="C18" s="11" t="s">
        <v>99</v>
      </c>
      <c r="D18" s="11" t="s">
        <v>132</v>
      </c>
      <c r="E18" s="11">
        <v>3</v>
      </c>
      <c r="F18" s="11"/>
      <c r="G18" s="11"/>
    </row>
    <row r="19" spans="1:7" x14ac:dyDescent="0.25">
      <c r="A19" s="13">
        <v>45998</v>
      </c>
      <c r="B19" s="11" t="s">
        <v>47</v>
      </c>
      <c r="C19" s="11" t="s">
        <v>99</v>
      </c>
      <c r="D19" s="11" t="s">
        <v>100</v>
      </c>
      <c r="E19" s="11">
        <v>5</v>
      </c>
      <c r="F19" s="11"/>
      <c r="G19" s="11"/>
    </row>
    <row r="20" spans="1:7" x14ac:dyDescent="0.25">
      <c r="A20" s="13">
        <v>45999</v>
      </c>
      <c r="B20" s="11" t="s">
        <v>53</v>
      </c>
      <c r="C20" s="11" t="s">
        <v>120</v>
      </c>
      <c r="D20" s="11" t="s">
        <v>126</v>
      </c>
      <c r="E20" s="11">
        <v>5</v>
      </c>
      <c r="F20" s="11"/>
      <c r="G20" s="11"/>
    </row>
    <row r="21" spans="1:7" x14ac:dyDescent="0.25">
      <c r="A21" s="13">
        <v>45999</v>
      </c>
      <c r="B21" s="11" t="s">
        <v>58</v>
      </c>
      <c r="C21" s="11" t="s">
        <v>126</v>
      </c>
      <c r="D21" s="11" t="s">
        <v>188</v>
      </c>
      <c r="E21" s="11">
        <v>5</v>
      </c>
      <c r="F21" s="11"/>
      <c r="G21" s="11"/>
    </row>
    <row r="22" spans="1:7" x14ac:dyDescent="0.25">
      <c r="A22" s="13">
        <v>45999</v>
      </c>
      <c r="B22" s="11" t="s">
        <v>53</v>
      </c>
      <c r="C22" s="11" t="s">
        <v>126</v>
      </c>
      <c r="D22" s="11" t="s">
        <v>111</v>
      </c>
      <c r="E22" s="11">
        <v>8</v>
      </c>
      <c r="F22" s="11"/>
      <c r="G22" s="11"/>
    </row>
    <row r="23" spans="1:7" x14ac:dyDescent="0.25">
      <c r="A23" s="13">
        <v>46000</v>
      </c>
      <c r="B23" s="11" t="s">
        <v>56</v>
      </c>
      <c r="C23" s="11" t="s">
        <v>120</v>
      </c>
      <c r="D23" s="11" t="s">
        <v>100</v>
      </c>
      <c r="E23" s="11">
        <v>5.5</v>
      </c>
      <c r="F23" s="11"/>
      <c r="G23" s="11"/>
    </row>
    <row r="24" spans="1:7" x14ac:dyDescent="0.25">
      <c r="A24" s="13">
        <v>46000</v>
      </c>
      <c r="B24" s="11" t="s">
        <v>49</v>
      </c>
      <c r="C24" s="11" t="s">
        <v>121</v>
      </c>
      <c r="D24" s="11" t="s">
        <v>155</v>
      </c>
      <c r="E24" s="11">
        <v>2</v>
      </c>
      <c r="F24" s="11"/>
      <c r="G24" s="11"/>
    </row>
    <row r="25" spans="1:7" x14ac:dyDescent="0.25">
      <c r="A25" s="13">
        <v>46001</v>
      </c>
      <c r="B25" s="11" t="s">
        <v>56</v>
      </c>
      <c r="C25" s="11" t="s">
        <v>120</v>
      </c>
      <c r="D25" s="11" t="s">
        <v>223</v>
      </c>
      <c r="E25" s="11">
        <v>6</v>
      </c>
      <c r="F25" s="11"/>
      <c r="G25" s="11"/>
    </row>
    <row r="26" spans="1:7" x14ac:dyDescent="0.25">
      <c r="A26" s="13">
        <v>46001</v>
      </c>
      <c r="B26" s="11" t="s">
        <v>53</v>
      </c>
      <c r="C26" s="11" t="s">
        <v>142</v>
      </c>
      <c r="D26" s="11" t="s">
        <v>185</v>
      </c>
      <c r="E26" s="11">
        <v>3</v>
      </c>
      <c r="F26" s="11"/>
      <c r="G26" s="11"/>
    </row>
    <row r="27" spans="1:7" x14ac:dyDescent="0.25">
      <c r="A27" s="13">
        <v>46002</v>
      </c>
      <c r="B27" s="11" t="s">
        <v>49</v>
      </c>
      <c r="C27" s="11" t="s">
        <v>121</v>
      </c>
      <c r="D27" s="11" t="s">
        <v>107</v>
      </c>
      <c r="E27" s="11">
        <v>4.5</v>
      </c>
      <c r="F27" s="11"/>
      <c r="G27" s="11"/>
    </row>
    <row r="28" spans="1:7" x14ac:dyDescent="0.25">
      <c r="A28" s="13">
        <v>46002</v>
      </c>
      <c r="B28" s="11" t="s">
        <v>56</v>
      </c>
      <c r="C28" s="11" t="s">
        <v>120</v>
      </c>
      <c r="D28" s="11" t="s">
        <v>100</v>
      </c>
      <c r="E28" s="11">
        <v>5.5</v>
      </c>
      <c r="F28" s="11"/>
      <c r="G28" s="11"/>
    </row>
    <row r="29" spans="1:7" x14ac:dyDescent="0.25">
      <c r="A29" s="13">
        <v>46003</v>
      </c>
      <c r="B29" s="11" t="s">
        <v>56</v>
      </c>
      <c r="C29" s="11" t="s">
        <v>219</v>
      </c>
      <c r="D29" s="11" t="s">
        <v>172</v>
      </c>
      <c r="E29" s="11">
        <v>5</v>
      </c>
      <c r="F29" s="11"/>
      <c r="G29" s="11"/>
    </row>
    <row r="30" spans="1:7" x14ac:dyDescent="0.25">
      <c r="A30" s="13">
        <v>46003</v>
      </c>
      <c r="B30" s="11" t="s">
        <v>49</v>
      </c>
      <c r="C30" s="11" t="s">
        <v>132</v>
      </c>
      <c r="D30" s="11" t="s">
        <v>102</v>
      </c>
      <c r="E30" s="11">
        <v>4</v>
      </c>
      <c r="F30" s="11"/>
      <c r="G30" s="11"/>
    </row>
    <row r="31" spans="1:7" x14ac:dyDescent="0.25">
      <c r="A31" s="13">
        <v>46003</v>
      </c>
      <c r="B31" s="11" t="s">
        <v>56</v>
      </c>
      <c r="C31" s="11" t="s">
        <v>120</v>
      </c>
      <c r="D31" s="11" t="s">
        <v>100</v>
      </c>
      <c r="E31" s="11">
        <v>5.5</v>
      </c>
      <c r="F31" s="11"/>
      <c r="G31" s="11"/>
    </row>
    <row r="32" spans="1:7" x14ac:dyDescent="0.25">
      <c r="A32" s="13">
        <v>46004</v>
      </c>
      <c r="B32" s="11" t="s">
        <v>56</v>
      </c>
      <c r="C32" s="11" t="s">
        <v>181</v>
      </c>
      <c r="D32" s="11" t="s">
        <v>107</v>
      </c>
      <c r="E32" s="11">
        <v>5.5</v>
      </c>
      <c r="F32" s="11"/>
      <c r="G32" s="11"/>
    </row>
    <row r="33" spans="1:7" x14ac:dyDescent="0.25">
      <c r="A33" s="13">
        <v>46004</v>
      </c>
      <c r="B33" s="11" t="s">
        <v>53</v>
      </c>
      <c r="C33" s="11" t="s">
        <v>181</v>
      </c>
      <c r="D33" s="11" t="s">
        <v>111</v>
      </c>
      <c r="E33" s="11">
        <v>6</v>
      </c>
      <c r="F33" s="11"/>
      <c r="G33" s="11"/>
    </row>
    <row r="34" spans="1:7" x14ac:dyDescent="0.25">
      <c r="A34" s="13">
        <v>46004</v>
      </c>
      <c r="B34" s="11" t="s">
        <v>56</v>
      </c>
      <c r="C34" s="11" t="s">
        <v>120</v>
      </c>
      <c r="D34" s="11" t="s">
        <v>100</v>
      </c>
      <c r="E34" s="11">
        <v>5.5</v>
      </c>
      <c r="F34" s="11"/>
      <c r="G34" s="11"/>
    </row>
    <row r="35" spans="1:7" x14ac:dyDescent="0.25">
      <c r="A35" s="13">
        <v>46005</v>
      </c>
      <c r="B35" s="11" t="s">
        <v>47</v>
      </c>
      <c r="C35" s="11" t="s">
        <v>99</v>
      </c>
      <c r="D35" s="11" t="s">
        <v>100</v>
      </c>
      <c r="E35" s="11">
        <v>5</v>
      </c>
      <c r="F35" s="11"/>
      <c r="G35" s="11"/>
    </row>
    <row r="36" spans="1:7" x14ac:dyDescent="0.25">
      <c r="A36" s="13">
        <v>46005</v>
      </c>
      <c r="B36" s="11" t="s">
        <v>49</v>
      </c>
      <c r="C36" s="11" t="s">
        <v>99</v>
      </c>
      <c r="D36" s="11" t="s">
        <v>132</v>
      </c>
      <c r="E36" s="11">
        <v>3</v>
      </c>
      <c r="F36" s="11"/>
      <c r="G36" s="11"/>
    </row>
    <row r="37" spans="1:7" x14ac:dyDescent="0.25">
      <c r="A37" s="13">
        <v>46005</v>
      </c>
      <c r="B37" s="11" t="s">
        <v>53</v>
      </c>
      <c r="C37" s="11" t="s">
        <v>118</v>
      </c>
      <c r="D37" s="11" t="s">
        <v>102</v>
      </c>
      <c r="E37" s="11">
        <v>5.5</v>
      </c>
      <c r="F37" s="11"/>
      <c r="G37" s="11"/>
    </row>
    <row r="38" spans="1:7" x14ac:dyDescent="0.25">
      <c r="A38" s="13">
        <v>46005</v>
      </c>
      <c r="B38" s="11" t="s">
        <v>58</v>
      </c>
      <c r="C38" s="11" t="s">
        <v>100</v>
      </c>
      <c r="D38" s="11" t="s">
        <v>177</v>
      </c>
      <c r="E38" s="11">
        <v>5</v>
      </c>
      <c r="F38" s="11"/>
      <c r="G38" s="11"/>
    </row>
    <row r="39" spans="1:7" x14ac:dyDescent="0.25">
      <c r="A39" s="13">
        <v>46005</v>
      </c>
      <c r="B39" s="11" t="s">
        <v>58</v>
      </c>
      <c r="C39" s="11" t="s">
        <v>177</v>
      </c>
      <c r="D39" s="11" t="s">
        <v>226</v>
      </c>
      <c r="E39" s="11">
        <v>5</v>
      </c>
      <c r="F39" s="11"/>
      <c r="G39" s="11"/>
    </row>
    <row r="40" spans="1:7" x14ac:dyDescent="0.25">
      <c r="A40" s="13">
        <v>46005</v>
      </c>
      <c r="B40" s="11" t="s">
        <v>56</v>
      </c>
      <c r="C40" s="11" t="s">
        <v>120</v>
      </c>
      <c r="D40" s="11" t="s">
        <v>126</v>
      </c>
      <c r="E40" s="11">
        <v>5</v>
      </c>
      <c r="F40" s="11"/>
      <c r="G40" s="11"/>
    </row>
    <row r="41" spans="1:7" x14ac:dyDescent="0.25">
      <c r="A41" s="13">
        <v>46006</v>
      </c>
      <c r="B41" s="11" t="s">
        <v>48</v>
      </c>
      <c r="C41" s="11" t="s">
        <v>107</v>
      </c>
      <c r="D41" s="11" t="s">
        <v>223</v>
      </c>
      <c r="E41" s="11">
        <v>5</v>
      </c>
      <c r="F41" s="11"/>
      <c r="G41" s="11"/>
    </row>
    <row r="42" spans="1:7" x14ac:dyDescent="0.25">
      <c r="A42" s="13">
        <v>46006</v>
      </c>
      <c r="B42" s="11" t="s">
        <v>53</v>
      </c>
      <c r="C42" s="11" t="s">
        <v>99</v>
      </c>
      <c r="D42" s="11" t="s">
        <v>105</v>
      </c>
      <c r="E42" s="11">
        <v>5.5</v>
      </c>
      <c r="F42" s="11"/>
      <c r="G42" s="11"/>
    </row>
    <row r="43" spans="1:7" x14ac:dyDescent="0.25">
      <c r="A43" s="13">
        <v>46006</v>
      </c>
      <c r="B43" s="11" t="s">
        <v>53</v>
      </c>
      <c r="C43" s="11" t="s">
        <v>105</v>
      </c>
      <c r="D43" s="11" t="s">
        <v>111</v>
      </c>
      <c r="E43" s="11">
        <v>6.5</v>
      </c>
      <c r="F43" s="11"/>
      <c r="G43" s="11"/>
    </row>
    <row r="44" spans="1:7" x14ac:dyDescent="0.25">
      <c r="A44" s="13">
        <v>46006</v>
      </c>
      <c r="B44" s="11" t="s">
        <v>58</v>
      </c>
      <c r="C44" s="11" t="s">
        <v>104</v>
      </c>
      <c r="D44" s="11" t="s">
        <v>155</v>
      </c>
      <c r="E44" s="11">
        <v>7.5</v>
      </c>
      <c r="F44" s="11"/>
      <c r="G44" s="11"/>
    </row>
    <row r="45" spans="1:7" x14ac:dyDescent="0.25">
      <c r="A45" s="13">
        <v>46007</v>
      </c>
      <c r="B45" s="11" t="s">
        <v>49</v>
      </c>
      <c r="C45" s="11" t="s">
        <v>118</v>
      </c>
      <c r="D45" s="11" t="s">
        <v>102</v>
      </c>
      <c r="E45" s="11">
        <v>6</v>
      </c>
      <c r="F45" s="11"/>
      <c r="G45" s="11"/>
    </row>
    <row r="46" spans="1:7" x14ac:dyDescent="0.25">
      <c r="A46" s="13">
        <v>46007</v>
      </c>
      <c r="B46" s="11" t="s">
        <v>49</v>
      </c>
      <c r="C46" s="11" t="s">
        <v>121</v>
      </c>
      <c r="D46" s="11" t="s">
        <v>155</v>
      </c>
      <c r="E46" s="11">
        <v>2</v>
      </c>
      <c r="F46" s="11"/>
      <c r="G46" s="11"/>
    </row>
    <row r="47" spans="1:7" x14ac:dyDescent="0.25">
      <c r="A47" s="13">
        <v>46007</v>
      </c>
      <c r="B47" s="11" t="s">
        <v>56</v>
      </c>
      <c r="C47" s="11" t="s">
        <v>120</v>
      </c>
      <c r="D47" s="11" t="s">
        <v>100</v>
      </c>
      <c r="E47" s="11">
        <v>5.5</v>
      </c>
      <c r="F47" s="11"/>
      <c r="G47" s="11"/>
    </row>
    <row r="48" spans="1:7" x14ac:dyDescent="0.25">
      <c r="A48" s="13">
        <v>46008</v>
      </c>
      <c r="B48" s="11" t="s">
        <v>53</v>
      </c>
      <c r="C48" s="11" t="s">
        <v>142</v>
      </c>
      <c r="D48" s="11" t="s">
        <v>185</v>
      </c>
      <c r="E48" s="11">
        <v>3</v>
      </c>
      <c r="F48" s="11"/>
      <c r="G48" s="11"/>
    </row>
    <row r="49" spans="1:7" x14ac:dyDescent="0.25">
      <c r="A49" s="13">
        <v>46008</v>
      </c>
      <c r="B49" s="11" t="s">
        <v>56</v>
      </c>
      <c r="C49" s="11" t="s">
        <v>120</v>
      </c>
      <c r="D49" s="11" t="s">
        <v>100</v>
      </c>
      <c r="E49" s="11">
        <v>5.5</v>
      </c>
      <c r="F49" s="11"/>
      <c r="G49" s="11"/>
    </row>
    <row r="50" spans="1:7" x14ac:dyDescent="0.25">
      <c r="A50" s="13">
        <v>46009</v>
      </c>
      <c r="B50" s="11" t="s">
        <v>49</v>
      </c>
      <c r="C50" s="11" t="s">
        <v>121</v>
      </c>
      <c r="D50" s="11" t="s">
        <v>107</v>
      </c>
      <c r="E50" s="11">
        <v>4.5</v>
      </c>
      <c r="F50" s="11"/>
      <c r="G50" s="11"/>
    </row>
    <row r="51" spans="1:7" x14ac:dyDescent="0.25">
      <c r="A51" s="13">
        <v>46009</v>
      </c>
      <c r="B51" s="11" t="s">
        <v>56</v>
      </c>
      <c r="C51" s="11" t="s">
        <v>120</v>
      </c>
      <c r="D51" s="11" t="s">
        <v>100</v>
      </c>
      <c r="E51" s="11">
        <v>5.5</v>
      </c>
      <c r="F51" s="11"/>
      <c r="G51" s="11"/>
    </row>
    <row r="52" spans="1:7" x14ac:dyDescent="0.25">
      <c r="A52" s="13">
        <v>46010</v>
      </c>
      <c r="B52" s="11" t="s">
        <v>56</v>
      </c>
      <c r="C52" s="11" t="s">
        <v>155</v>
      </c>
      <c r="D52" s="11" t="s">
        <v>111</v>
      </c>
      <c r="E52" s="11">
        <v>3</v>
      </c>
      <c r="F52" s="11"/>
      <c r="G52" s="11"/>
    </row>
    <row r="53" spans="1:7" x14ac:dyDescent="0.25">
      <c r="A53" s="13">
        <v>46010</v>
      </c>
      <c r="B53" s="11" t="s">
        <v>56</v>
      </c>
      <c r="C53" s="11" t="s">
        <v>120</v>
      </c>
      <c r="D53" s="11" t="s">
        <v>100</v>
      </c>
      <c r="E53" s="11">
        <v>5.5</v>
      </c>
      <c r="F53" s="11"/>
      <c r="G53" s="11"/>
    </row>
    <row r="54" spans="1:7" x14ac:dyDescent="0.25">
      <c r="A54" s="13">
        <v>46011</v>
      </c>
      <c r="B54" s="11" t="s">
        <v>56</v>
      </c>
      <c r="C54" s="11" t="s">
        <v>120</v>
      </c>
      <c r="D54" s="11" t="s">
        <v>100</v>
      </c>
      <c r="E54" s="11">
        <v>5.5</v>
      </c>
      <c r="F54" s="11"/>
      <c r="G54" s="11"/>
    </row>
    <row r="55" spans="1:7" x14ac:dyDescent="0.25">
      <c r="A55" s="13">
        <v>46012</v>
      </c>
      <c r="B55" s="11" t="s">
        <v>58</v>
      </c>
      <c r="C55" s="11" t="s">
        <v>126</v>
      </c>
      <c r="D55" s="11" t="s">
        <v>166</v>
      </c>
      <c r="E55" s="11">
        <v>6.5</v>
      </c>
      <c r="F55" s="11"/>
      <c r="G55" s="11"/>
    </row>
    <row r="56" spans="1:7" x14ac:dyDescent="0.25">
      <c r="A56" s="13">
        <v>46012</v>
      </c>
      <c r="B56" s="11" t="s">
        <v>56</v>
      </c>
      <c r="C56" s="11" t="s">
        <v>120</v>
      </c>
      <c r="D56" s="11" t="s">
        <v>126</v>
      </c>
      <c r="E56" s="11">
        <v>5</v>
      </c>
      <c r="F56" s="11"/>
      <c r="G56" s="11"/>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CC0C4-465A-42C9-993A-366FE491BACE}">
  <sheetPr>
    <tabColor theme="9" tint="0.39997558519241921"/>
  </sheetPr>
  <dimension ref="A1:G60"/>
  <sheetViews>
    <sheetView workbookViewId="0">
      <selection activeCell="A2" sqref="A1:B1048576"/>
    </sheetView>
  </sheetViews>
  <sheetFormatPr defaultRowHeight="15" x14ac:dyDescent="0.25"/>
  <cols>
    <col min="1" max="1" width="10.85546875" style="2" customWidth="1"/>
    <col min="2" max="2" width="84.85546875" customWidth="1"/>
    <col min="3" max="3" width="15.28515625" customWidth="1"/>
    <col min="4" max="4" width="13.140625" customWidth="1"/>
    <col min="5" max="5" width="14.7109375" customWidth="1"/>
    <col min="6" max="6" width="25.140625" customWidth="1"/>
    <col min="7" max="7" width="19.28515625" bestFit="1" customWidth="1"/>
  </cols>
  <sheetData>
    <row r="1" spans="1:7" x14ac:dyDescent="0.25">
      <c r="A1" s="8" t="s">
        <v>83</v>
      </c>
      <c r="B1" s="9" t="s">
        <v>84</v>
      </c>
      <c r="C1" s="9" t="s">
        <v>85</v>
      </c>
      <c r="D1" s="9" t="s">
        <v>86</v>
      </c>
      <c r="E1" s="9" t="s">
        <v>16</v>
      </c>
      <c r="F1" s="9" t="s">
        <v>87</v>
      </c>
      <c r="G1" s="9" t="s">
        <v>25</v>
      </c>
    </row>
    <row r="2" spans="1:7" x14ac:dyDescent="0.25">
      <c r="A2" s="10">
        <v>45658</v>
      </c>
      <c r="B2" s="11"/>
      <c r="C2" s="11"/>
      <c r="D2" s="11"/>
      <c r="E2" s="11"/>
      <c r="F2" s="11"/>
      <c r="G2" s="12">
        <f>SUM(E:E)</f>
        <v>332</v>
      </c>
    </row>
    <row r="3" spans="1:7" x14ac:dyDescent="0.25">
      <c r="A3" s="10">
        <v>45659</v>
      </c>
      <c r="B3" s="11" t="s">
        <v>56</v>
      </c>
      <c r="C3" s="11" t="s">
        <v>295</v>
      </c>
      <c r="D3" s="11" t="s">
        <v>100</v>
      </c>
      <c r="E3" s="11">
        <v>5.75</v>
      </c>
      <c r="F3" s="11" t="s">
        <v>103</v>
      </c>
    </row>
    <row r="4" spans="1:7" x14ac:dyDescent="0.25">
      <c r="A4" s="10">
        <v>45660</v>
      </c>
      <c r="B4" s="11" t="s">
        <v>56</v>
      </c>
      <c r="C4" s="11" t="s">
        <v>295</v>
      </c>
      <c r="D4" s="11" t="s">
        <v>100</v>
      </c>
      <c r="E4" s="11">
        <v>5.75</v>
      </c>
      <c r="F4" s="11" t="s">
        <v>103</v>
      </c>
    </row>
    <row r="5" spans="1:7" x14ac:dyDescent="0.25">
      <c r="A5" s="10">
        <v>45660</v>
      </c>
      <c r="B5" s="11" t="s">
        <v>91</v>
      </c>
      <c r="C5" s="11" t="s">
        <v>121</v>
      </c>
      <c r="D5" s="11" t="s">
        <v>107</v>
      </c>
      <c r="E5" s="11">
        <v>4.5</v>
      </c>
      <c r="F5" s="11"/>
    </row>
    <row r="6" spans="1:7" x14ac:dyDescent="0.25">
      <c r="A6" s="10">
        <v>45661</v>
      </c>
      <c r="B6" s="11" t="s">
        <v>56</v>
      </c>
      <c r="C6" s="11" t="s">
        <v>295</v>
      </c>
      <c r="D6" s="11" t="s">
        <v>100</v>
      </c>
      <c r="E6" s="11">
        <v>5.75</v>
      </c>
      <c r="F6" s="11" t="s">
        <v>103</v>
      </c>
    </row>
    <row r="7" spans="1:7" x14ac:dyDescent="0.25">
      <c r="A7" s="10">
        <v>45662</v>
      </c>
      <c r="B7" s="11" t="s">
        <v>56</v>
      </c>
      <c r="C7" s="11" t="s">
        <v>295</v>
      </c>
      <c r="D7" s="11" t="s">
        <v>100</v>
      </c>
      <c r="E7" s="11">
        <v>5.75</v>
      </c>
      <c r="F7" s="11" t="s">
        <v>103</v>
      </c>
    </row>
    <row r="8" spans="1:7" x14ac:dyDescent="0.25">
      <c r="A8" s="10">
        <v>45663</v>
      </c>
      <c r="B8" s="11" t="s">
        <v>92</v>
      </c>
      <c r="C8" s="11" t="s">
        <v>120</v>
      </c>
      <c r="D8" s="11" t="s">
        <v>104</v>
      </c>
      <c r="E8" s="11">
        <v>3</v>
      </c>
      <c r="F8" s="11"/>
    </row>
    <row r="9" spans="1:7" x14ac:dyDescent="0.25">
      <c r="A9" s="10">
        <v>45663</v>
      </c>
      <c r="B9" s="11" t="s">
        <v>56</v>
      </c>
      <c r="C9" s="11" t="s">
        <v>120</v>
      </c>
      <c r="D9" s="11" t="s">
        <v>132</v>
      </c>
      <c r="E9" s="11">
        <v>4</v>
      </c>
      <c r="F9" s="11"/>
    </row>
    <row r="10" spans="1:7" x14ac:dyDescent="0.25">
      <c r="A10" s="10">
        <v>45663</v>
      </c>
      <c r="B10" s="11" t="s">
        <v>53</v>
      </c>
      <c r="C10" s="11" t="s">
        <v>100</v>
      </c>
      <c r="D10" s="11" t="s">
        <v>302</v>
      </c>
      <c r="E10" s="11">
        <v>9.5</v>
      </c>
      <c r="F10" s="11" t="s">
        <v>122</v>
      </c>
    </row>
    <row r="11" spans="1:7" x14ac:dyDescent="0.25">
      <c r="A11" s="10">
        <v>45663</v>
      </c>
      <c r="B11" s="11" t="s">
        <v>58</v>
      </c>
      <c r="C11" s="11" t="s">
        <v>100</v>
      </c>
      <c r="D11" s="11" t="s">
        <v>111</v>
      </c>
      <c r="E11" s="11">
        <v>7.5</v>
      </c>
      <c r="F11" s="11" t="s">
        <v>103</v>
      </c>
    </row>
    <row r="12" spans="1:7" x14ac:dyDescent="0.25">
      <c r="A12" s="10">
        <v>45664</v>
      </c>
      <c r="B12" s="11" t="s">
        <v>58</v>
      </c>
      <c r="C12" s="11" t="s">
        <v>118</v>
      </c>
      <c r="D12" s="11" t="s">
        <v>121</v>
      </c>
      <c r="E12" s="11">
        <v>6.5</v>
      </c>
      <c r="F12" s="11" t="s">
        <v>103</v>
      </c>
    </row>
    <row r="13" spans="1:7" x14ac:dyDescent="0.25">
      <c r="A13" s="10">
        <v>45665</v>
      </c>
      <c r="B13" s="11" t="s">
        <v>56</v>
      </c>
      <c r="C13" s="11" t="s">
        <v>295</v>
      </c>
      <c r="D13" s="11" t="s">
        <v>100</v>
      </c>
      <c r="E13" s="11">
        <v>5.75</v>
      </c>
      <c r="F13" s="11" t="s">
        <v>103</v>
      </c>
    </row>
    <row r="14" spans="1:7" x14ac:dyDescent="0.25">
      <c r="A14" s="10">
        <v>45666</v>
      </c>
      <c r="B14" s="11" t="s">
        <v>56</v>
      </c>
      <c r="C14" s="11" t="s">
        <v>295</v>
      </c>
      <c r="D14" s="11" t="s">
        <v>100</v>
      </c>
      <c r="E14" s="11">
        <v>5.75</v>
      </c>
      <c r="F14" s="11" t="s">
        <v>103</v>
      </c>
    </row>
    <row r="15" spans="1:7" x14ac:dyDescent="0.25">
      <c r="A15" s="10">
        <v>45667</v>
      </c>
      <c r="B15" s="11" t="s">
        <v>56</v>
      </c>
      <c r="C15" s="11" t="s">
        <v>295</v>
      </c>
      <c r="D15" s="11" t="s">
        <v>100</v>
      </c>
      <c r="E15" s="11">
        <v>5.75</v>
      </c>
      <c r="F15" s="11" t="s">
        <v>103</v>
      </c>
    </row>
    <row r="16" spans="1:7" x14ac:dyDescent="0.25">
      <c r="A16" s="10">
        <v>45667</v>
      </c>
      <c r="B16" s="11" t="s">
        <v>56</v>
      </c>
      <c r="C16" s="11" t="s">
        <v>121</v>
      </c>
      <c r="D16" s="11" t="s">
        <v>107</v>
      </c>
      <c r="E16" s="11">
        <v>4.5</v>
      </c>
      <c r="F16" s="11"/>
    </row>
    <row r="17" spans="1:6" x14ac:dyDescent="0.25">
      <c r="A17" s="10">
        <v>45668</v>
      </c>
      <c r="B17" s="11" t="s">
        <v>56</v>
      </c>
      <c r="C17" s="11" t="s">
        <v>295</v>
      </c>
      <c r="D17" s="11" t="s">
        <v>100</v>
      </c>
      <c r="E17" s="11">
        <v>5.75</v>
      </c>
      <c r="F17" s="11" t="s">
        <v>103</v>
      </c>
    </row>
    <row r="18" spans="1:6" x14ac:dyDescent="0.25">
      <c r="A18" s="10">
        <v>45668</v>
      </c>
      <c r="B18" s="11" t="s">
        <v>56</v>
      </c>
      <c r="C18" s="11" t="s">
        <v>219</v>
      </c>
      <c r="D18" s="11" t="s">
        <v>172</v>
      </c>
      <c r="E18" s="11">
        <v>5</v>
      </c>
      <c r="F18" s="11"/>
    </row>
    <row r="19" spans="1:6" x14ac:dyDescent="0.25">
      <c r="A19" s="10">
        <v>45669</v>
      </c>
      <c r="B19" s="11" t="s">
        <v>56</v>
      </c>
      <c r="C19" s="11" t="s">
        <v>295</v>
      </c>
      <c r="D19" s="11" t="s">
        <v>100</v>
      </c>
      <c r="E19" s="11">
        <v>5.75</v>
      </c>
      <c r="F19" s="11" t="s">
        <v>103</v>
      </c>
    </row>
    <row r="20" spans="1:6" x14ac:dyDescent="0.25">
      <c r="A20" s="10">
        <v>45669</v>
      </c>
      <c r="B20" s="11" t="s">
        <v>52</v>
      </c>
      <c r="C20" s="11" t="s">
        <v>100</v>
      </c>
      <c r="D20" s="11" t="s">
        <v>189</v>
      </c>
      <c r="E20" s="11">
        <v>9</v>
      </c>
      <c r="F20" s="11" t="s">
        <v>122</v>
      </c>
    </row>
    <row r="21" spans="1:6" x14ac:dyDescent="0.25">
      <c r="A21" s="10">
        <v>45670</v>
      </c>
      <c r="B21" s="11" t="s">
        <v>56</v>
      </c>
      <c r="C21" s="11" t="s">
        <v>120</v>
      </c>
      <c r="D21" s="11" t="s">
        <v>132</v>
      </c>
      <c r="E21" s="11">
        <v>4</v>
      </c>
      <c r="F21" s="11"/>
    </row>
    <row r="22" spans="1:6" x14ac:dyDescent="0.25">
      <c r="A22" s="10">
        <v>45670</v>
      </c>
      <c r="B22" s="11" t="s">
        <v>53</v>
      </c>
      <c r="C22" s="11" t="s">
        <v>298</v>
      </c>
      <c r="D22" s="11" t="s">
        <v>142</v>
      </c>
      <c r="E22" s="11">
        <v>7.5</v>
      </c>
      <c r="F22" s="11" t="s">
        <v>103</v>
      </c>
    </row>
    <row r="23" spans="1:6" x14ac:dyDescent="0.25">
      <c r="A23" s="10">
        <v>45670</v>
      </c>
      <c r="B23" s="11" t="s">
        <v>48</v>
      </c>
      <c r="C23" s="11" t="s">
        <v>104</v>
      </c>
      <c r="D23" s="11" t="s">
        <v>111</v>
      </c>
      <c r="E23" s="11">
        <v>10</v>
      </c>
      <c r="F23" s="11" t="s">
        <v>122</v>
      </c>
    </row>
    <row r="24" spans="1:6" x14ac:dyDescent="0.25">
      <c r="A24" s="10">
        <v>45670</v>
      </c>
      <c r="B24" s="11" t="s">
        <v>58</v>
      </c>
      <c r="C24" s="11" t="s">
        <v>301</v>
      </c>
      <c r="D24" s="11" t="s">
        <v>155</v>
      </c>
      <c r="E24" s="11">
        <v>6</v>
      </c>
      <c r="F24" s="11" t="s">
        <v>103</v>
      </c>
    </row>
    <row r="25" spans="1:6" x14ac:dyDescent="0.25">
      <c r="A25" s="10">
        <v>45671</v>
      </c>
      <c r="B25" s="11" t="s">
        <v>58</v>
      </c>
      <c r="C25" s="11" t="s">
        <v>120</v>
      </c>
      <c r="D25" s="11" t="s">
        <v>102</v>
      </c>
      <c r="E25" s="11">
        <v>7.5</v>
      </c>
      <c r="F25" s="11" t="s">
        <v>103</v>
      </c>
    </row>
    <row r="26" spans="1:6" x14ac:dyDescent="0.25">
      <c r="A26" s="10">
        <v>45671</v>
      </c>
      <c r="B26" s="11" t="s">
        <v>53</v>
      </c>
      <c r="C26" s="11" t="s">
        <v>104</v>
      </c>
      <c r="D26" s="11" t="s">
        <v>219</v>
      </c>
      <c r="E26" s="11">
        <v>6.5</v>
      </c>
      <c r="F26" s="11" t="s">
        <v>103</v>
      </c>
    </row>
    <row r="27" spans="1:6" x14ac:dyDescent="0.25">
      <c r="A27" s="10">
        <v>45672</v>
      </c>
      <c r="B27" s="11"/>
      <c r="C27" s="11"/>
      <c r="D27" s="11"/>
      <c r="E27" s="11"/>
      <c r="F27" s="11"/>
    </row>
    <row r="28" spans="1:6" x14ac:dyDescent="0.25">
      <c r="A28" s="10">
        <v>45673</v>
      </c>
      <c r="B28" s="11" t="s">
        <v>56</v>
      </c>
      <c r="C28" s="11" t="s">
        <v>295</v>
      </c>
      <c r="D28" s="11" t="s">
        <v>100</v>
      </c>
      <c r="E28" s="11">
        <v>5.75</v>
      </c>
      <c r="F28" s="11" t="s">
        <v>103</v>
      </c>
    </row>
    <row r="29" spans="1:6" x14ac:dyDescent="0.25">
      <c r="A29" s="10">
        <v>45674</v>
      </c>
      <c r="B29" s="11" t="s">
        <v>56</v>
      </c>
      <c r="C29" s="11" t="s">
        <v>295</v>
      </c>
      <c r="D29" s="11" t="s">
        <v>100</v>
      </c>
      <c r="E29" s="11">
        <v>5.75</v>
      </c>
      <c r="F29" s="11" t="s">
        <v>103</v>
      </c>
    </row>
    <row r="30" spans="1:6" x14ac:dyDescent="0.25">
      <c r="A30" s="10">
        <v>45674</v>
      </c>
      <c r="B30" s="11" t="s">
        <v>58</v>
      </c>
      <c r="C30" s="11" t="s">
        <v>102</v>
      </c>
      <c r="D30" s="11" t="s">
        <v>107</v>
      </c>
      <c r="E30" s="11">
        <v>4.5</v>
      </c>
      <c r="F30" s="11"/>
    </row>
    <row r="31" spans="1:6" x14ac:dyDescent="0.25">
      <c r="A31" s="10">
        <v>45674</v>
      </c>
      <c r="B31" s="11" t="s">
        <v>53</v>
      </c>
      <c r="C31" s="11" t="s">
        <v>121</v>
      </c>
      <c r="D31" s="11" t="s">
        <v>269</v>
      </c>
      <c r="E31" s="11">
        <v>4</v>
      </c>
      <c r="F31" s="11"/>
    </row>
    <row r="32" spans="1:6" x14ac:dyDescent="0.25">
      <c r="A32" s="10">
        <v>45675</v>
      </c>
      <c r="B32" s="11" t="s">
        <v>56</v>
      </c>
      <c r="C32" s="11" t="s">
        <v>295</v>
      </c>
      <c r="D32" s="11" t="s">
        <v>100</v>
      </c>
      <c r="E32" s="11">
        <v>5.75</v>
      </c>
      <c r="F32" s="11" t="s">
        <v>103</v>
      </c>
    </row>
    <row r="33" spans="1:6" x14ac:dyDescent="0.25">
      <c r="A33" s="10">
        <v>45675</v>
      </c>
      <c r="B33" s="11" t="s">
        <v>56</v>
      </c>
      <c r="C33" s="11" t="s">
        <v>219</v>
      </c>
      <c r="D33" s="11" t="s">
        <v>255</v>
      </c>
      <c r="E33" s="11">
        <v>4.5</v>
      </c>
      <c r="F33" s="11"/>
    </row>
    <row r="34" spans="1:6" x14ac:dyDescent="0.25">
      <c r="A34" s="10">
        <v>45676</v>
      </c>
      <c r="B34" s="11" t="s">
        <v>56</v>
      </c>
      <c r="C34" s="11" t="s">
        <v>295</v>
      </c>
      <c r="D34" s="11" t="s">
        <v>100</v>
      </c>
      <c r="E34" s="11">
        <v>5.75</v>
      </c>
      <c r="F34" s="11" t="s">
        <v>103</v>
      </c>
    </row>
    <row r="35" spans="1:6" x14ac:dyDescent="0.25">
      <c r="A35" s="10">
        <v>45677</v>
      </c>
      <c r="B35" s="11" t="s">
        <v>56</v>
      </c>
      <c r="C35" s="11" t="s">
        <v>120</v>
      </c>
      <c r="D35" s="11" t="s">
        <v>132</v>
      </c>
      <c r="E35" s="11">
        <v>4</v>
      </c>
      <c r="F35" s="11"/>
    </row>
    <row r="36" spans="1:6" x14ac:dyDescent="0.25">
      <c r="A36" s="10">
        <v>45677</v>
      </c>
      <c r="B36" s="11" t="s">
        <v>53</v>
      </c>
      <c r="C36" s="11" t="s">
        <v>104</v>
      </c>
      <c r="D36" s="11" t="s">
        <v>219</v>
      </c>
      <c r="E36" s="11">
        <v>6.5</v>
      </c>
      <c r="F36" s="11" t="s">
        <v>103</v>
      </c>
    </row>
    <row r="37" spans="1:6" x14ac:dyDescent="0.25">
      <c r="A37" s="10">
        <v>45677</v>
      </c>
      <c r="B37" s="11" t="s">
        <v>58</v>
      </c>
      <c r="C37" s="11" t="s">
        <v>126</v>
      </c>
      <c r="D37" s="11" t="s">
        <v>111</v>
      </c>
      <c r="E37" s="11">
        <v>8</v>
      </c>
      <c r="F37" s="11" t="s">
        <v>122</v>
      </c>
    </row>
    <row r="38" spans="1:6" x14ac:dyDescent="0.25">
      <c r="A38" s="10">
        <v>45678</v>
      </c>
      <c r="B38" s="11" t="s">
        <v>58</v>
      </c>
      <c r="C38" s="11" t="s">
        <v>130</v>
      </c>
      <c r="D38" s="11" t="s">
        <v>100</v>
      </c>
      <c r="E38" s="11">
        <v>6.5</v>
      </c>
      <c r="F38" s="11" t="s">
        <v>103</v>
      </c>
    </row>
    <row r="39" spans="1:6" x14ac:dyDescent="0.25">
      <c r="A39" s="10">
        <v>45679</v>
      </c>
      <c r="B39" s="11" t="s">
        <v>56</v>
      </c>
      <c r="C39" s="11" t="s">
        <v>295</v>
      </c>
      <c r="D39" s="11" t="s">
        <v>100</v>
      </c>
      <c r="E39" s="11">
        <v>5.75</v>
      </c>
      <c r="F39" s="11" t="s">
        <v>103</v>
      </c>
    </row>
    <row r="40" spans="1:6" x14ac:dyDescent="0.25">
      <c r="A40" s="10">
        <v>45680</v>
      </c>
      <c r="B40" s="11" t="s">
        <v>56</v>
      </c>
      <c r="C40" s="11" t="s">
        <v>295</v>
      </c>
      <c r="D40" s="11" t="s">
        <v>100</v>
      </c>
      <c r="E40" s="11">
        <v>5.75</v>
      </c>
      <c r="F40" s="11" t="s">
        <v>103</v>
      </c>
    </row>
    <row r="41" spans="1:6" x14ac:dyDescent="0.25">
      <c r="A41" s="10">
        <v>45681</v>
      </c>
      <c r="B41" s="11" t="s">
        <v>56</v>
      </c>
      <c r="C41" s="11" t="s">
        <v>295</v>
      </c>
      <c r="D41" s="11" t="s">
        <v>100</v>
      </c>
      <c r="E41" s="11">
        <v>5.75</v>
      </c>
      <c r="F41" s="11" t="s">
        <v>103</v>
      </c>
    </row>
    <row r="42" spans="1:6" x14ac:dyDescent="0.25">
      <c r="A42" s="10">
        <v>45681</v>
      </c>
      <c r="B42" s="11" t="s">
        <v>56</v>
      </c>
      <c r="C42" s="11" t="s">
        <v>121</v>
      </c>
      <c r="D42" s="11" t="s">
        <v>107</v>
      </c>
      <c r="E42" s="11">
        <v>4.5</v>
      </c>
      <c r="F42" s="11"/>
    </row>
    <row r="43" spans="1:6" x14ac:dyDescent="0.25">
      <c r="A43" s="10">
        <v>45682</v>
      </c>
      <c r="B43" s="11" t="s">
        <v>56</v>
      </c>
      <c r="C43" s="11" t="s">
        <v>295</v>
      </c>
      <c r="D43" s="11" t="s">
        <v>100</v>
      </c>
      <c r="E43" s="11">
        <v>5.75</v>
      </c>
      <c r="F43" s="11" t="s">
        <v>103</v>
      </c>
    </row>
    <row r="44" spans="1:6" x14ac:dyDescent="0.25">
      <c r="A44" s="10">
        <v>45682</v>
      </c>
      <c r="B44" s="11" t="s">
        <v>91</v>
      </c>
      <c r="C44" s="11" t="s">
        <v>219</v>
      </c>
      <c r="D44" s="11" t="s">
        <v>255</v>
      </c>
      <c r="E44" s="11">
        <v>4.5</v>
      </c>
      <c r="F44" s="11"/>
    </row>
    <row r="45" spans="1:6" x14ac:dyDescent="0.25">
      <c r="A45" s="10">
        <v>45683</v>
      </c>
      <c r="B45" s="11" t="s">
        <v>56</v>
      </c>
      <c r="C45" s="11" t="s">
        <v>295</v>
      </c>
      <c r="D45" s="11" t="s">
        <v>100</v>
      </c>
      <c r="E45" s="11">
        <v>5.75</v>
      </c>
      <c r="F45" s="11" t="s">
        <v>103</v>
      </c>
    </row>
    <row r="46" spans="1:6" x14ac:dyDescent="0.25">
      <c r="A46" s="10">
        <v>45683</v>
      </c>
      <c r="B46" s="11" t="s">
        <v>53</v>
      </c>
      <c r="C46" s="11" t="s">
        <v>105</v>
      </c>
      <c r="D46" s="11" t="s">
        <v>111</v>
      </c>
      <c r="E46" s="11">
        <v>6.5</v>
      </c>
      <c r="F46" s="11" t="s">
        <v>103</v>
      </c>
    </row>
    <row r="47" spans="1:6" x14ac:dyDescent="0.25">
      <c r="A47" s="10">
        <v>45683</v>
      </c>
      <c r="B47" s="11" t="s">
        <v>58</v>
      </c>
      <c r="C47" s="11" t="s">
        <v>312</v>
      </c>
      <c r="D47" s="11" t="s">
        <v>226</v>
      </c>
      <c r="E47" s="11">
        <v>8.25</v>
      </c>
      <c r="F47" s="11" t="s">
        <v>122</v>
      </c>
    </row>
    <row r="48" spans="1:6" x14ac:dyDescent="0.25">
      <c r="A48" s="10">
        <v>45684</v>
      </c>
      <c r="B48" s="11" t="s">
        <v>56</v>
      </c>
      <c r="C48" s="11" t="s">
        <v>120</v>
      </c>
      <c r="D48" s="11" t="s">
        <v>132</v>
      </c>
      <c r="E48" s="11">
        <v>4</v>
      </c>
      <c r="F48" s="11"/>
    </row>
    <row r="49" spans="1:6" x14ac:dyDescent="0.25">
      <c r="A49" s="10">
        <v>45684</v>
      </c>
      <c r="B49" s="11" t="s">
        <v>58</v>
      </c>
      <c r="C49" s="11" t="s">
        <v>126</v>
      </c>
      <c r="D49" s="11" t="s">
        <v>185</v>
      </c>
      <c r="E49" s="11">
        <v>7</v>
      </c>
      <c r="F49" s="11" t="s">
        <v>103</v>
      </c>
    </row>
    <row r="50" spans="1:6" x14ac:dyDescent="0.25">
      <c r="A50" s="10">
        <v>45685</v>
      </c>
      <c r="B50" s="11" t="s">
        <v>58</v>
      </c>
      <c r="C50" s="11" t="s">
        <v>118</v>
      </c>
      <c r="D50" s="11" t="s">
        <v>121</v>
      </c>
      <c r="E50" s="11">
        <v>6.5</v>
      </c>
      <c r="F50" s="11" t="s">
        <v>103</v>
      </c>
    </row>
    <row r="51" spans="1:6" x14ac:dyDescent="0.25">
      <c r="A51" s="10">
        <v>45686</v>
      </c>
      <c r="B51" s="11" t="s">
        <v>56</v>
      </c>
      <c r="C51" s="11" t="s">
        <v>295</v>
      </c>
      <c r="D51" s="11" t="s">
        <v>100</v>
      </c>
      <c r="E51" s="11">
        <v>5.75</v>
      </c>
      <c r="F51" s="11" t="s">
        <v>103</v>
      </c>
    </row>
    <row r="52" spans="1:6" x14ac:dyDescent="0.25">
      <c r="A52" s="10">
        <v>45686</v>
      </c>
      <c r="B52" s="11" t="s">
        <v>92</v>
      </c>
      <c r="C52" s="11" t="s">
        <v>296</v>
      </c>
      <c r="D52" s="11" t="s">
        <v>185</v>
      </c>
      <c r="E52" s="11">
        <v>4</v>
      </c>
      <c r="F52" s="11"/>
    </row>
    <row r="53" spans="1:6" x14ac:dyDescent="0.25">
      <c r="A53" s="10">
        <v>45687</v>
      </c>
      <c r="B53" s="11" t="s">
        <v>56</v>
      </c>
      <c r="C53" s="11" t="s">
        <v>295</v>
      </c>
      <c r="D53" s="11" t="s">
        <v>100</v>
      </c>
      <c r="E53" s="11">
        <v>5.75</v>
      </c>
      <c r="F53" s="11" t="s">
        <v>103</v>
      </c>
    </row>
    <row r="54" spans="1:6" x14ac:dyDescent="0.25">
      <c r="A54" s="10">
        <v>45687</v>
      </c>
      <c r="B54" s="11" t="s">
        <v>56</v>
      </c>
      <c r="C54" s="11" t="s">
        <v>121</v>
      </c>
      <c r="D54" s="11" t="s">
        <v>255</v>
      </c>
      <c r="E54" s="11">
        <v>5.5</v>
      </c>
      <c r="F54" s="11"/>
    </row>
    <row r="55" spans="1:6" x14ac:dyDescent="0.25">
      <c r="A55" s="10">
        <v>45688</v>
      </c>
      <c r="B55" s="11" t="s">
        <v>56</v>
      </c>
      <c r="C55" s="11" t="s">
        <v>295</v>
      </c>
      <c r="D55" s="11" t="s">
        <v>100</v>
      </c>
      <c r="E55" s="11">
        <v>5.75</v>
      </c>
      <c r="F55" s="11" t="s">
        <v>103</v>
      </c>
    </row>
    <row r="56" spans="1:6" x14ac:dyDescent="0.25">
      <c r="A56" s="15">
        <v>45688</v>
      </c>
      <c r="B56" s="16" t="s">
        <v>56</v>
      </c>
      <c r="C56" s="16" t="s">
        <v>121</v>
      </c>
      <c r="D56" s="16" t="s">
        <v>107</v>
      </c>
      <c r="E56" s="16">
        <v>4.5</v>
      </c>
      <c r="F56" s="16"/>
    </row>
    <row r="57" spans="1:6" x14ac:dyDescent="0.25">
      <c r="A57" s="13">
        <v>45687</v>
      </c>
      <c r="B57" s="11" t="s">
        <v>98</v>
      </c>
      <c r="C57" s="11" t="s">
        <v>99</v>
      </c>
      <c r="D57" s="11" t="s">
        <v>100</v>
      </c>
      <c r="E57" s="11">
        <v>5</v>
      </c>
      <c r="F57" s="12"/>
    </row>
    <row r="58" spans="1:6" x14ac:dyDescent="0.25">
      <c r="A58" s="13">
        <v>45687</v>
      </c>
      <c r="B58" s="11" t="s">
        <v>101</v>
      </c>
      <c r="C58" s="11" t="s">
        <v>99</v>
      </c>
      <c r="D58" s="11" t="s">
        <v>100</v>
      </c>
      <c r="E58" s="11">
        <v>5</v>
      </c>
      <c r="F58" s="12"/>
    </row>
    <row r="59" spans="1:6" x14ac:dyDescent="0.25">
      <c r="A59" s="13">
        <v>45688</v>
      </c>
      <c r="B59" s="11" t="s">
        <v>98</v>
      </c>
      <c r="C59" s="11" t="s">
        <v>99</v>
      </c>
      <c r="D59" s="11" t="s">
        <v>102</v>
      </c>
      <c r="E59" s="11">
        <v>6.5</v>
      </c>
      <c r="F59" s="11" t="s">
        <v>103</v>
      </c>
    </row>
    <row r="60" spans="1:6" x14ac:dyDescent="0.25">
      <c r="A60" s="13">
        <v>45688</v>
      </c>
      <c r="B60" s="11" t="s">
        <v>101</v>
      </c>
      <c r="C60" s="11" t="s">
        <v>99</v>
      </c>
      <c r="D60" s="11" t="s">
        <v>102</v>
      </c>
      <c r="E60" s="11">
        <v>6.5</v>
      </c>
      <c r="F60" s="11" t="s">
        <v>103</v>
      </c>
    </row>
  </sheetData>
  <pageMargins left="0.7" right="0.7" top="0.75" bottom="0.75" header="0.3" footer="0.3"/>
  <pageSetup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C8829-F8EB-4ECF-88DD-E13F91AE028F}">
  <sheetPr>
    <tabColor theme="9" tint="0.39997558519241921"/>
  </sheetPr>
  <dimension ref="A1:G73"/>
  <sheetViews>
    <sheetView workbookViewId="0">
      <selection activeCell="A2" sqref="A1:B1048576"/>
    </sheetView>
  </sheetViews>
  <sheetFormatPr defaultRowHeight="15" x14ac:dyDescent="0.25"/>
  <cols>
    <col min="1" max="1" width="9.5703125" customWidth="1"/>
    <col min="2" max="2" width="86.5703125" customWidth="1"/>
    <col min="3" max="3" width="12.85546875" customWidth="1"/>
    <col min="4" max="4" width="12.140625" customWidth="1"/>
    <col min="5" max="5" width="16.28515625" customWidth="1"/>
    <col min="6" max="6" width="25" bestFit="1" customWidth="1"/>
    <col min="7" max="7" width="19.28515625" bestFit="1" customWidth="1"/>
  </cols>
  <sheetData>
    <row r="1" spans="1:7" x14ac:dyDescent="0.25">
      <c r="A1" s="9" t="s">
        <v>83</v>
      </c>
      <c r="B1" s="9" t="s">
        <v>84</v>
      </c>
      <c r="C1" s="9" t="s">
        <v>85</v>
      </c>
      <c r="D1" s="9" t="s">
        <v>86</v>
      </c>
      <c r="E1" s="9" t="s">
        <v>16</v>
      </c>
      <c r="F1" s="9" t="s">
        <v>87</v>
      </c>
      <c r="G1" s="9" t="s">
        <v>25</v>
      </c>
    </row>
    <row r="2" spans="1:7" x14ac:dyDescent="0.25">
      <c r="A2" s="13">
        <v>45689</v>
      </c>
      <c r="B2" s="11" t="s">
        <v>56</v>
      </c>
      <c r="C2" s="11" t="s">
        <v>295</v>
      </c>
      <c r="D2" s="11" t="s">
        <v>100</v>
      </c>
      <c r="E2" s="11">
        <v>5.75</v>
      </c>
      <c r="F2" s="11" t="s">
        <v>103</v>
      </c>
      <c r="G2" s="12">
        <f>SUM(E:E)</f>
        <v>392.25</v>
      </c>
    </row>
    <row r="3" spans="1:7" x14ac:dyDescent="0.25">
      <c r="A3" s="13">
        <v>45689</v>
      </c>
      <c r="B3" s="11" t="s">
        <v>56</v>
      </c>
      <c r="C3" s="11" t="s">
        <v>188</v>
      </c>
      <c r="D3" s="11" t="s">
        <v>255</v>
      </c>
      <c r="E3" s="11">
        <v>4</v>
      </c>
      <c r="F3" s="11"/>
      <c r="G3" s="11"/>
    </row>
    <row r="4" spans="1:7" x14ac:dyDescent="0.25">
      <c r="A4" s="13">
        <v>45690</v>
      </c>
      <c r="B4" s="11" t="s">
        <v>56</v>
      </c>
      <c r="C4" s="11" t="s">
        <v>295</v>
      </c>
      <c r="D4" s="11" t="s">
        <v>100</v>
      </c>
      <c r="E4" s="11">
        <v>5.75</v>
      </c>
      <c r="F4" s="11" t="s">
        <v>103</v>
      </c>
      <c r="G4" s="11"/>
    </row>
    <row r="5" spans="1:7" x14ac:dyDescent="0.25">
      <c r="A5" s="13">
        <v>45691</v>
      </c>
      <c r="B5" s="11"/>
      <c r="C5" s="11"/>
      <c r="D5" s="11"/>
      <c r="E5" s="11"/>
      <c r="F5" s="11"/>
      <c r="G5" s="11"/>
    </row>
    <row r="6" spans="1:7" x14ac:dyDescent="0.25">
      <c r="A6" s="13">
        <v>45692</v>
      </c>
      <c r="B6" s="11"/>
      <c r="C6" s="11"/>
      <c r="D6" s="11"/>
      <c r="E6" s="11"/>
      <c r="F6" s="11"/>
      <c r="G6" s="11"/>
    </row>
    <row r="7" spans="1:7" x14ac:dyDescent="0.25">
      <c r="A7" s="13">
        <v>45693</v>
      </c>
      <c r="B7" s="11" t="s">
        <v>56</v>
      </c>
      <c r="C7" s="11" t="s">
        <v>295</v>
      </c>
      <c r="D7" s="11" t="s">
        <v>100</v>
      </c>
      <c r="E7" s="11">
        <v>5.75</v>
      </c>
      <c r="F7" s="11" t="s">
        <v>103</v>
      </c>
      <c r="G7" s="11"/>
    </row>
    <row r="8" spans="1:7" x14ac:dyDescent="0.25">
      <c r="A8" s="13">
        <v>45694</v>
      </c>
      <c r="B8" s="11" t="s">
        <v>56</v>
      </c>
      <c r="C8" s="11" t="s">
        <v>295</v>
      </c>
      <c r="D8" s="11" t="s">
        <v>100</v>
      </c>
      <c r="E8" s="11">
        <v>5.75</v>
      </c>
      <c r="F8" s="11" t="s">
        <v>103</v>
      </c>
      <c r="G8" s="11"/>
    </row>
    <row r="9" spans="1:7" x14ac:dyDescent="0.25">
      <c r="A9" s="13">
        <v>45695</v>
      </c>
      <c r="B9" s="11" t="s">
        <v>56</v>
      </c>
      <c r="C9" s="11" t="s">
        <v>295</v>
      </c>
      <c r="D9" s="11" t="s">
        <v>100</v>
      </c>
      <c r="E9" s="11">
        <v>5.75</v>
      </c>
      <c r="F9" s="11" t="s">
        <v>103</v>
      </c>
      <c r="G9" s="11"/>
    </row>
    <row r="10" spans="1:7" x14ac:dyDescent="0.25">
      <c r="A10" s="13">
        <v>45695</v>
      </c>
      <c r="B10" s="11" t="s">
        <v>56</v>
      </c>
      <c r="C10" s="11" t="s">
        <v>296</v>
      </c>
      <c r="D10" s="11" t="s">
        <v>269</v>
      </c>
      <c r="E10" s="11">
        <v>4.5</v>
      </c>
      <c r="F10" s="11"/>
      <c r="G10" s="11"/>
    </row>
    <row r="11" spans="1:7" x14ac:dyDescent="0.25">
      <c r="A11" s="13">
        <v>45695</v>
      </c>
      <c r="B11" s="11" t="s">
        <v>49</v>
      </c>
      <c r="C11" s="11" t="s">
        <v>121</v>
      </c>
      <c r="D11" s="11" t="s">
        <v>107</v>
      </c>
      <c r="E11" s="11">
        <v>4.5</v>
      </c>
      <c r="F11" s="11"/>
      <c r="G11" s="11"/>
    </row>
    <row r="12" spans="1:7" x14ac:dyDescent="0.25">
      <c r="A12" s="13">
        <v>45696</v>
      </c>
      <c r="B12" s="11" t="s">
        <v>56</v>
      </c>
      <c r="C12" s="11" t="s">
        <v>295</v>
      </c>
      <c r="D12" s="11" t="s">
        <v>100</v>
      </c>
      <c r="E12" s="11">
        <v>5.75</v>
      </c>
      <c r="F12" s="11" t="s">
        <v>103</v>
      </c>
      <c r="G12" s="11"/>
    </row>
    <row r="13" spans="1:7" x14ac:dyDescent="0.25">
      <c r="A13" s="13">
        <v>45696</v>
      </c>
      <c r="B13" s="11" t="s">
        <v>56</v>
      </c>
      <c r="C13" s="11" t="s">
        <v>188</v>
      </c>
      <c r="D13" s="11" t="s">
        <v>111</v>
      </c>
      <c r="E13" s="11">
        <v>3.5</v>
      </c>
      <c r="F13" s="11"/>
      <c r="G13" s="11"/>
    </row>
    <row r="14" spans="1:7" x14ac:dyDescent="0.25">
      <c r="A14" s="13">
        <v>45697</v>
      </c>
      <c r="B14" s="11" t="s">
        <v>56</v>
      </c>
      <c r="C14" s="11" t="s">
        <v>295</v>
      </c>
      <c r="D14" s="11" t="s">
        <v>100</v>
      </c>
      <c r="E14" s="11">
        <v>5.75</v>
      </c>
      <c r="F14" s="11" t="s">
        <v>103</v>
      </c>
      <c r="G14" s="11"/>
    </row>
    <row r="15" spans="1:7" x14ac:dyDescent="0.25">
      <c r="A15" s="13">
        <v>45697</v>
      </c>
      <c r="B15" s="11" t="s">
        <v>53</v>
      </c>
      <c r="C15" s="11" t="s">
        <v>219</v>
      </c>
      <c r="D15" s="11" t="s">
        <v>111</v>
      </c>
      <c r="E15" s="11">
        <v>4</v>
      </c>
      <c r="F15" s="11"/>
      <c r="G15" s="11"/>
    </row>
    <row r="16" spans="1:7" x14ac:dyDescent="0.25">
      <c r="A16" s="13">
        <v>45697</v>
      </c>
      <c r="B16" s="11" t="s">
        <v>58</v>
      </c>
      <c r="C16" s="11" t="s">
        <v>219</v>
      </c>
      <c r="D16" s="11" t="s">
        <v>172</v>
      </c>
      <c r="E16" s="11">
        <v>5</v>
      </c>
      <c r="F16" s="11"/>
      <c r="G16" s="11"/>
    </row>
    <row r="17" spans="1:7" x14ac:dyDescent="0.25">
      <c r="A17" s="13">
        <v>45698</v>
      </c>
      <c r="B17" s="11" t="s">
        <v>49</v>
      </c>
      <c r="C17" s="11" t="s">
        <v>120</v>
      </c>
      <c r="D17" s="11" t="s">
        <v>100</v>
      </c>
      <c r="E17" s="11">
        <v>5.5</v>
      </c>
      <c r="F17" s="11" t="s">
        <v>103</v>
      </c>
      <c r="G17" s="11"/>
    </row>
    <row r="18" spans="1:7" x14ac:dyDescent="0.25">
      <c r="A18" s="13">
        <v>45698</v>
      </c>
      <c r="B18" s="11" t="s">
        <v>56</v>
      </c>
      <c r="C18" s="11" t="s">
        <v>120</v>
      </c>
      <c r="D18" s="11" t="s">
        <v>121</v>
      </c>
      <c r="E18" s="11">
        <v>8</v>
      </c>
      <c r="F18" s="11" t="s">
        <v>122</v>
      </c>
      <c r="G18" s="11"/>
    </row>
    <row r="19" spans="1:7" x14ac:dyDescent="0.25">
      <c r="A19" s="13">
        <v>45698</v>
      </c>
      <c r="B19" s="11" t="s">
        <v>47</v>
      </c>
      <c r="C19" s="11" t="s">
        <v>120</v>
      </c>
      <c r="D19" s="11" t="s">
        <v>132</v>
      </c>
      <c r="E19" s="11">
        <v>4</v>
      </c>
      <c r="F19" s="11"/>
      <c r="G19" s="11"/>
    </row>
    <row r="20" spans="1:7" x14ac:dyDescent="0.25">
      <c r="A20" s="13">
        <v>45698</v>
      </c>
      <c r="B20" s="11" t="s">
        <v>53</v>
      </c>
      <c r="C20" s="11" t="s">
        <v>105</v>
      </c>
      <c r="D20" s="11" t="s">
        <v>226</v>
      </c>
      <c r="E20" s="11">
        <v>9</v>
      </c>
      <c r="F20" s="11" t="s">
        <v>122</v>
      </c>
      <c r="G20" s="11"/>
    </row>
    <row r="21" spans="1:7" x14ac:dyDescent="0.25">
      <c r="A21" s="13">
        <v>45698</v>
      </c>
      <c r="B21" s="11" t="s">
        <v>58</v>
      </c>
      <c r="C21" s="11" t="s">
        <v>121</v>
      </c>
      <c r="D21" s="11" t="s">
        <v>189</v>
      </c>
      <c r="E21" s="11">
        <v>6.5</v>
      </c>
      <c r="F21" s="11" t="s">
        <v>103</v>
      </c>
      <c r="G21" s="11"/>
    </row>
    <row r="22" spans="1:7" x14ac:dyDescent="0.25">
      <c r="A22" s="13">
        <v>45699</v>
      </c>
      <c r="B22" s="11" t="s">
        <v>53</v>
      </c>
      <c r="C22" s="11" t="s">
        <v>297</v>
      </c>
      <c r="D22" s="11" t="s">
        <v>155</v>
      </c>
      <c r="E22" s="11">
        <v>10.5</v>
      </c>
      <c r="F22" s="11" t="s">
        <v>103</v>
      </c>
      <c r="G22" s="11"/>
    </row>
    <row r="23" spans="1:7" x14ac:dyDescent="0.25">
      <c r="A23" s="13">
        <v>45700</v>
      </c>
      <c r="B23" s="11" t="s">
        <v>56</v>
      </c>
      <c r="C23" s="11" t="s">
        <v>295</v>
      </c>
      <c r="D23" s="11" t="s">
        <v>100</v>
      </c>
      <c r="E23" s="11">
        <v>5.75</v>
      </c>
      <c r="F23" s="11" t="s">
        <v>103</v>
      </c>
      <c r="G23" s="11"/>
    </row>
    <row r="24" spans="1:7" x14ac:dyDescent="0.25">
      <c r="A24" s="13">
        <v>45701</v>
      </c>
      <c r="B24" s="11" t="s">
        <v>56</v>
      </c>
      <c r="C24" s="11" t="s">
        <v>295</v>
      </c>
      <c r="D24" s="11" t="s">
        <v>100</v>
      </c>
      <c r="E24" s="11">
        <v>5.75</v>
      </c>
      <c r="F24" s="11" t="s">
        <v>103</v>
      </c>
      <c r="G24" s="11"/>
    </row>
    <row r="25" spans="1:7" x14ac:dyDescent="0.25">
      <c r="A25" s="13">
        <v>45701</v>
      </c>
      <c r="B25" s="11" t="s">
        <v>44</v>
      </c>
      <c r="C25" s="11" t="s">
        <v>105</v>
      </c>
      <c r="D25" s="11" t="s">
        <v>142</v>
      </c>
      <c r="E25" s="11">
        <v>2.5</v>
      </c>
      <c r="F25" s="11"/>
      <c r="G25" s="11"/>
    </row>
    <row r="26" spans="1:7" x14ac:dyDescent="0.25">
      <c r="A26" s="13">
        <v>45702</v>
      </c>
      <c r="B26" s="11" t="s">
        <v>56</v>
      </c>
      <c r="C26" s="11" t="s">
        <v>295</v>
      </c>
      <c r="D26" s="11" t="s">
        <v>100</v>
      </c>
      <c r="E26" s="11">
        <v>5.75</v>
      </c>
      <c r="F26" s="11" t="s">
        <v>103</v>
      </c>
      <c r="G26" s="11"/>
    </row>
    <row r="27" spans="1:7" x14ac:dyDescent="0.25">
      <c r="A27" s="13">
        <v>45702</v>
      </c>
      <c r="B27" s="11" t="s">
        <v>49</v>
      </c>
      <c r="C27" s="11" t="s">
        <v>121</v>
      </c>
      <c r="D27" s="11" t="s">
        <v>107</v>
      </c>
      <c r="E27" s="11">
        <v>4.5</v>
      </c>
      <c r="F27" s="11"/>
      <c r="G27" s="11"/>
    </row>
    <row r="28" spans="1:7" x14ac:dyDescent="0.25">
      <c r="A28" s="13">
        <v>45703</v>
      </c>
      <c r="B28" s="11" t="s">
        <v>56</v>
      </c>
      <c r="C28" s="11" t="s">
        <v>295</v>
      </c>
      <c r="D28" s="11" t="s">
        <v>100</v>
      </c>
      <c r="E28" s="11">
        <v>5.75</v>
      </c>
      <c r="F28" s="11" t="s">
        <v>103</v>
      </c>
      <c r="G28" s="11"/>
    </row>
    <row r="29" spans="1:7" x14ac:dyDescent="0.25">
      <c r="A29" s="13">
        <v>45703</v>
      </c>
      <c r="B29" s="11" t="s">
        <v>56</v>
      </c>
      <c r="C29" s="11" t="s">
        <v>219</v>
      </c>
      <c r="D29" s="11" t="s">
        <v>111</v>
      </c>
      <c r="E29" s="11">
        <v>4</v>
      </c>
      <c r="F29" s="11"/>
      <c r="G29" s="11"/>
    </row>
    <row r="30" spans="1:7" x14ac:dyDescent="0.25">
      <c r="A30" s="13">
        <v>45704</v>
      </c>
      <c r="B30" s="11" t="s">
        <v>56</v>
      </c>
      <c r="C30" s="11" t="s">
        <v>295</v>
      </c>
      <c r="D30" s="11" t="s">
        <v>100</v>
      </c>
      <c r="E30" s="11">
        <v>5.75</v>
      </c>
      <c r="F30" s="11" t="s">
        <v>103</v>
      </c>
      <c r="G30" s="11"/>
    </row>
    <row r="31" spans="1:7" x14ac:dyDescent="0.25">
      <c r="A31" s="13">
        <v>45704</v>
      </c>
      <c r="B31" s="11" t="s">
        <v>58</v>
      </c>
      <c r="C31" s="11" t="s">
        <v>219</v>
      </c>
      <c r="D31" s="11" t="s">
        <v>172</v>
      </c>
      <c r="E31" s="11">
        <v>5</v>
      </c>
      <c r="F31" s="11"/>
      <c r="G31" s="11"/>
    </row>
    <row r="32" spans="1:7" x14ac:dyDescent="0.25">
      <c r="A32" s="13">
        <v>45705</v>
      </c>
      <c r="B32" s="11" t="s">
        <v>56</v>
      </c>
      <c r="C32" s="11" t="s">
        <v>120</v>
      </c>
      <c r="D32" s="11" t="s">
        <v>132</v>
      </c>
      <c r="E32" s="11">
        <v>4</v>
      </c>
      <c r="F32" s="11"/>
      <c r="G32" s="11"/>
    </row>
    <row r="33" spans="1:7" x14ac:dyDescent="0.25">
      <c r="A33" s="13">
        <v>45705</v>
      </c>
      <c r="B33" s="11" t="s">
        <v>49</v>
      </c>
      <c r="C33" s="11" t="s">
        <v>99</v>
      </c>
      <c r="D33" s="11" t="s">
        <v>126</v>
      </c>
      <c r="E33" s="11">
        <v>4</v>
      </c>
      <c r="F33" s="11"/>
      <c r="G33" s="11"/>
    </row>
    <row r="34" spans="1:7" x14ac:dyDescent="0.25">
      <c r="A34" s="13">
        <v>45705</v>
      </c>
      <c r="B34" s="11" t="s">
        <v>58</v>
      </c>
      <c r="C34" s="11" t="s">
        <v>132</v>
      </c>
      <c r="D34" s="11" t="s">
        <v>177</v>
      </c>
      <c r="E34" s="11">
        <v>7</v>
      </c>
      <c r="F34" s="11" t="s">
        <v>103</v>
      </c>
      <c r="G34" s="11"/>
    </row>
    <row r="35" spans="1:7" x14ac:dyDescent="0.25">
      <c r="A35" s="13">
        <v>45705</v>
      </c>
      <c r="B35" s="11" t="s">
        <v>46</v>
      </c>
      <c r="C35" s="11" t="s">
        <v>126</v>
      </c>
      <c r="D35" s="11" t="s">
        <v>166</v>
      </c>
      <c r="E35" s="11">
        <v>6.5</v>
      </c>
      <c r="F35" s="11" t="s">
        <v>103</v>
      </c>
      <c r="G35" s="11"/>
    </row>
    <row r="36" spans="1:7" x14ac:dyDescent="0.25">
      <c r="A36" s="13">
        <v>45705</v>
      </c>
      <c r="B36" s="11" t="s">
        <v>53</v>
      </c>
      <c r="C36" s="11" t="s">
        <v>105</v>
      </c>
      <c r="D36" s="11" t="s">
        <v>172</v>
      </c>
      <c r="E36" s="11">
        <v>7.5</v>
      </c>
      <c r="F36" s="11" t="s">
        <v>103</v>
      </c>
      <c r="G36" s="11"/>
    </row>
    <row r="37" spans="1:7" x14ac:dyDescent="0.25">
      <c r="A37" s="13">
        <v>45706</v>
      </c>
      <c r="B37" s="11" t="s">
        <v>53</v>
      </c>
      <c r="C37" s="11" t="s">
        <v>104</v>
      </c>
      <c r="D37" s="11" t="s">
        <v>269</v>
      </c>
      <c r="E37" s="11">
        <v>9</v>
      </c>
      <c r="F37" s="11" t="s">
        <v>122</v>
      </c>
      <c r="G37" s="11"/>
    </row>
    <row r="38" spans="1:7" x14ac:dyDescent="0.25">
      <c r="A38" s="13">
        <v>45706</v>
      </c>
      <c r="B38" s="11" t="s">
        <v>58</v>
      </c>
      <c r="C38" s="11" t="s">
        <v>102</v>
      </c>
      <c r="D38" s="11" t="s">
        <v>185</v>
      </c>
      <c r="E38" s="11">
        <v>4.5</v>
      </c>
      <c r="F38" s="11"/>
      <c r="G38" s="11"/>
    </row>
    <row r="39" spans="1:7" x14ac:dyDescent="0.25">
      <c r="A39" s="13">
        <v>45707</v>
      </c>
      <c r="B39" s="11"/>
      <c r="C39" s="11"/>
      <c r="D39" s="11"/>
      <c r="E39" s="11"/>
      <c r="F39" s="11"/>
      <c r="G39" s="11"/>
    </row>
    <row r="40" spans="1:7" x14ac:dyDescent="0.25">
      <c r="A40" s="13">
        <v>45708</v>
      </c>
      <c r="B40" s="11" t="s">
        <v>56</v>
      </c>
      <c r="C40" s="11" t="s">
        <v>295</v>
      </c>
      <c r="D40" s="11" t="s">
        <v>100</v>
      </c>
      <c r="E40" s="11">
        <v>5.75</v>
      </c>
      <c r="F40" s="11" t="s">
        <v>103</v>
      </c>
      <c r="G40" s="11"/>
    </row>
    <row r="41" spans="1:7" x14ac:dyDescent="0.25">
      <c r="A41" s="13">
        <v>45709</v>
      </c>
      <c r="B41" s="11" t="s">
        <v>56</v>
      </c>
      <c r="C41" s="11" t="s">
        <v>295</v>
      </c>
      <c r="D41" s="11" t="s">
        <v>100</v>
      </c>
      <c r="E41" s="11">
        <v>5.75</v>
      </c>
      <c r="F41" s="11" t="s">
        <v>103</v>
      </c>
      <c r="G41" s="11"/>
    </row>
    <row r="42" spans="1:7" x14ac:dyDescent="0.25">
      <c r="A42" s="13">
        <v>45709</v>
      </c>
      <c r="B42" s="11" t="s">
        <v>49</v>
      </c>
      <c r="C42" s="11" t="s">
        <v>121</v>
      </c>
      <c r="D42" s="11" t="s">
        <v>107</v>
      </c>
      <c r="E42" s="11">
        <v>4.5</v>
      </c>
      <c r="F42" s="11"/>
      <c r="G42" s="11"/>
    </row>
    <row r="43" spans="1:7" x14ac:dyDescent="0.25">
      <c r="A43" s="13">
        <v>45710</v>
      </c>
      <c r="B43" s="11" t="s">
        <v>56</v>
      </c>
      <c r="C43" s="11" t="s">
        <v>295</v>
      </c>
      <c r="D43" s="11" t="s">
        <v>100</v>
      </c>
      <c r="E43" s="11">
        <v>5.75</v>
      </c>
      <c r="F43" s="11" t="s">
        <v>103</v>
      </c>
      <c r="G43" s="11"/>
    </row>
    <row r="44" spans="1:7" x14ac:dyDescent="0.25">
      <c r="A44" s="13">
        <v>45710</v>
      </c>
      <c r="B44" s="11" t="s">
        <v>56</v>
      </c>
      <c r="C44" s="11" t="s">
        <v>105</v>
      </c>
      <c r="D44" s="11" t="s">
        <v>172</v>
      </c>
      <c r="E44" s="11">
        <v>9</v>
      </c>
      <c r="F44" s="11" t="s">
        <v>122</v>
      </c>
      <c r="G44" s="11"/>
    </row>
    <row r="45" spans="1:7" x14ac:dyDescent="0.25">
      <c r="A45" s="13">
        <v>45710</v>
      </c>
      <c r="B45" s="11" t="s">
        <v>49</v>
      </c>
      <c r="C45" s="11" t="s">
        <v>188</v>
      </c>
      <c r="D45" s="11" t="s">
        <v>255</v>
      </c>
      <c r="E45" s="11">
        <v>4</v>
      </c>
      <c r="F45" s="11"/>
      <c r="G45" s="11"/>
    </row>
    <row r="46" spans="1:7" x14ac:dyDescent="0.25">
      <c r="A46" s="13">
        <v>45711</v>
      </c>
      <c r="B46" s="11" t="s">
        <v>56</v>
      </c>
      <c r="C46" s="11" t="s">
        <v>295</v>
      </c>
      <c r="D46" s="11" t="s">
        <v>100</v>
      </c>
      <c r="E46" s="11">
        <v>5.75</v>
      </c>
      <c r="F46" s="11" t="s">
        <v>103</v>
      </c>
      <c r="G46" s="11"/>
    </row>
    <row r="47" spans="1:7" x14ac:dyDescent="0.25">
      <c r="A47" s="13">
        <v>45711</v>
      </c>
      <c r="B47" s="11" t="s">
        <v>58</v>
      </c>
      <c r="C47" s="11" t="s">
        <v>219</v>
      </c>
      <c r="D47" s="11" t="s">
        <v>172</v>
      </c>
      <c r="E47" s="11">
        <v>5</v>
      </c>
      <c r="F47" s="11"/>
      <c r="G47" s="11"/>
    </row>
    <row r="48" spans="1:7" x14ac:dyDescent="0.25">
      <c r="A48" s="13">
        <v>45712</v>
      </c>
      <c r="B48" s="11" t="s">
        <v>56</v>
      </c>
      <c r="C48" s="11" t="s">
        <v>120</v>
      </c>
      <c r="D48" s="11" t="s">
        <v>132</v>
      </c>
      <c r="E48" s="11">
        <v>4</v>
      </c>
      <c r="F48" s="11"/>
      <c r="G48" s="11"/>
    </row>
    <row r="49" spans="1:7" x14ac:dyDescent="0.25">
      <c r="A49" s="13">
        <v>45712</v>
      </c>
      <c r="B49" s="11" t="s">
        <v>53</v>
      </c>
      <c r="C49" s="11" t="s">
        <v>298</v>
      </c>
      <c r="D49" s="11" t="s">
        <v>181</v>
      </c>
      <c r="E49" s="11">
        <v>5.5</v>
      </c>
      <c r="F49" s="11" t="s">
        <v>103</v>
      </c>
      <c r="G49" s="11"/>
    </row>
    <row r="50" spans="1:7" x14ac:dyDescent="0.25">
      <c r="A50" s="13">
        <v>45712</v>
      </c>
      <c r="B50" s="11" t="s">
        <v>58</v>
      </c>
      <c r="C50" s="11" t="s">
        <v>296</v>
      </c>
      <c r="D50" s="11" t="s">
        <v>255</v>
      </c>
      <c r="E50" s="11">
        <v>5.5</v>
      </c>
      <c r="F50" s="11" t="s">
        <v>103</v>
      </c>
      <c r="G50" s="11"/>
    </row>
    <row r="51" spans="1:7" x14ac:dyDescent="0.25">
      <c r="A51" s="13">
        <v>45713</v>
      </c>
      <c r="B51" s="11" t="s">
        <v>53</v>
      </c>
      <c r="C51" s="11" t="s">
        <v>126</v>
      </c>
      <c r="D51" s="11" t="s">
        <v>189</v>
      </c>
      <c r="E51" s="11">
        <v>10</v>
      </c>
      <c r="F51" s="11" t="s">
        <v>122</v>
      </c>
      <c r="G51" s="11"/>
    </row>
    <row r="52" spans="1:7" x14ac:dyDescent="0.25">
      <c r="A52" s="13">
        <v>45714</v>
      </c>
      <c r="B52" s="11" t="s">
        <v>56</v>
      </c>
      <c r="C52" s="11" t="s">
        <v>295</v>
      </c>
      <c r="D52" s="11" t="s">
        <v>100</v>
      </c>
      <c r="E52" s="11">
        <v>5.75</v>
      </c>
      <c r="F52" s="11" t="s">
        <v>103</v>
      </c>
      <c r="G52" s="11"/>
    </row>
    <row r="53" spans="1:7" x14ac:dyDescent="0.25">
      <c r="A53" s="13">
        <v>45714</v>
      </c>
      <c r="B53" s="11" t="s">
        <v>56</v>
      </c>
      <c r="C53" s="11" t="s">
        <v>142</v>
      </c>
      <c r="D53" s="11" t="s">
        <v>111</v>
      </c>
      <c r="E53" s="11">
        <v>4.5</v>
      </c>
      <c r="F53" s="11"/>
      <c r="G53" s="11"/>
    </row>
    <row r="54" spans="1:7" x14ac:dyDescent="0.25">
      <c r="A54" s="13">
        <v>45715</v>
      </c>
      <c r="B54" s="11" t="s">
        <v>56</v>
      </c>
      <c r="C54" s="11" t="s">
        <v>295</v>
      </c>
      <c r="D54" s="11" t="s">
        <v>100</v>
      </c>
      <c r="E54" s="11">
        <v>5.75</v>
      </c>
      <c r="F54" s="11" t="s">
        <v>103</v>
      </c>
      <c r="G54" s="11"/>
    </row>
    <row r="55" spans="1:7" x14ac:dyDescent="0.25">
      <c r="A55" s="13">
        <v>45715</v>
      </c>
      <c r="B55" s="11" t="s">
        <v>44</v>
      </c>
      <c r="C55" s="11" t="s">
        <v>105</v>
      </c>
      <c r="D55" s="11" t="s">
        <v>142</v>
      </c>
      <c r="E55" s="11">
        <v>2.5</v>
      </c>
      <c r="F55" s="11"/>
      <c r="G55" s="11"/>
    </row>
    <row r="56" spans="1:7" x14ac:dyDescent="0.25">
      <c r="A56" s="13">
        <v>45716</v>
      </c>
      <c r="B56" s="11" t="s">
        <v>56</v>
      </c>
      <c r="C56" s="11" t="s">
        <v>295</v>
      </c>
      <c r="D56" s="11" t="s">
        <v>100</v>
      </c>
      <c r="E56" s="11">
        <v>5.75</v>
      </c>
      <c r="F56" s="11" t="s">
        <v>103</v>
      </c>
      <c r="G56" s="11"/>
    </row>
    <row r="57" spans="1:7" x14ac:dyDescent="0.25">
      <c r="A57" s="13">
        <v>45716</v>
      </c>
      <c r="B57" s="11" t="s">
        <v>49</v>
      </c>
      <c r="C57" s="11" t="s">
        <v>296</v>
      </c>
      <c r="D57" s="11" t="s">
        <v>107</v>
      </c>
      <c r="E57" s="11">
        <v>5</v>
      </c>
      <c r="F57" s="11"/>
      <c r="G57" s="11"/>
    </row>
    <row r="58" spans="1:7" x14ac:dyDescent="0.25">
      <c r="A58" s="14" t="s">
        <v>299</v>
      </c>
      <c r="B58" s="11" t="s">
        <v>49</v>
      </c>
      <c r="C58" s="11" t="s">
        <v>121</v>
      </c>
      <c r="D58" s="11" t="s">
        <v>172</v>
      </c>
      <c r="E58" s="11">
        <v>5.5</v>
      </c>
      <c r="F58" s="11" t="s">
        <v>103</v>
      </c>
      <c r="G58" s="11"/>
    </row>
    <row r="59" spans="1:7" x14ac:dyDescent="0.25">
      <c r="A59" s="17" t="s">
        <v>299</v>
      </c>
      <c r="B59" s="16" t="s">
        <v>56</v>
      </c>
      <c r="C59" s="16" t="s">
        <v>188</v>
      </c>
      <c r="D59" s="16" t="s">
        <v>255</v>
      </c>
      <c r="E59" s="16">
        <v>4</v>
      </c>
      <c r="F59" s="16"/>
      <c r="G59" s="16"/>
    </row>
    <row r="60" spans="1:7" x14ac:dyDescent="0.25">
      <c r="A60" s="13">
        <v>45689</v>
      </c>
      <c r="B60" s="11" t="s">
        <v>98</v>
      </c>
      <c r="C60" s="11" t="s">
        <v>104</v>
      </c>
      <c r="D60" s="11" t="s">
        <v>105</v>
      </c>
      <c r="E60" s="11">
        <v>4</v>
      </c>
      <c r="F60" s="12"/>
      <c r="G60" s="11"/>
    </row>
    <row r="61" spans="1:7" x14ac:dyDescent="0.25">
      <c r="A61" s="13">
        <v>45689</v>
      </c>
      <c r="B61" s="11" t="s">
        <v>101</v>
      </c>
      <c r="C61" s="11" t="s">
        <v>104</v>
      </c>
      <c r="D61" s="11" t="s">
        <v>105</v>
      </c>
      <c r="E61" s="11">
        <v>4</v>
      </c>
      <c r="F61" s="12"/>
      <c r="G61" s="11"/>
    </row>
    <row r="62" spans="1:7" x14ac:dyDescent="0.25">
      <c r="A62" s="13">
        <v>45689</v>
      </c>
      <c r="B62" s="11" t="s">
        <v>106</v>
      </c>
      <c r="C62" s="11" t="s">
        <v>102</v>
      </c>
      <c r="D62" s="11" t="s">
        <v>107</v>
      </c>
      <c r="E62" s="11">
        <v>4.5</v>
      </c>
      <c r="F62" s="11"/>
      <c r="G62" s="11"/>
    </row>
    <row r="63" spans="1:7" x14ac:dyDescent="0.25">
      <c r="A63" s="13">
        <v>45689</v>
      </c>
      <c r="B63" s="11" t="s">
        <v>108</v>
      </c>
      <c r="C63" s="11" t="s">
        <v>102</v>
      </c>
      <c r="D63" s="11" t="s">
        <v>107</v>
      </c>
      <c r="E63" s="11">
        <v>4.5</v>
      </c>
      <c r="F63" s="11"/>
      <c r="G63" s="11"/>
    </row>
    <row r="64" spans="1:7" x14ac:dyDescent="0.25">
      <c r="A64" s="13">
        <v>45690</v>
      </c>
      <c r="B64" s="11" t="s">
        <v>109</v>
      </c>
      <c r="C64" s="11" t="s">
        <v>99</v>
      </c>
      <c r="D64" s="11" t="s">
        <v>105</v>
      </c>
      <c r="E64" s="11">
        <v>5.5</v>
      </c>
      <c r="F64" s="11" t="s">
        <v>103</v>
      </c>
      <c r="G64" s="11"/>
    </row>
    <row r="65" spans="1:7" x14ac:dyDescent="0.25">
      <c r="A65" s="13">
        <v>45691</v>
      </c>
      <c r="B65" s="11" t="s">
        <v>110</v>
      </c>
      <c r="C65" s="11" t="s">
        <v>100</v>
      </c>
      <c r="D65" s="11" t="s">
        <v>111</v>
      </c>
      <c r="E65" s="11">
        <v>7.5</v>
      </c>
      <c r="F65" s="11" t="s">
        <v>103</v>
      </c>
      <c r="G65" s="11"/>
    </row>
    <row r="66" spans="1:7" x14ac:dyDescent="0.25">
      <c r="A66" s="13">
        <v>45691</v>
      </c>
      <c r="B66" s="11" t="s">
        <v>112</v>
      </c>
      <c r="C66" s="11" t="s">
        <v>100</v>
      </c>
      <c r="D66" s="11" t="s">
        <v>111</v>
      </c>
      <c r="E66" s="11">
        <v>7.5</v>
      </c>
      <c r="F66" s="11" t="s">
        <v>103</v>
      </c>
      <c r="G66" s="11"/>
    </row>
    <row r="67" spans="1:7" x14ac:dyDescent="0.25">
      <c r="A67" s="13">
        <v>45691</v>
      </c>
      <c r="B67" s="11" t="s">
        <v>113</v>
      </c>
      <c r="C67" s="11" t="s">
        <v>100</v>
      </c>
      <c r="D67" s="11" t="s">
        <v>111</v>
      </c>
      <c r="E67" s="11">
        <v>7.5</v>
      </c>
      <c r="F67" s="11" t="s">
        <v>103</v>
      </c>
      <c r="G67" s="11"/>
    </row>
    <row r="68" spans="1:7" x14ac:dyDescent="0.25">
      <c r="A68" s="13">
        <v>45691</v>
      </c>
      <c r="B68" s="11" t="s">
        <v>114</v>
      </c>
      <c r="C68" s="11" t="s">
        <v>100</v>
      </c>
      <c r="D68" s="11" t="s">
        <v>111</v>
      </c>
      <c r="E68" s="11">
        <v>7.5</v>
      </c>
      <c r="F68" s="11" t="s">
        <v>103</v>
      </c>
      <c r="G68" s="11"/>
    </row>
    <row r="69" spans="1:7" x14ac:dyDescent="0.25">
      <c r="A69" s="13">
        <v>45691</v>
      </c>
      <c r="B69" s="11" t="s">
        <v>115</v>
      </c>
      <c r="C69" s="11" t="s">
        <v>100</v>
      </c>
      <c r="D69" s="11" t="s">
        <v>111</v>
      </c>
      <c r="E69" s="11">
        <v>7.5</v>
      </c>
      <c r="F69" s="11" t="s">
        <v>103</v>
      </c>
      <c r="G69" s="11"/>
    </row>
    <row r="70" spans="1:7" x14ac:dyDescent="0.25">
      <c r="A70" s="13">
        <v>45691</v>
      </c>
      <c r="B70" s="11" t="s">
        <v>116</v>
      </c>
      <c r="C70" s="11" t="s">
        <v>100</v>
      </c>
      <c r="D70" s="11" t="s">
        <v>111</v>
      </c>
      <c r="E70" s="11">
        <v>7.5</v>
      </c>
      <c r="F70" s="11" t="s">
        <v>103</v>
      </c>
      <c r="G70" s="11"/>
    </row>
    <row r="71" spans="1:7" x14ac:dyDescent="0.25">
      <c r="A71" s="13">
        <v>45692</v>
      </c>
      <c r="B71" s="11" t="s">
        <v>117</v>
      </c>
      <c r="C71" s="11" t="s">
        <v>118</v>
      </c>
      <c r="D71" s="11" t="s">
        <v>102</v>
      </c>
      <c r="E71" s="11">
        <v>5.5</v>
      </c>
      <c r="F71" s="11" t="s">
        <v>103</v>
      </c>
      <c r="G71" s="11"/>
    </row>
    <row r="72" spans="1:7" x14ac:dyDescent="0.25">
      <c r="A72" s="13">
        <v>45692</v>
      </c>
      <c r="B72" s="11" t="s">
        <v>117</v>
      </c>
      <c r="C72" s="11" t="s">
        <v>118</v>
      </c>
      <c r="D72" s="11" t="s">
        <v>102</v>
      </c>
      <c r="E72" s="11">
        <v>5.5</v>
      </c>
      <c r="F72" s="11" t="s">
        <v>103</v>
      </c>
      <c r="G72" s="11"/>
    </row>
    <row r="73" spans="1:7" x14ac:dyDescent="0.25">
      <c r="A73" s="13">
        <v>45707</v>
      </c>
      <c r="B73" s="11" t="s">
        <v>119</v>
      </c>
      <c r="C73" s="11" t="s">
        <v>120</v>
      </c>
      <c r="D73" s="11" t="s">
        <v>121</v>
      </c>
      <c r="E73" s="11">
        <v>8</v>
      </c>
      <c r="F73" s="11" t="s">
        <v>122</v>
      </c>
      <c r="G73" s="11"/>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00FAC-193C-4582-A2EB-F29062B13817}">
  <sheetPr>
    <tabColor theme="9" tint="0.39997558519241921"/>
  </sheetPr>
  <dimension ref="A1:G68"/>
  <sheetViews>
    <sheetView workbookViewId="0">
      <selection activeCell="A2" sqref="A1:B1048576"/>
    </sheetView>
  </sheetViews>
  <sheetFormatPr defaultRowHeight="15" x14ac:dyDescent="0.25"/>
  <cols>
    <col min="1" max="1" width="9.7109375" customWidth="1"/>
    <col min="2" max="2" width="85.42578125" customWidth="1"/>
    <col min="3" max="3" width="13.28515625" customWidth="1"/>
    <col min="4" max="4" width="13.85546875" customWidth="1"/>
    <col min="5" max="5" width="19.140625" customWidth="1"/>
    <col min="6" max="6" width="26.28515625" customWidth="1"/>
    <col min="7" max="7" width="20" customWidth="1"/>
    <col min="9" max="10" width="19.28515625" customWidth="1"/>
  </cols>
  <sheetData>
    <row r="1" spans="1:7" x14ac:dyDescent="0.25">
      <c r="A1" s="9" t="s">
        <v>83</v>
      </c>
      <c r="B1" s="9" t="s">
        <v>84</v>
      </c>
      <c r="C1" s="9" t="s">
        <v>85</v>
      </c>
      <c r="D1" s="9" t="s">
        <v>86</v>
      </c>
      <c r="E1" s="9" t="s">
        <v>16</v>
      </c>
      <c r="F1" s="9" t="s">
        <v>87</v>
      </c>
      <c r="G1" s="9" t="s">
        <v>25</v>
      </c>
    </row>
    <row r="2" spans="1:7" x14ac:dyDescent="0.25">
      <c r="A2" s="13">
        <v>45717</v>
      </c>
      <c r="B2" s="11" t="s">
        <v>56</v>
      </c>
      <c r="C2" s="11" t="s">
        <v>295</v>
      </c>
      <c r="D2" s="11" t="s">
        <v>100</v>
      </c>
      <c r="E2" s="11">
        <v>5.75</v>
      </c>
      <c r="F2" s="11" t="s">
        <v>103</v>
      </c>
      <c r="G2" s="12">
        <f>SUM(E:E)</f>
        <v>370.5</v>
      </c>
    </row>
    <row r="3" spans="1:7" x14ac:dyDescent="0.25">
      <c r="A3" s="13">
        <v>45717</v>
      </c>
      <c r="B3" s="11" t="s">
        <v>49</v>
      </c>
      <c r="C3" s="11" t="s">
        <v>296</v>
      </c>
      <c r="D3" s="11" t="s">
        <v>183</v>
      </c>
      <c r="E3" s="11">
        <v>6.5</v>
      </c>
      <c r="F3" s="11" t="s">
        <v>103</v>
      </c>
    </row>
    <row r="4" spans="1:7" x14ac:dyDescent="0.25">
      <c r="A4" s="13">
        <v>45717</v>
      </c>
      <c r="B4" s="11" t="s">
        <v>56</v>
      </c>
      <c r="C4" s="11" t="s">
        <v>188</v>
      </c>
      <c r="D4" s="11" t="s">
        <v>172</v>
      </c>
      <c r="E4" s="11">
        <v>4.5</v>
      </c>
      <c r="F4" s="11"/>
    </row>
    <row r="5" spans="1:7" x14ac:dyDescent="0.25">
      <c r="A5" s="13">
        <v>45718</v>
      </c>
      <c r="B5" s="11" t="s">
        <v>56</v>
      </c>
      <c r="C5" s="11" t="s">
        <v>120</v>
      </c>
      <c r="D5" s="11" t="s">
        <v>132</v>
      </c>
      <c r="E5" s="11">
        <v>4</v>
      </c>
      <c r="F5" s="11"/>
    </row>
    <row r="6" spans="1:7" x14ac:dyDescent="0.25">
      <c r="A6" s="13">
        <v>45718</v>
      </c>
      <c r="B6" s="11" t="s">
        <v>46</v>
      </c>
      <c r="C6" s="11" t="s">
        <v>104</v>
      </c>
      <c r="D6" s="11" t="s">
        <v>121</v>
      </c>
      <c r="E6" s="11">
        <v>5.5</v>
      </c>
      <c r="F6" s="11" t="s">
        <v>103</v>
      </c>
    </row>
    <row r="7" spans="1:7" x14ac:dyDescent="0.25">
      <c r="A7" s="13">
        <v>45718</v>
      </c>
      <c r="B7" s="11" t="s">
        <v>58</v>
      </c>
      <c r="C7" s="11" t="s">
        <v>132</v>
      </c>
      <c r="D7" s="11" t="s">
        <v>155</v>
      </c>
      <c r="E7" s="11">
        <v>6.5</v>
      </c>
      <c r="F7" s="11" t="s">
        <v>103</v>
      </c>
    </row>
    <row r="8" spans="1:7" x14ac:dyDescent="0.25">
      <c r="A8" s="13">
        <v>45719</v>
      </c>
      <c r="B8" s="11"/>
      <c r="C8" s="11"/>
      <c r="D8" s="11"/>
      <c r="E8" s="11"/>
      <c r="F8" s="11"/>
    </row>
    <row r="9" spans="1:7" x14ac:dyDescent="0.25">
      <c r="A9" s="13">
        <v>45720</v>
      </c>
      <c r="B9" s="11" t="s">
        <v>56</v>
      </c>
      <c r="C9" s="11" t="s">
        <v>295</v>
      </c>
      <c r="D9" s="11" t="s">
        <v>100</v>
      </c>
      <c r="E9" s="11">
        <v>5.75</v>
      </c>
      <c r="F9" s="11" t="s">
        <v>103</v>
      </c>
    </row>
    <row r="10" spans="1:7" x14ac:dyDescent="0.25">
      <c r="A10" s="13">
        <v>45721</v>
      </c>
      <c r="B10" s="11" t="s">
        <v>56</v>
      </c>
      <c r="C10" s="11" t="s">
        <v>295</v>
      </c>
      <c r="D10" s="11" t="s">
        <v>100</v>
      </c>
      <c r="E10" s="11">
        <v>5.75</v>
      </c>
      <c r="F10" s="11" t="s">
        <v>103</v>
      </c>
    </row>
    <row r="11" spans="1:7" x14ac:dyDescent="0.25">
      <c r="A11" s="13">
        <v>45721</v>
      </c>
      <c r="B11" s="11" t="s">
        <v>56</v>
      </c>
      <c r="C11" s="11" t="s">
        <v>121</v>
      </c>
      <c r="D11" s="11" t="s">
        <v>269</v>
      </c>
      <c r="E11" s="11">
        <v>4</v>
      </c>
      <c r="F11" s="11"/>
    </row>
    <row r="12" spans="1:7" x14ac:dyDescent="0.25">
      <c r="A12" s="13">
        <v>45722</v>
      </c>
      <c r="B12" s="11" t="s">
        <v>56</v>
      </c>
      <c r="C12" s="11" t="s">
        <v>99</v>
      </c>
      <c r="D12" s="11" t="s">
        <v>100</v>
      </c>
      <c r="E12" s="11">
        <v>5</v>
      </c>
      <c r="F12" s="11"/>
    </row>
    <row r="13" spans="1:7" x14ac:dyDescent="0.25">
      <c r="A13" s="13">
        <v>45722</v>
      </c>
      <c r="B13" s="11" t="s">
        <v>56</v>
      </c>
      <c r="C13" s="11" t="s">
        <v>296</v>
      </c>
      <c r="D13" s="11" t="s">
        <v>107</v>
      </c>
      <c r="E13" s="11">
        <v>5</v>
      </c>
      <c r="F13" s="11"/>
    </row>
    <row r="14" spans="1:7" x14ac:dyDescent="0.25">
      <c r="A14" s="13">
        <v>45723</v>
      </c>
      <c r="B14" s="11" t="s">
        <v>56</v>
      </c>
      <c r="C14" s="11" t="s">
        <v>295</v>
      </c>
      <c r="D14" s="11" t="s">
        <v>100</v>
      </c>
      <c r="E14" s="11">
        <v>5.75</v>
      </c>
      <c r="F14" s="11" t="s">
        <v>103</v>
      </c>
    </row>
    <row r="15" spans="1:7" x14ac:dyDescent="0.25">
      <c r="A15" s="13">
        <v>45723</v>
      </c>
      <c r="B15" s="11" t="s">
        <v>56</v>
      </c>
      <c r="C15" s="11" t="s">
        <v>188</v>
      </c>
      <c r="D15" s="11" t="s">
        <v>255</v>
      </c>
      <c r="E15" s="11">
        <v>4</v>
      </c>
      <c r="F15" s="11"/>
    </row>
    <row r="16" spans="1:7" x14ac:dyDescent="0.25">
      <c r="A16" s="13">
        <v>45724</v>
      </c>
      <c r="B16" s="11" t="s">
        <v>56</v>
      </c>
      <c r="C16" s="11" t="s">
        <v>295</v>
      </c>
      <c r="D16" s="11" t="s">
        <v>100</v>
      </c>
      <c r="E16" s="11">
        <v>5.75</v>
      </c>
      <c r="F16" s="11" t="s">
        <v>103</v>
      </c>
    </row>
    <row r="17" spans="1:6" x14ac:dyDescent="0.25">
      <c r="A17" s="13">
        <v>45724</v>
      </c>
      <c r="B17" s="11" t="s">
        <v>58</v>
      </c>
      <c r="C17" s="11" t="s">
        <v>219</v>
      </c>
      <c r="D17" s="11" t="s">
        <v>172</v>
      </c>
      <c r="E17" s="11">
        <v>5</v>
      </c>
      <c r="F17" s="11"/>
    </row>
    <row r="18" spans="1:6" x14ac:dyDescent="0.25">
      <c r="A18" s="13">
        <v>45725</v>
      </c>
      <c r="B18" s="11" t="s">
        <v>56</v>
      </c>
      <c r="C18" s="11" t="s">
        <v>120</v>
      </c>
      <c r="D18" s="11" t="s">
        <v>132</v>
      </c>
      <c r="E18" s="11">
        <v>4</v>
      </c>
      <c r="F18" s="11"/>
    </row>
    <row r="19" spans="1:6" x14ac:dyDescent="0.25">
      <c r="A19" s="13">
        <v>45725</v>
      </c>
      <c r="B19" s="11" t="s">
        <v>46</v>
      </c>
      <c r="C19" s="11" t="s">
        <v>132</v>
      </c>
      <c r="D19" s="11" t="s">
        <v>155</v>
      </c>
      <c r="E19" s="11">
        <v>6.5</v>
      </c>
      <c r="F19" s="11" t="s">
        <v>103</v>
      </c>
    </row>
    <row r="20" spans="1:6" x14ac:dyDescent="0.25">
      <c r="A20" s="13">
        <v>45725</v>
      </c>
      <c r="B20" s="11" t="s">
        <v>58</v>
      </c>
      <c r="C20" s="11" t="s">
        <v>132</v>
      </c>
      <c r="D20" s="11" t="s">
        <v>226</v>
      </c>
      <c r="E20" s="11">
        <v>12</v>
      </c>
      <c r="F20" s="11" t="s">
        <v>122</v>
      </c>
    </row>
    <row r="21" spans="1:6" x14ac:dyDescent="0.25">
      <c r="A21" s="13">
        <v>45725</v>
      </c>
      <c r="B21" s="11" t="s">
        <v>53</v>
      </c>
      <c r="C21" s="11" t="s">
        <v>100</v>
      </c>
      <c r="D21" s="11" t="s">
        <v>166</v>
      </c>
      <c r="E21" s="11">
        <v>5.5</v>
      </c>
      <c r="F21" s="11" t="s">
        <v>103</v>
      </c>
    </row>
    <row r="22" spans="1:6" x14ac:dyDescent="0.25">
      <c r="A22" s="13">
        <v>45725</v>
      </c>
      <c r="B22" s="11" t="s">
        <v>48</v>
      </c>
      <c r="C22" s="11" t="s">
        <v>105</v>
      </c>
      <c r="D22" s="11" t="s">
        <v>226</v>
      </c>
      <c r="E22" s="11">
        <v>9</v>
      </c>
      <c r="F22" s="11" t="s">
        <v>122</v>
      </c>
    </row>
    <row r="23" spans="1:6" x14ac:dyDescent="0.25">
      <c r="A23" s="13">
        <v>45726</v>
      </c>
      <c r="B23" s="11" t="s">
        <v>58</v>
      </c>
      <c r="C23" s="11" t="s">
        <v>118</v>
      </c>
      <c r="D23" s="11" t="s">
        <v>185</v>
      </c>
      <c r="E23" s="11">
        <v>6</v>
      </c>
      <c r="F23" s="11" t="s">
        <v>103</v>
      </c>
    </row>
    <row r="24" spans="1:6" x14ac:dyDescent="0.25">
      <c r="A24" s="13">
        <v>45727</v>
      </c>
      <c r="B24" s="11" t="s">
        <v>56</v>
      </c>
      <c r="C24" s="11" t="s">
        <v>104</v>
      </c>
      <c r="D24" s="11" t="s">
        <v>100</v>
      </c>
      <c r="E24" s="11">
        <v>3</v>
      </c>
      <c r="F24" s="11"/>
    </row>
    <row r="25" spans="1:6" x14ac:dyDescent="0.25">
      <c r="A25" s="13">
        <v>45727</v>
      </c>
      <c r="B25" s="11" t="s">
        <v>51</v>
      </c>
      <c r="C25" s="11" t="s">
        <v>296</v>
      </c>
      <c r="D25" s="11" t="s">
        <v>111</v>
      </c>
      <c r="E25" s="11">
        <v>5.5</v>
      </c>
      <c r="F25" s="11"/>
    </row>
    <row r="26" spans="1:6" x14ac:dyDescent="0.25">
      <c r="A26" s="13">
        <v>45728</v>
      </c>
      <c r="B26" s="11" t="s">
        <v>56</v>
      </c>
      <c r="C26" s="11" t="s">
        <v>99</v>
      </c>
      <c r="D26" s="11" t="s">
        <v>100</v>
      </c>
      <c r="E26" s="11">
        <v>5</v>
      </c>
      <c r="F26" s="11"/>
    </row>
    <row r="27" spans="1:6" x14ac:dyDescent="0.25">
      <c r="A27" s="13">
        <v>45729</v>
      </c>
      <c r="B27" s="11" t="s">
        <v>56</v>
      </c>
      <c r="C27" s="11" t="s">
        <v>295</v>
      </c>
      <c r="D27" s="11" t="s">
        <v>100</v>
      </c>
      <c r="E27" s="11">
        <v>5.75</v>
      </c>
      <c r="F27" s="11" t="s">
        <v>103</v>
      </c>
    </row>
    <row r="28" spans="1:6" x14ac:dyDescent="0.25">
      <c r="A28" s="13">
        <v>45729</v>
      </c>
      <c r="B28" s="11" t="s">
        <v>49</v>
      </c>
      <c r="C28" s="11" t="s">
        <v>296</v>
      </c>
      <c r="D28" s="11" t="s">
        <v>107</v>
      </c>
      <c r="E28" s="11">
        <v>5</v>
      </c>
      <c r="F28" s="11"/>
    </row>
    <row r="29" spans="1:6" x14ac:dyDescent="0.25">
      <c r="A29" s="13">
        <v>45730</v>
      </c>
      <c r="B29" s="11" t="s">
        <v>53</v>
      </c>
      <c r="C29" s="11" t="s">
        <v>130</v>
      </c>
      <c r="D29" s="11" t="s">
        <v>100</v>
      </c>
      <c r="E29" s="11">
        <v>6.5</v>
      </c>
      <c r="F29" s="11"/>
    </row>
    <row r="30" spans="1:6" x14ac:dyDescent="0.25">
      <c r="A30" s="13">
        <v>45730</v>
      </c>
      <c r="B30" s="11" t="s">
        <v>56</v>
      </c>
      <c r="C30" s="11" t="s">
        <v>295</v>
      </c>
      <c r="D30" s="11" t="s">
        <v>100</v>
      </c>
      <c r="E30" s="11">
        <v>5.75</v>
      </c>
      <c r="F30" s="11" t="s">
        <v>103</v>
      </c>
    </row>
    <row r="31" spans="1:6" x14ac:dyDescent="0.25">
      <c r="A31" s="13">
        <v>45730</v>
      </c>
      <c r="B31" s="11" t="s">
        <v>53</v>
      </c>
      <c r="C31" s="11" t="s">
        <v>121</v>
      </c>
      <c r="D31" s="11" t="s">
        <v>177</v>
      </c>
      <c r="E31" s="11">
        <v>2.5</v>
      </c>
      <c r="F31" s="11"/>
    </row>
    <row r="32" spans="1:6" x14ac:dyDescent="0.25">
      <c r="A32" s="13">
        <v>45730</v>
      </c>
      <c r="B32" s="11" t="s">
        <v>56</v>
      </c>
      <c r="C32" s="11" t="s">
        <v>188</v>
      </c>
      <c r="D32" s="11" t="s">
        <v>255</v>
      </c>
      <c r="E32" s="11">
        <v>4</v>
      </c>
      <c r="F32" s="11"/>
    </row>
    <row r="33" spans="1:6" x14ac:dyDescent="0.25">
      <c r="A33" s="13">
        <v>45731</v>
      </c>
      <c r="B33" s="11" t="s">
        <v>56</v>
      </c>
      <c r="C33" s="11" t="s">
        <v>295</v>
      </c>
      <c r="D33" s="11" t="s">
        <v>100</v>
      </c>
      <c r="E33" s="11">
        <v>5.75</v>
      </c>
      <c r="F33" s="11" t="s">
        <v>103</v>
      </c>
    </row>
    <row r="34" spans="1:6" x14ac:dyDescent="0.25">
      <c r="A34" s="13">
        <v>45731</v>
      </c>
      <c r="B34" s="11" t="s">
        <v>51</v>
      </c>
      <c r="C34" s="11" t="s">
        <v>126</v>
      </c>
      <c r="D34" s="11" t="s">
        <v>111</v>
      </c>
      <c r="E34" s="11">
        <v>8</v>
      </c>
      <c r="F34" s="11" t="s">
        <v>122</v>
      </c>
    </row>
    <row r="35" spans="1:6" x14ac:dyDescent="0.25">
      <c r="A35" s="13">
        <v>45731</v>
      </c>
      <c r="B35" s="11" t="s">
        <v>58</v>
      </c>
      <c r="C35" s="11" t="s">
        <v>219</v>
      </c>
      <c r="D35" s="11" t="s">
        <v>172</v>
      </c>
      <c r="E35" s="11">
        <v>5</v>
      </c>
      <c r="F35" s="11"/>
    </row>
    <row r="36" spans="1:6" x14ac:dyDescent="0.25">
      <c r="A36" s="13">
        <v>45732</v>
      </c>
      <c r="B36" s="11" t="s">
        <v>56</v>
      </c>
      <c r="C36" s="11" t="s">
        <v>120</v>
      </c>
      <c r="D36" s="11" t="s">
        <v>132</v>
      </c>
      <c r="E36" s="11">
        <v>4</v>
      </c>
      <c r="F36" s="11"/>
    </row>
    <row r="37" spans="1:6" x14ac:dyDescent="0.25">
      <c r="A37" s="13">
        <v>45732</v>
      </c>
      <c r="B37" s="11" t="s">
        <v>53</v>
      </c>
      <c r="C37" s="11" t="s">
        <v>104</v>
      </c>
      <c r="D37" s="11" t="s">
        <v>226</v>
      </c>
      <c r="E37" s="11">
        <v>13</v>
      </c>
      <c r="F37" s="11" t="s">
        <v>122</v>
      </c>
    </row>
    <row r="38" spans="1:6" x14ac:dyDescent="0.25">
      <c r="A38" s="13">
        <v>45732</v>
      </c>
      <c r="B38" s="11" t="s">
        <v>48</v>
      </c>
      <c r="C38" s="11" t="s">
        <v>132</v>
      </c>
      <c r="D38" s="11" t="s">
        <v>155</v>
      </c>
      <c r="E38" s="11">
        <v>6.5</v>
      </c>
      <c r="F38" s="11" t="s">
        <v>103</v>
      </c>
    </row>
    <row r="39" spans="1:6" x14ac:dyDescent="0.25">
      <c r="A39" s="13">
        <v>45732</v>
      </c>
      <c r="B39" s="11" t="s">
        <v>58</v>
      </c>
      <c r="C39" s="11" t="s">
        <v>100</v>
      </c>
      <c r="D39" s="11" t="s">
        <v>172</v>
      </c>
      <c r="E39" s="11">
        <v>8</v>
      </c>
      <c r="F39" s="11" t="s">
        <v>122</v>
      </c>
    </row>
    <row r="40" spans="1:6" x14ac:dyDescent="0.25">
      <c r="A40" s="13">
        <v>45733</v>
      </c>
      <c r="B40" s="11" t="s">
        <v>58</v>
      </c>
      <c r="C40" s="11" t="s">
        <v>118</v>
      </c>
      <c r="D40" s="11" t="s">
        <v>111</v>
      </c>
      <c r="E40" s="11">
        <v>11</v>
      </c>
      <c r="F40" s="11" t="s">
        <v>122</v>
      </c>
    </row>
    <row r="41" spans="1:6" x14ac:dyDescent="0.25">
      <c r="A41" s="13">
        <v>45733</v>
      </c>
      <c r="B41" s="11" t="s">
        <v>53</v>
      </c>
      <c r="C41" s="11" t="s">
        <v>104</v>
      </c>
      <c r="D41" s="11" t="s">
        <v>269</v>
      </c>
      <c r="E41" s="11">
        <v>9</v>
      </c>
      <c r="F41" s="11" t="s">
        <v>122</v>
      </c>
    </row>
    <row r="42" spans="1:6" x14ac:dyDescent="0.25">
      <c r="A42" s="13">
        <v>45734</v>
      </c>
      <c r="B42" s="11" t="s">
        <v>56</v>
      </c>
      <c r="C42" s="11" t="s">
        <v>295</v>
      </c>
      <c r="D42" s="11" t="s">
        <v>100</v>
      </c>
      <c r="E42" s="11">
        <v>5.75</v>
      </c>
      <c r="F42" s="11" t="s">
        <v>103</v>
      </c>
    </row>
    <row r="43" spans="1:6" x14ac:dyDescent="0.25">
      <c r="A43" s="13">
        <v>45735</v>
      </c>
      <c r="B43" s="11" t="s">
        <v>56</v>
      </c>
      <c r="C43" s="11" t="s">
        <v>295</v>
      </c>
      <c r="D43" s="11" t="s">
        <v>100</v>
      </c>
      <c r="E43" s="11">
        <v>5.75</v>
      </c>
      <c r="F43" s="11" t="s">
        <v>103</v>
      </c>
    </row>
    <row r="44" spans="1:6" x14ac:dyDescent="0.25">
      <c r="A44" s="13">
        <v>45736</v>
      </c>
      <c r="B44" s="11" t="s">
        <v>56</v>
      </c>
      <c r="C44" s="11" t="s">
        <v>295</v>
      </c>
      <c r="D44" s="11" t="s">
        <v>100</v>
      </c>
      <c r="E44" s="11">
        <v>5.75</v>
      </c>
      <c r="F44" s="11" t="s">
        <v>103</v>
      </c>
    </row>
    <row r="45" spans="1:6" x14ac:dyDescent="0.25">
      <c r="A45" s="13">
        <v>45736</v>
      </c>
      <c r="B45" s="11" t="s">
        <v>53</v>
      </c>
      <c r="C45" s="11" t="s">
        <v>121</v>
      </c>
      <c r="D45" s="11" t="s">
        <v>111</v>
      </c>
      <c r="E45" s="11">
        <v>5</v>
      </c>
      <c r="F45" s="11"/>
    </row>
    <row r="46" spans="1:6" x14ac:dyDescent="0.25">
      <c r="A46" s="13">
        <v>45737</v>
      </c>
      <c r="B46" s="11" t="s">
        <v>56</v>
      </c>
      <c r="C46" s="11" t="s">
        <v>295</v>
      </c>
      <c r="D46" s="11" t="s">
        <v>100</v>
      </c>
      <c r="E46" s="11">
        <v>5.75</v>
      </c>
      <c r="F46" s="11" t="s">
        <v>103</v>
      </c>
    </row>
    <row r="47" spans="1:6" x14ac:dyDescent="0.25">
      <c r="A47" s="13">
        <v>45737</v>
      </c>
      <c r="B47" s="11" t="s">
        <v>49</v>
      </c>
      <c r="C47" s="11" t="s">
        <v>296</v>
      </c>
      <c r="D47" s="11" t="s">
        <v>188</v>
      </c>
      <c r="E47" s="11">
        <v>2</v>
      </c>
      <c r="F47" s="11"/>
    </row>
    <row r="48" spans="1:6" x14ac:dyDescent="0.25">
      <c r="A48" s="13">
        <v>45737</v>
      </c>
      <c r="B48" s="11" t="s">
        <v>56</v>
      </c>
      <c r="C48" s="11" t="s">
        <v>188</v>
      </c>
      <c r="D48" s="11" t="s">
        <v>255</v>
      </c>
      <c r="E48" s="11"/>
      <c r="F48" s="11"/>
    </row>
    <row r="49" spans="1:6" x14ac:dyDescent="0.25">
      <c r="A49" s="13">
        <v>45738</v>
      </c>
      <c r="B49" s="11" t="s">
        <v>56</v>
      </c>
      <c r="C49" s="11" t="s">
        <v>295</v>
      </c>
      <c r="D49" s="11" t="s">
        <v>100</v>
      </c>
      <c r="E49" s="11">
        <v>5.75</v>
      </c>
      <c r="F49" s="11" t="s">
        <v>103</v>
      </c>
    </row>
    <row r="50" spans="1:6" x14ac:dyDescent="0.25">
      <c r="A50" s="13">
        <v>45738</v>
      </c>
      <c r="B50" s="11" t="s">
        <v>58</v>
      </c>
      <c r="C50" s="11" t="s">
        <v>219</v>
      </c>
      <c r="D50" s="11" t="s">
        <v>172</v>
      </c>
      <c r="E50" s="11">
        <v>5</v>
      </c>
      <c r="F50" s="11"/>
    </row>
    <row r="51" spans="1:6" x14ac:dyDescent="0.25">
      <c r="A51" s="13">
        <v>45739</v>
      </c>
      <c r="B51" s="11" t="s">
        <v>56</v>
      </c>
      <c r="C51" s="11" t="s">
        <v>120</v>
      </c>
      <c r="D51" s="11" t="s">
        <v>132</v>
      </c>
      <c r="E51" s="11">
        <v>4</v>
      </c>
      <c r="F51" s="11"/>
    </row>
    <row r="52" spans="1:6" x14ac:dyDescent="0.25">
      <c r="A52" s="13">
        <v>45739</v>
      </c>
      <c r="B52" s="11" t="s">
        <v>46</v>
      </c>
      <c r="C52" s="11" t="s">
        <v>223</v>
      </c>
      <c r="D52" s="11" t="s">
        <v>185</v>
      </c>
      <c r="E52" s="11">
        <v>5.5</v>
      </c>
      <c r="F52" s="11" t="s">
        <v>103</v>
      </c>
    </row>
    <row r="53" spans="1:6" x14ac:dyDescent="0.25">
      <c r="A53" s="13">
        <v>45739</v>
      </c>
      <c r="B53" s="11" t="s">
        <v>58</v>
      </c>
      <c r="C53" s="11" t="s">
        <v>219</v>
      </c>
      <c r="D53" s="11" t="s">
        <v>172</v>
      </c>
      <c r="E53" s="11">
        <v>5</v>
      </c>
      <c r="F53" s="11"/>
    </row>
    <row r="54" spans="1:6" x14ac:dyDescent="0.25">
      <c r="A54" s="13">
        <v>45740</v>
      </c>
      <c r="B54" s="11" t="s">
        <v>53</v>
      </c>
      <c r="C54" s="11" t="s">
        <v>120</v>
      </c>
      <c r="D54" s="11" t="s">
        <v>102</v>
      </c>
      <c r="E54" s="11">
        <v>7.5</v>
      </c>
      <c r="F54" s="11"/>
    </row>
    <row r="55" spans="1:6" x14ac:dyDescent="0.25">
      <c r="A55" s="13">
        <v>45741</v>
      </c>
      <c r="B55" s="11" t="s">
        <v>56</v>
      </c>
      <c r="C55" s="11" t="s">
        <v>295</v>
      </c>
      <c r="D55" s="11" t="s">
        <v>100</v>
      </c>
      <c r="E55" s="11">
        <v>5.75</v>
      </c>
      <c r="F55" s="11" t="s">
        <v>103</v>
      </c>
    </row>
    <row r="56" spans="1:6" x14ac:dyDescent="0.25">
      <c r="A56" s="13">
        <v>45742</v>
      </c>
      <c r="B56" s="11" t="s">
        <v>56</v>
      </c>
      <c r="C56" s="11" t="s">
        <v>295</v>
      </c>
      <c r="D56" s="11" t="s">
        <v>100</v>
      </c>
      <c r="E56" s="11">
        <v>5.75</v>
      </c>
      <c r="F56" s="11" t="s">
        <v>103</v>
      </c>
    </row>
    <row r="57" spans="1:6" x14ac:dyDescent="0.25">
      <c r="A57" s="13">
        <v>45742</v>
      </c>
      <c r="B57" s="11" t="s">
        <v>56</v>
      </c>
      <c r="C57" s="11" t="s">
        <v>121</v>
      </c>
      <c r="D57" s="11" t="s">
        <v>269</v>
      </c>
      <c r="E57" s="11">
        <v>4</v>
      </c>
      <c r="F57" s="11"/>
    </row>
    <row r="58" spans="1:6" x14ac:dyDescent="0.25">
      <c r="A58" s="13">
        <v>45743</v>
      </c>
      <c r="B58" s="11" t="s">
        <v>56</v>
      </c>
      <c r="C58" s="11" t="s">
        <v>295</v>
      </c>
      <c r="D58" s="11" t="s">
        <v>100</v>
      </c>
      <c r="E58" s="11">
        <v>5.75</v>
      </c>
      <c r="F58" s="11" t="s">
        <v>103</v>
      </c>
    </row>
    <row r="59" spans="1:6" x14ac:dyDescent="0.25">
      <c r="A59" s="13">
        <v>45743</v>
      </c>
      <c r="B59" s="11" t="s">
        <v>49</v>
      </c>
      <c r="C59" s="11" t="s">
        <v>121</v>
      </c>
      <c r="D59" s="11" t="s">
        <v>107</v>
      </c>
      <c r="E59" s="11">
        <v>4.5</v>
      </c>
      <c r="F59" s="11"/>
    </row>
    <row r="60" spans="1:6" x14ac:dyDescent="0.25">
      <c r="A60" s="13">
        <v>45744</v>
      </c>
      <c r="B60" s="11" t="s">
        <v>56</v>
      </c>
      <c r="C60" s="11" t="s">
        <v>295</v>
      </c>
      <c r="D60" s="11" t="s">
        <v>100</v>
      </c>
      <c r="E60" s="11">
        <v>5.75</v>
      </c>
      <c r="F60" s="11" t="s">
        <v>103</v>
      </c>
    </row>
    <row r="61" spans="1:6" x14ac:dyDescent="0.25">
      <c r="A61" s="13">
        <v>45744</v>
      </c>
      <c r="B61" s="11" t="s">
        <v>53</v>
      </c>
      <c r="C61" s="11" t="s">
        <v>296</v>
      </c>
      <c r="D61" s="11" t="s">
        <v>189</v>
      </c>
      <c r="E61" s="11">
        <v>7</v>
      </c>
      <c r="F61" s="11" t="s">
        <v>103</v>
      </c>
    </row>
    <row r="62" spans="1:6" x14ac:dyDescent="0.25">
      <c r="A62" s="13">
        <v>45744</v>
      </c>
      <c r="B62" s="11" t="s">
        <v>56</v>
      </c>
      <c r="C62" s="11" t="s">
        <v>188</v>
      </c>
      <c r="D62" s="11" t="s">
        <v>255</v>
      </c>
      <c r="E62" s="11">
        <v>4</v>
      </c>
      <c r="F62" s="11"/>
    </row>
    <row r="63" spans="1:6" x14ac:dyDescent="0.25">
      <c r="A63" s="13">
        <v>45745</v>
      </c>
      <c r="B63" s="11" t="s">
        <v>56</v>
      </c>
      <c r="C63" s="11" t="s">
        <v>295</v>
      </c>
      <c r="D63" s="11" t="s">
        <v>100</v>
      </c>
      <c r="E63" s="11">
        <v>5.75</v>
      </c>
      <c r="F63" s="11" t="s">
        <v>103</v>
      </c>
    </row>
    <row r="64" spans="1:6" x14ac:dyDescent="0.25">
      <c r="A64" s="13">
        <v>45745</v>
      </c>
      <c r="B64" s="11" t="s">
        <v>58</v>
      </c>
      <c r="C64" s="11" t="s">
        <v>296</v>
      </c>
      <c r="D64" s="11" t="s">
        <v>172</v>
      </c>
      <c r="E64" s="11">
        <v>6</v>
      </c>
      <c r="F64" s="11" t="s">
        <v>103</v>
      </c>
    </row>
    <row r="65" spans="1:6" x14ac:dyDescent="0.25">
      <c r="A65" s="13">
        <v>45746</v>
      </c>
      <c r="B65" s="11" t="s">
        <v>56</v>
      </c>
      <c r="C65" s="11" t="s">
        <v>120</v>
      </c>
      <c r="D65" s="11" t="s">
        <v>132</v>
      </c>
      <c r="E65" s="11">
        <v>4</v>
      </c>
      <c r="F65" s="11"/>
    </row>
    <row r="66" spans="1:6" x14ac:dyDescent="0.25">
      <c r="A66" s="13">
        <v>45746</v>
      </c>
      <c r="B66" s="11" t="s">
        <v>48</v>
      </c>
      <c r="C66" s="11" t="s">
        <v>104</v>
      </c>
      <c r="D66" s="11" t="s">
        <v>121</v>
      </c>
      <c r="E66" s="11">
        <v>5.5</v>
      </c>
      <c r="F66" s="11" t="s">
        <v>103</v>
      </c>
    </row>
    <row r="67" spans="1:6" x14ac:dyDescent="0.25">
      <c r="A67" s="18">
        <v>45746</v>
      </c>
      <c r="B67" s="16" t="s">
        <v>58</v>
      </c>
      <c r="C67" s="16" t="s">
        <v>132</v>
      </c>
      <c r="D67" s="16" t="s">
        <v>111</v>
      </c>
      <c r="E67" s="16">
        <v>9</v>
      </c>
      <c r="F67" s="16" t="s">
        <v>122</v>
      </c>
    </row>
    <row r="68" spans="1:6" x14ac:dyDescent="0.25">
      <c r="A68" s="13">
        <v>45747</v>
      </c>
      <c r="B68" s="11"/>
      <c r="C68" s="11"/>
      <c r="D68" s="11"/>
      <c r="E68" s="11"/>
      <c r="F68" s="11"/>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ABE97-BD4A-4656-B358-9D1A2C917D67}">
  <sheetPr>
    <tabColor theme="9" tint="0.39997558519241921"/>
  </sheetPr>
  <dimension ref="A1:G65"/>
  <sheetViews>
    <sheetView workbookViewId="0">
      <selection activeCell="A2" sqref="A1:B1048576"/>
    </sheetView>
  </sheetViews>
  <sheetFormatPr defaultRowHeight="15" x14ac:dyDescent="0.25"/>
  <cols>
    <col min="1" max="1" width="10.140625" customWidth="1"/>
    <col min="2" max="2" width="81.5703125" customWidth="1"/>
    <col min="3" max="3" width="12.28515625" customWidth="1"/>
    <col min="4" max="4" width="12" customWidth="1"/>
    <col min="5" max="5" width="17.85546875" customWidth="1"/>
    <col min="6" max="6" width="26" customWidth="1"/>
    <col min="7" max="7" width="19.28515625" bestFit="1" customWidth="1"/>
  </cols>
  <sheetData>
    <row r="1" spans="1:7" x14ac:dyDescent="0.25">
      <c r="A1" s="9" t="s">
        <v>83</v>
      </c>
      <c r="B1" s="9" t="s">
        <v>84</v>
      </c>
      <c r="C1" s="9" t="s">
        <v>85</v>
      </c>
      <c r="D1" s="9" t="s">
        <v>86</v>
      </c>
      <c r="E1" s="9" t="s">
        <v>16</v>
      </c>
      <c r="F1" s="9" t="s">
        <v>87</v>
      </c>
      <c r="G1" s="9" t="s">
        <v>25</v>
      </c>
    </row>
    <row r="2" spans="1:7" x14ac:dyDescent="0.25">
      <c r="A2" s="13">
        <v>45748</v>
      </c>
      <c r="B2" s="11"/>
      <c r="C2" s="11"/>
      <c r="D2" s="11"/>
      <c r="E2" s="11"/>
      <c r="F2" s="11"/>
      <c r="G2" s="12">
        <f>SUM(E:E)</f>
        <v>337.5</v>
      </c>
    </row>
    <row r="3" spans="1:7" x14ac:dyDescent="0.25">
      <c r="A3" s="13">
        <v>45749</v>
      </c>
      <c r="B3" s="11" t="s">
        <v>56</v>
      </c>
      <c r="C3" s="11" t="s">
        <v>99</v>
      </c>
      <c r="D3" s="11" t="s">
        <v>157</v>
      </c>
      <c r="E3" s="11">
        <v>4.5</v>
      </c>
      <c r="F3" s="11"/>
      <c r="G3" s="11"/>
    </row>
    <row r="4" spans="1:7" x14ac:dyDescent="0.25">
      <c r="A4" s="13">
        <v>45750</v>
      </c>
      <c r="B4" s="11" t="s">
        <v>56</v>
      </c>
      <c r="C4" s="11" t="s">
        <v>120</v>
      </c>
      <c r="D4" s="11" t="s">
        <v>100</v>
      </c>
      <c r="E4" s="11">
        <v>5.5</v>
      </c>
      <c r="F4" s="11" t="s">
        <v>103</v>
      </c>
      <c r="G4" s="11"/>
    </row>
    <row r="5" spans="1:7" x14ac:dyDescent="0.25">
      <c r="A5" s="13">
        <v>45750</v>
      </c>
      <c r="B5" s="11" t="s">
        <v>56</v>
      </c>
      <c r="C5" s="11" t="s">
        <v>300</v>
      </c>
      <c r="D5" s="11" t="s">
        <v>269</v>
      </c>
      <c r="E5" s="11">
        <v>5</v>
      </c>
      <c r="F5" s="11"/>
      <c r="G5" s="11"/>
    </row>
    <row r="6" spans="1:7" x14ac:dyDescent="0.25">
      <c r="A6" s="13">
        <v>45751</v>
      </c>
      <c r="B6" s="11" t="s">
        <v>56</v>
      </c>
      <c r="C6" s="11" t="s">
        <v>120</v>
      </c>
      <c r="D6" s="11" t="s">
        <v>100</v>
      </c>
      <c r="E6" s="11">
        <v>5.5</v>
      </c>
      <c r="F6" s="11" t="s">
        <v>103</v>
      </c>
      <c r="G6" s="11"/>
    </row>
    <row r="7" spans="1:7" x14ac:dyDescent="0.25">
      <c r="A7" s="13">
        <v>45751</v>
      </c>
      <c r="B7" s="11" t="s">
        <v>56</v>
      </c>
      <c r="C7" s="11" t="s">
        <v>219</v>
      </c>
      <c r="D7" s="11" t="s">
        <v>255</v>
      </c>
      <c r="E7" s="11">
        <v>4.5</v>
      </c>
      <c r="F7" s="11"/>
      <c r="G7" s="11"/>
    </row>
    <row r="8" spans="1:7" x14ac:dyDescent="0.25">
      <c r="A8" s="13">
        <v>45752</v>
      </c>
      <c r="B8" s="11" t="s">
        <v>56</v>
      </c>
      <c r="C8" s="11" t="s">
        <v>120</v>
      </c>
      <c r="D8" s="11" t="s">
        <v>100</v>
      </c>
      <c r="E8" s="11">
        <v>5.5</v>
      </c>
      <c r="F8" s="11" t="s">
        <v>103</v>
      </c>
      <c r="G8" s="11"/>
    </row>
    <row r="9" spans="1:7" x14ac:dyDescent="0.25">
      <c r="A9" s="13">
        <v>45752</v>
      </c>
      <c r="B9" s="11" t="s">
        <v>53</v>
      </c>
      <c r="C9" s="11" t="s">
        <v>181</v>
      </c>
      <c r="D9" s="11" t="s">
        <v>183</v>
      </c>
      <c r="E9" s="11">
        <v>7.5</v>
      </c>
      <c r="F9" s="11" t="s">
        <v>103</v>
      </c>
      <c r="G9" s="11"/>
    </row>
    <row r="10" spans="1:7" x14ac:dyDescent="0.25">
      <c r="A10" s="13">
        <v>45752</v>
      </c>
      <c r="B10" s="11" t="s">
        <v>58</v>
      </c>
      <c r="C10" s="11" t="s">
        <v>219</v>
      </c>
      <c r="D10" s="11" t="s">
        <v>172</v>
      </c>
      <c r="E10" s="11">
        <v>5</v>
      </c>
      <c r="F10" s="11"/>
      <c r="G10" s="11"/>
    </row>
    <row r="11" spans="1:7" x14ac:dyDescent="0.25">
      <c r="A11" s="13">
        <v>45753</v>
      </c>
      <c r="B11" s="11" t="s">
        <v>56</v>
      </c>
      <c r="C11" s="11" t="s">
        <v>120</v>
      </c>
      <c r="D11" s="11" t="s">
        <v>301</v>
      </c>
      <c r="E11" s="11">
        <v>4.5</v>
      </c>
      <c r="F11" s="11"/>
      <c r="G11" s="11"/>
    </row>
    <row r="12" spans="1:7" x14ac:dyDescent="0.25">
      <c r="A12" s="13">
        <v>45753</v>
      </c>
      <c r="B12" s="11" t="s">
        <v>49</v>
      </c>
      <c r="C12" s="11" t="s">
        <v>120</v>
      </c>
      <c r="D12" s="11" t="s">
        <v>104</v>
      </c>
      <c r="E12" s="11">
        <v>3</v>
      </c>
      <c r="F12" s="11"/>
      <c r="G12" s="11"/>
    </row>
    <row r="13" spans="1:7" x14ac:dyDescent="0.25">
      <c r="A13" s="13">
        <v>45753</v>
      </c>
      <c r="B13" s="11" t="s">
        <v>58</v>
      </c>
      <c r="C13" s="11" t="s">
        <v>301</v>
      </c>
      <c r="D13" s="11" t="s">
        <v>166</v>
      </c>
      <c r="E13" s="11">
        <v>7</v>
      </c>
      <c r="F13" s="11" t="s">
        <v>103</v>
      </c>
      <c r="G13" s="11"/>
    </row>
    <row r="14" spans="1:7" x14ac:dyDescent="0.25">
      <c r="A14" s="13">
        <v>45753</v>
      </c>
      <c r="B14" s="11" t="s">
        <v>48</v>
      </c>
      <c r="C14" s="11" t="s">
        <v>100</v>
      </c>
      <c r="D14" s="11" t="s">
        <v>189</v>
      </c>
      <c r="E14" s="11">
        <v>9</v>
      </c>
      <c r="F14" s="11" t="s">
        <v>122</v>
      </c>
      <c r="G14" s="11"/>
    </row>
    <row r="15" spans="1:7" x14ac:dyDescent="0.25">
      <c r="A15" s="13">
        <v>45753</v>
      </c>
      <c r="B15" s="11" t="s">
        <v>53</v>
      </c>
      <c r="C15" s="11" t="s">
        <v>105</v>
      </c>
      <c r="D15" s="11" t="s">
        <v>302</v>
      </c>
      <c r="E15" s="11">
        <v>8.5</v>
      </c>
      <c r="F15" s="11" t="s">
        <v>122</v>
      </c>
      <c r="G15" s="11"/>
    </row>
    <row r="16" spans="1:7" x14ac:dyDescent="0.25">
      <c r="A16" s="13">
        <v>45754</v>
      </c>
      <c r="B16" s="11" t="s">
        <v>46</v>
      </c>
      <c r="C16" s="11" t="s">
        <v>300</v>
      </c>
      <c r="D16" s="11" t="s">
        <v>111</v>
      </c>
      <c r="E16" s="11">
        <v>5.5</v>
      </c>
      <c r="F16" s="11" t="s">
        <v>103</v>
      </c>
      <c r="G16" s="11"/>
    </row>
    <row r="17" spans="1:7" x14ac:dyDescent="0.25">
      <c r="A17" s="13">
        <v>45755</v>
      </c>
      <c r="B17" s="11" t="s">
        <v>56</v>
      </c>
      <c r="C17" s="11" t="s">
        <v>120</v>
      </c>
      <c r="D17" s="11" t="s">
        <v>100</v>
      </c>
      <c r="E17" s="11">
        <v>5.5</v>
      </c>
      <c r="F17" s="11" t="s">
        <v>103</v>
      </c>
      <c r="G17" s="11"/>
    </row>
    <row r="18" spans="1:7" x14ac:dyDescent="0.25">
      <c r="A18" s="13">
        <v>45756</v>
      </c>
      <c r="B18" s="11" t="s">
        <v>56</v>
      </c>
      <c r="C18" s="11" t="s">
        <v>120</v>
      </c>
      <c r="D18" s="11" t="s">
        <v>157</v>
      </c>
      <c r="E18" s="11">
        <v>5.5</v>
      </c>
      <c r="F18" s="11"/>
      <c r="G18" s="11"/>
    </row>
    <row r="19" spans="1:7" x14ac:dyDescent="0.25">
      <c r="A19" s="13">
        <v>45757</v>
      </c>
      <c r="B19" s="11" t="s">
        <v>56</v>
      </c>
      <c r="C19" s="11" t="s">
        <v>120</v>
      </c>
      <c r="D19" s="11" t="s">
        <v>100</v>
      </c>
      <c r="E19" s="11">
        <v>5.5</v>
      </c>
      <c r="F19" s="11" t="s">
        <v>103</v>
      </c>
      <c r="G19" s="11"/>
    </row>
    <row r="20" spans="1:7" x14ac:dyDescent="0.25">
      <c r="A20" s="13">
        <v>45757</v>
      </c>
      <c r="B20" s="11" t="s">
        <v>49</v>
      </c>
      <c r="C20" s="11" t="s">
        <v>296</v>
      </c>
      <c r="D20" s="11" t="s">
        <v>107</v>
      </c>
      <c r="E20" s="11">
        <v>5</v>
      </c>
      <c r="F20" s="11"/>
      <c r="G20" s="11"/>
    </row>
    <row r="21" spans="1:7" x14ac:dyDescent="0.25">
      <c r="A21" s="13">
        <v>45758</v>
      </c>
      <c r="B21" s="11" t="s">
        <v>56</v>
      </c>
      <c r="C21" s="11" t="s">
        <v>120</v>
      </c>
      <c r="D21" s="11" t="s">
        <v>100</v>
      </c>
      <c r="E21" s="11">
        <v>5.5</v>
      </c>
      <c r="F21" s="11" t="s">
        <v>103</v>
      </c>
      <c r="G21" s="11"/>
    </row>
    <row r="22" spans="1:7" x14ac:dyDescent="0.25">
      <c r="A22" s="13">
        <v>45758</v>
      </c>
      <c r="B22" s="11" t="s">
        <v>91</v>
      </c>
      <c r="C22" s="11" t="s">
        <v>219</v>
      </c>
      <c r="D22" s="11" t="s">
        <v>255</v>
      </c>
      <c r="E22" s="11">
        <v>4.5</v>
      </c>
      <c r="F22" s="11"/>
      <c r="G22" s="11"/>
    </row>
    <row r="23" spans="1:7" x14ac:dyDescent="0.25">
      <c r="A23" s="13">
        <v>45759</v>
      </c>
      <c r="B23" s="11" t="s">
        <v>56</v>
      </c>
      <c r="C23" s="11" t="s">
        <v>120</v>
      </c>
      <c r="D23" s="11" t="s">
        <v>100</v>
      </c>
      <c r="E23" s="11">
        <v>5.5</v>
      </c>
      <c r="F23" s="11" t="s">
        <v>103</v>
      </c>
      <c r="G23" s="11"/>
    </row>
    <row r="24" spans="1:7" x14ac:dyDescent="0.25">
      <c r="A24" s="13">
        <v>45759</v>
      </c>
      <c r="B24" s="11" t="s">
        <v>53</v>
      </c>
      <c r="C24" s="11" t="s">
        <v>121</v>
      </c>
      <c r="D24" s="11" t="s">
        <v>226</v>
      </c>
      <c r="E24" s="11">
        <v>7.5</v>
      </c>
      <c r="F24" s="11" t="s">
        <v>103</v>
      </c>
      <c r="G24" s="11"/>
    </row>
    <row r="25" spans="1:7" x14ac:dyDescent="0.25">
      <c r="A25" s="13">
        <v>45759</v>
      </c>
      <c r="B25" s="11" t="s">
        <v>58</v>
      </c>
      <c r="C25" s="11" t="s">
        <v>219</v>
      </c>
      <c r="D25" s="11" t="s">
        <v>172</v>
      </c>
      <c r="E25" s="11">
        <v>5</v>
      </c>
      <c r="F25" s="11"/>
      <c r="G25" s="11"/>
    </row>
    <row r="26" spans="1:7" x14ac:dyDescent="0.25">
      <c r="A26" s="13">
        <v>45760</v>
      </c>
      <c r="B26" s="11" t="s">
        <v>58</v>
      </c>
      <c r="C26" s="11" t="s">
        <v>148</v>
      </c>
      <c r="D26" s="11" t="s">
        <v>301</v>
      </c>
      <c r="E26" s="11">
        <v>6</v>
      </c>
      <c r="F26" s="11" t="s">
        <v>103</v>
      </c>
      <c r="G26" s="11"/>
    </row>
    <row r="27" spans="1:7" x14ac:dyDescent="0.25">
      <c r="A27" s="13">
        <v>45760</v>
      </c>
      <c r="B27" s="11" t="s">
        <v>56</v>
      </c>
      <c r="C27" s="11" t="s">
        <v>301</v>
      </c>
      <c r="D27" s="11" t="s">
        <v>188</v>
      </c>
      <c r="E27" s="11">
        <v>5.5</v>
      </c>
      <c r="F27" s="11" t="s">
        <v>103</v>
      </c>
      <c r="G27" s="11"/>
    </row>
    <row r="28" spans="1:7" x14ac:dyDescent="0.25">
      <c r="A28" s="13">
        <v>45760</v>
      </c>
      <c r="B28" s="11" t="s">
        <v>46</v>
      </c>
      <c r="C28" s="11" t="s">
        <v>126</v>
      </c>
      <c r="D28" s="11" t="s">
        <v>219</v>
      </c>
      <c r="E28" s="11">
        <v>5</v>
      </c>
      <c r="F28" s="11"/>
      <c r="G28" s="11"/>
    </row>
    <row r="29" spans="1:7" x14ac:dyDescent="0.25">
      <c r="A29" s="13">
        <v>45760</v>
      </c>
      <c r="B29" s="11" t="s">
        <v>53</v>
      </c>
      <c r="C29" s="11" t="s">
        <v>126</v>
      </c>
      <c r="D29" s="11" t="s">
        <v>155</v>
      </c>
      <c r="E29" s="11">
        <v>5.5</v>
      </c>
      <c r="F29" s="11" t="s">
        <v>103</v>
      </c>
      <c r="G29" s="11"/>
    </row>
    <row r="30" spans="1:7" x14ac:dyDescent="0.25">
      <c r="A30" s="13">
        <v>45761</v>
      </c>
      <c r="B30" s="11" t="s">
        <v>53</v>
      </c>
      <c r="C30" s="11" t="s">
        <v>104</v>
      </c>
      <c r="D30" s="11" t="s">
        <v>142</v>
      </c>
      <c r="E30" s="11">
        <v>6</v>
      </c>
      <c r="F30" s="11" t="s">
        <v>103</v>
      </c>
      <c r="G30" s="11"/>
    </row>
    <row r="31" spans="1:7" x14ac:dyDescent="0.25">
      <c r="A31" s="13">
        <v>45762</v>
      </c>
      <c r="B31" s="11"/>
      <c r="C31" s="11"/>
      <c r="D31" s="11"/>
      <c r="E31" s="11"/>
      <c r="F31" s="11"/>
      <c r="G31" s="11"/>
    </row>
    <row r="32" spans="1:7" x14ac:dyDescent="0.25">
      <c r="A32" s="13">
        <v>45763</v>
      </c>
      <c r="B32" s="11" t="s">
        <v>56</v>
      </c>
      <c r="C32" s="11" t="s">
        <v>120</v>
      </c>
      <c r="D32" s="11" t="s">
        <v>100</v>
      </c>
      <c r="E32" s="11">
        <v>5.5</v>
      </c>
      <c r="F32" s="11" t="s">
        <v>103</v>
      </c>
      <c r="G32" s="11"/>
    </row>
    <row r="33" spans="1:7" x14ac:dyDescent="0.25">
      <c r="A33" s="13">
        <v>45764</v>
      </c>
      <c r="B33" s="11" t="s">
        <v>56</v>
      </c>
      <c r="C33" s="11" t="s">
        <v>120</v>
      </c>
      <c r="D33" s="11" t="s">
        <v>100</v>
      </c>
      <c r="E33" s="11">
        <v>5.5</v>
      </c>
      <c r="F33" s="11" t="s">
        <v>103</v>
      </c>
      <c r="G33" s="11"/>
    </row>
    <row r="34" spans="1:7" x14ac:dyDescent="0.25">
      <c r="A34" s="13">
        <v>45764</v>
      </c>
      <c r="B34" s="11" t="s">
        <v>49</v>
      </c>
      <c r="C34" s="11" t="s">
        <v>296</v>
      </c>
      <c r="D34" s="11" t="s">
        <v>269</v>
      </c>
      <c r="E34" s="11">
        <v>4.5</v>
      </c>
      <c r="F34" s="11"/>
      <c r="G34" s="11"/>
    </row>
    <row r="35" spans="1:7" x14ac:dyDescent="0.25">
      <c r="A35" s="13">
        <v>45764</v>
      </c>
      <c r="B35" s="11" t="s">
        <v>58</v>
      </c>
      <c r="C35" s="11" t="s">
        <v>121</v>
      </c>
      <c r="D35" s="11" t="s">
        <v>269</v>
      </c>
      <c r="E35" s="11">
        <v>4</v>
      </c>
      <c r="F35" s="11"/>
      <c r="G35" s="11"/>
    </row>
    <row r="36" spans="1:7" x14ac:dyDescent="0.25">
      <c r="A36" s="13">
        <v>45765</v>
      </c>
      <c r="B36" s="11" t="s">
        <v>56</v>
      </c>
      <c r="C36" s="11" t="s">
        <v>104</v>
      </c>
      <c r="D36" s="11" t="s">
        <v>100</v>
      </c>
      <c r="E36" s="11">
        <v>3</v>
      </c>
      <c r="F36" s="11"/>
      <c r="G36" s="11"/>
    </row>
    <row r="37" spans="1:7" x14ac:dyDescent="0.25">
      <c r="A37" s="13">
        <v>45765</v>
      </c>
      <c r="B37" s="11" t="s">
        <v>56</v>
      </c>
      <c r="C37" s="11" t="s">
        <v>188</v>
      </c>
      <c r="D37" s="11" t="s">
        <v>255</v>
      </c>
      <c r="E37" s="11">
        <v>4</v>
      </c>
      <c r="F37" s="11"/>
      <c r="G37" s="11"/>
    </row>
    <row r="38" spans="1:7" x14ac:dyDescent="0.25">
      <c r="A38" s="13">
        <v>45766</v>
      </c>
      <c r="B38" s="11" t="s">
        <v>56</v>
      </c>
      <c r="C38" s="11" t="s">
        <v>120</v>
      </c>
      <c r="D38" s="11" t="s">
        <v>100</v>
      </c>
      <c r="E38" s="11">
        <v>5.5</v>
      </c>
      <c r="F38" s="11" t="s">
        <v>103</v>
      </c>
      <c r="G38" s="11"/>
    </row>
    <row r="39" spans="1:7" x14ac:dyDescent="0.25">
      <c r="A39" s="13">
        <v>45766</v>
      </c>
      <c r="B39" s="11" t="s">
        <v>56</v>
      </c>
      <c r="C39" s="11" t="s">
        <v>219</v>
      </c>
      <c r="D39" s="11" t="s">
        <v>172</v>
      </c>
      <c r="E39" s="11">
        <v>5</v>
      </c>
      <c r="F39" s="11"/>
      <c r="G39" s="11"/>
    </row>
    <row r="40" spans="1:7" x14ac:dyDescent="0.25">
      <c r="A40" s="13">
        <v>45767</v>
      </c>
      <c r="B40" s="11" t="s">
        <v>56</v>
      </c>
      <c r="C40" s="11" t="s">
        <v>120</v>
      </c>
      <c r="D40" s="11" t="s">
        <v>132</v>
      </c>
      <c r="E40" s="11">
        <v>4</v>
      </c>
      <c r="F40" s="11"/>
      <c r="G40" s="11"/>
    </row>
    <row r="41" spans="1:7" x14ac:dyDescent="0.25">
      <c r="A41" s="13">
        <v>45767</v>
      </c>
      <c r="B41" s="11" t="s">
        <v>46</v>
      </c>
      <c r="C41" s="11" t="s">
        <v>118</v>
      </c>
      <c r="D41" s="11" t="s">
        <v>102</v>
      </c>
      <c r="E41" s="11">
        <v>5.5</v>
      </c>
      <c r="F41" s="11" t="s">
        <v>103</v>
      </c>
      <c r="G41" s="11"/>
    </row>
    <row r="42" spans="1:7" x14ac:dyDescent="0.25">
      <c r="A42" s="13">
        <v>45767</v>
      </c>
      <c r="B42" s="11" t="s">
        <v>53</v>
      </c>
      <c r="C42" s="11" t="s">
        <v>301</v>
      </c>
      <c r="D42" s="11" t="s">
        <v>219</v>
      </c>
      <c r="E42" s="11">
        <v>5.5</v>
      </c>
      <c r="F42" s="11"/>
      <c r="G42" s="11"/>
    </row>
    <row r="43" spans="1:7" x14ac:dyDescent="0.25">
      <c r="A43" s="13">
        <v>45768</v>
      </c>
      <c r="B43" s="11" t="s">
        <v>53</v>
      </c>
      <c r="C43" s="11" t="s">
        <v>130</v>
      </c>
      <c r="D43" s="11" t="s">
        <v>121</v>
      </c>
      <c r="E43" s="11">
        <v>9</v>
      </c>
      <c r="F43" s="11" t="s">
        <v>122</v>
      </c>
      <c r="G43" s="11"/>
    </row>
    <row r="44" spans="1:7" x14ac:dyDescent="0.25">
      <c r="A44" s="13">
        <v>45768</v>
      </c>
      <c r="B44" s="11" t="s">
        <v>58</v>
      </c>
      <c r="C44" s="11" t="s">
        <v>118</v>
      </c>
      <c r="D44" s="11" t="s">
        <v>105</v>
      </c>
      <c r="E44" s="11">
        <v>5</v>
      </c>
      <c r="F44" s="11"/>
      <c r="G44" s="11"/>
    </row>
    <row r="45" spans="1:7" x14ac:dyDescent="0.25">
      <c r="A45" s="13">
        <v>45769</v>
      </c>
      <c r="B45" s="11" t="s">
        <v>56</v>
      </c>
      <c r="C45" s="11" t="s">
        <v>120</v>
      </c>
      <c r="D45" s="11" t="s">
        <v>100</v>
      </c>
      <c r="E45" s="11">
        <v>5.5</v>
      </c>
      <c r="F45" s="11" t="s">
        <v>103</v>
      </c>
      <c r="G45" s="11"/>
    </row>
    <row r="46" spans="1:7" x14ac:dyDescent="0.25">
      <c r="A46" s="13">
        <v>45770</v>
      </c>
      <c r="B46" s="11" t="s">
        <v>56</v>
      </c>
      <c r="C46" s="11" t="s">
        <v>120</v>
      </c>
      <c r="D46" s="11" t="s">
        <v>100</v>
      </c>
      <c r="E46" s="11">
        <v>5.5</v>
      </c>
      <c r="F46" s="11" t="s">
        <v>103</v>
      </c>
      <c r="G46" s="11"/>
    </row>
    <row r="47" spans="1:7" x14ac:dyDescent="0.25">
      <c r="A47" s="13">
        <v>45771</v>
      </c>
      <c r="B47" s="11" t="s">
        <v>56</v>
      </c>
      <c r="C47" s="11" t="s">
        <v>120</v>
      </c>
      <c r="D47" s="11" t="s">
        <v>100</v>
      </c>
      <c r="E47" s="11">
        <v>5.5</v>
      </c>
      <c r="F47" s="11" t="s">
        <v>103</v>
      </c>
      <c r="G47" s="11"/>
    </row>
    <row r="48" spans="1:7" x14ac:dyDescent="0.25">
      <c r="A48" s="13">
        <v>45771</v>
      </c>
      <c r="B48" s="11" t="s">
        <v>49</v>
      </c>
      <c r="C48" s="11" t="s">
        <v>296</v>
      </c>
      <c r="D48" s="11" t="s">
        <v>269</v>
      </c>
      <c r="E48" s="11">
        <v>4.5</v>
      </c>
      <c r="F48" s="11"/>
      <c r="G48" s="11"/>
    </row>
    <row r="49" spans="1:7" x14ac:dyDescent="0.25">
      <c r="A49" s="13">
        <v>45772</v>
      </c>
      <c r="B49" s="11" t="s">
        <v>56</v>
      </c>
      <c r="C49" s="11" t="s">
        <v>120</v>
      </c>
      <c r="D49" s="11" t="s">
        <v>100</v>
      </c>
      <c r="E49" s="11">
        <v>5.5</v>
      </c>
      <c r="F49" s="11" t="s">
        <v>103</v>
      </c>
      <c r="G49" s="11"/>
    </row>
    <row r="50" spans="1:7" x14ac:dyDescent="0.25">
      <c r="A50" s="13">
        <v>45772</v>
      </c>
      <c r="B50" s="11" t="s">
        <v>56</v>
      </c>
      <c r="C50" s="11" t="s">
        <v>188</v>
      </c>
      <c r="D50" s="11" t="s">
        <v>255</v>
      </c>
      <c r="E50" s="11">
        <v>4</v>
      </c>
      <c r="F50" s="11"/>
      <c r="G50" s="11"/>
    </row>
    <row r="51" spans="1:7" x14ac:dyDescent="0.25">
      <c r="A51" s="13">
        <v>45773</v>
      </c>
      <c r="B51" s="11" t="s">
        <v>56</v>
      </c>
      <c r="C51" s="11" t="s">
        <v>99</v>
      </c>
      <c r="D51" s="11" t="s">
        <v>100</v>
      </c>
      <c r="E51" s="11">
        <v>5</v>
      </c>
      <c r="F51" s="11"/>
      <c r="G51" s="11"/>
    </row>
    <row r="52" spans="1:7" x14ac:dyDescent="0.25">
      <c r="A52" s="13">
        <v>45773</v>
      </c>
      <c r="B52" s="11" t="s">
        <v>56</v>
      </c>
      <c r="C52" s="11" t="s">
        <v>219</v>
      </c>
      <c r="D52" s="11" t="s">
        <v>172</v>
      </c>
      <c r="E52" s="11">
        <v>5</v>
      </c>
      <c r="F52" s="11"/>
      <c r="G52" s="11"/>
    </row>
    <row r="53" spans="1:7" x14ac:dyDescent="0.25">
      <c r="A53" s="13">
        <v>45774</v>
      </c>
      <c r="B53" s="11" t="s">
        <v>53</v>
      </c>
      <c r="C53" s="11" t="s">
        <v>303</v>
      </c>
      <c r="D53" s="11" t="s">
        <v>105</v>
      </c>
      <c r="E53" s="11">
        <v>6</v>
      </c>
      <c r="F53" s="11" t="s">
        <v>103</v>
      </c>
      <c r="G53" s="11"/>
    </row>
    <row r="54" spans="1:7" x14ac:dyDescent="0.25">
      <c r="A54" s="13">
        <v>45774</v>
      </c>
      <c r="B54" s="11" t="s">
        <v>56</v>
      </c>
      <c r="C54" s="11" t="s">
        <v>99</v>
      </c>
      <c r="D54" s="11" t="s">
        <v>126</v>
      </c>
      <c r="E54" s="11">
        <v>4</v>
      </c>
      <c r="F54" s="11"/>
      <c r="G54" s="11"/>
    </row>
    <row r="55" spans="1:7" x14ac:dyDescent="0.25">
      <c r="A55" s="13">
        <v>45774</v>
      </c>
      <c r="B55" s="11" t="s">
        <v>46</v>
      </c>
      <c r="C55" s="11" t="s">
        <v>99</v>
      </c>
      <c r="D55" s="11" t="s">
        <v>121</v>
      </c>
      <c r="E55" s="11">
        <v>7.5</v>
      </c>
      <c r="F55" s="11" t="s">
        <v>103</v>
      </c>
      <c r="G55" s="11"/>
    </row>
    <row r="56" spans="1:7" x14ac:dyDescent="0.25">
      <c r="A56" s="13">
        <v>45774</v>
      </c>
      <c r="B56" s="11" t="s">
        <v>56</v>
      </c>
      <c r="C56" s="11" t="s">
        <v>132</v>
      </c>
      <c r="D56" s="11" t="s">
        <v>219</v>
      </c>
      <c r="E56" s="11">
        <v>5.5</v>
      </c>
      <c r="F56" s="11" t="s">
        <v>103</v>
      </c>
      <c r="G56" s="11"/>
    </row>
    <row r="57" spans="1:7" x14ac:dyDescent="0.25">
      <c r="A57" s="13">
        <v>45774</v>
      </c>
      <c r="B57" s="11" t="s">
        <v>48</v>
      </c>
      <c r="C57" s="11" t="s">
        <v>105</v>
      </c>
      <c r="D57" s="11" t="s">
        <v>219</v>
      </c>
      <c r="E57" s="11">
        <v>3</v>
      </c>
      <c r="F57" s="11"/>
      <c r="G57" s="11"/>
    </row>
    <row r="58" spans="1:7" x14ac:dyDescent="0.25">
      <c r="A58" s="13">
        <v>45775</v>
      </c>
      <c r="B58" s="11" t="s">
        <v>53</v>
      </c>
      <c r="C58" s="11" t="s">
        <v>132</v>
      </c>
      <c r="D58" s="11" t="s">
        <v>155</v>
      </c>
      <c r="E58" s="11">
        <v>6.5</v>
      </c>
      <c r="F58" s="11" t="s">
        <v>103</v>
      </c>
      <c r="G58" s="11"/>
    </row>
    <row r="59" spans="1:7" x14ac:dyDescent="0.25">
      <c r="A59" s="13">
        <v>45775</v>
      </c>
      <c r="B59" s="11" t="s">
        <v>58</v>
      </c>
      <c r="C59" s="11" t="s">
        <v>105</v>
      </c>
      <c r="D59" s="11" t="s">
        <v>166</v>
      </c>
      <c r="E59" s="11">
        <v>5</v>
      </c>
      <c r="F59" s="11"/>
      <c r="G59" s="11"/>
    </row>
    <row r="60" spans="1:7" x14ac:dyDescent="0.25">
      <c r="A60" s="13">
        <v>45776</v>
      </c>
      <c r="B60" s="11" t="s">
        <v>56</v>
      </c>
      <c r="C60" s="11" t="s">
        <v>120</v>
      </c>
      <c r="D60" s="11" t="s">
        <v>100</v>
      </c>
      <c r="E60" s="11">
        <v>5.5</v>
      </c>
      <c r="F60" s="11" t="s">
        <v>103</v>
      </c>
      <c r="G60" s="11"/>
    </row>
    <row r="61" spans="1:7" x14ac:dyDescent="0.25">
      <c r="A61" s="13">
        <v>45777</v>
      </c>
      <c r="B61" s="11" t="s">
        <v>56</v>
      </c>
      <c r="C61" s="11" t="s">
        <v>120</v>
      </c>
      <c r="D61" s="11" t="s">
        <v>126</v>
      </c>
      <c r="E61" s="11">
        <v>5</v>
      </c>
      <c r="F61" s="11"/>
      <c r="G61" s="11"/>
    </row>
    <row r="62" spans="1:7" x14ac:dyDescent="0.25">
      <c r="A62" s="13">
        <v>45761</v>
      </c>
      <c r="B62" s="11" t="s">
        <v>141</v>
      </c>
      <c r="C62" s="11" t="s">
        <v>104</v>
      </c>
      <c r="D62" s="11" t="s">
        <v>142</v>
      </c>
      <c r="E62" s="11">
        <v>6</v>
      </c>
      <c r="F62" s="11" t="s">
        <v>103</v>
      </c>
      <c r="G62" s="11"/>
    </row>
    <row r="63" spans="1:7" x14ac:dyDescent="0.25">
      <c r="A63" s="13">
        <v>45767</v>
      </c>
      <c r="B63" s="11" t="s">
        <v>143</v>
      </c>
      <c r="C63" s="11" t="s">
        <v>144</v>
      </c>
      <c r="D63" s="11" t="s">
        <v>100</v>
      </c>
      <c r="E63" s="11">
        <v>7</v>
      </c>
      <c r="F63" s="11" t="s">
        <v>103</v>
      </c>
      <c r="G63" s="11"/>
    </row>
    <row r="64" spans="1:7" x14ac:dyDescent="0.25">
      <c r="A64" s="13">
        <v>45767</v>
      </c>
      <c r="B64" s="11" t="s">
        <v>145</v>
      </c>
      <c r="C64" s="11" t="s">
        <v>130</v>
      </c>
      <c r="D64" s="11" t="s">
        <v>100</v>
      </c>
      <c r="E64" s="11">
        <v>6.5</v>
      </c>
      <c r="F64" s="11" t="s">
        <v>103</v>
      </c>
      <c r="G64" s="11"/>
    </row>
    <row r="65" spans="1:7" x14ac:dyDescent="0.25">
      <c r="A65" s="13">
        <v>45772</v>
      </c>
      <c r="B65" s="11" t="s">
        <v>146</v>
      </c>
      <c r="C65" s="11" t="s">
        <v>102</v>
      </c>
      <c r="D65" s="11" t="s">
        <v>107</v>
      </c>
      <c r="E65" s="11">
        <v>5.5</v>
      </c>
      <c r="F65" s="11"/>
      <c r="G65" s="11"/>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DACB1-FBF3-4D00-9F4E-02D7E4EE586D}">
  <sheetPr>
    <tabColor theme="9" tint="0.39997558519241921"/>
  </sheetPr>
  <dimension ref="A1:G81"/>
  <sheetViews>
    <sheetView workbookViewId="0">
      <selection activeCell="A2" sqref="A1:B1048576"/>
    </sheetView>
  </sheetViews>
  <sheetFormatPr defaultRowHeight="15" x14ac:dyDescent="0.25"/>
  <cols>
    <col min="2" max="2" width="80.28515625" customWidth="1"/>
    <col min="3" max="3" width="12.28515625" customWidth="1"/>
    <col min="4" max="4" width="12.7109375" customWidth="1"/>
    <col min="5" max="5" width="14" customWidth="1"/>
    <col min="6" max="6" width="24.7109375" customWidth="1"/>
    <col min="7" max="7" width="19.28515625" bestFit="1" customWidth="1"/>
  </cols>
  <sheetData>
    <row r="1" spans="1:7" x14ac:dyDescent="0.25">
      <c r="A1" s="9" t="s">
        <v>83</v>
      </c>
      <c r="B1" s="9" t="s">
        <v>84</v>
      </c>
      <c r="C1" s="9" t="s">
        <v>85</v>
      </c>
      <c r="D1" s="9" t="s">
        <v>86</v>
      </c>
      <c r="E1" s="9" t="s">
        <v>16</v>
      </c>
      <c r="F1" s="9" t="s">
        <v>87</v>
      </c>
      <c r="G1" s="9" t="s">
        <v>25</v>
      </c>
    </row>
    <row r="2" spans="1:7" x14ac:dyDescent="0.25">
      <c r="A2" s="13">
        <v>45778</v>
      </c>
      <c r="B2" s="11" t="s">
        <v>56</v>
      </c>
      <c r="C2" s="11" t="s">
        <v>120</v>
      </c>
      <c r="D2" s="11" t="s">
        <v>100</v>
      </c>
      <c r="E2" s="11">
        <v>5.5</v>
      </c>
      <c r="F2" s="11" t="s">
        <v>103</v>
      </c>
      <c r="G2" s="12">
        <f>SUM(E:E)</f>
        <v>376.5</v>
      </c>
    </row>
    <row r="3" spans="1:7" x14ac:dyDescent="0.25">
      <c r="A3" s="13">
        <v>45778</v>
      </c>
      <c r="B3" s="11" t="s">
        <v>49</v>
      </c>
      <c r="C3" s="11" t="s">
        <v>296</v>
      </c>
      <c r="D3" s="11" t="s">
        <v>269</v>
      </c>
      <c r="E3" s="11">
        <v>4.5</v>
      </c>
      <c r="F3" s="11"/>
      <c r="G3" s="11"/>
    </row>
    <row r="4" spans="1:7" x14ac:dyDescent="0.25">
      <c r="A4" s="13">
        <v>45779</v>
      </c>
      <c r="B4" s="11" t="s">
        <v>56</v>
      </c>
      <c r="C4" s="11" t="s">
        <v>188</v>
      </c>
      <c r="D4" s="11" t="s">
        <v>255</v>
      </c>
      <c r="E4" s="11">
        <v>4</v>
      </c>
      <c r="F4" s="11"/>
      <c r="G4" s="11"/>
    </row>
    <row r="5" spans="1:7" x14ac:dyDescent="0.25">
      <c r="A5" s="13">
        <v>45779</v>
      </c>
      <c r="B5" s="11" t="s">
        <v>56</v>
      </c>
      <c r="C5" s="11" t="s">
        <v>120</v>
      </c>
      <c r="D5" s="11" t="s">
        <v>100</v>
      </c>
      <c r="E5" s="11">
        <v>5.5</v>
      </c>
      <c r="F5" s="11" t="s">
        <v>103</v>
      </c>
      <c r="G5" s="11"/>
    </row>
    <row r="6" spans="1:7" x14ac:dyDescent="0.25">
      <c r="A6" s="13">
        <v>45780</v>
      </c>
      <c r="B6" s="11" t="s">
        <v>56</v>
      </c>
      <c r="C6" s="11" t="s">
        <v>120</v>
      </c>
      <c r="D6" s="11" t="s">
        <v>100</v>
      </c>
      <c r="E6" s="11">
        <v>5.5</v>
      </c>
      <c r="F6" s="11" t="s">
        <v>103</v>
      </c>
      <c r="G6" s="11"/>
    </row>
    <row r="7" spans="1:7" x14ac:dyDescent="0.25">
      <c r="A7" s="13">
        <v>45781</v>
      </c>
      <c r="B7" s="11" t="s">
        <v>56</v>
      </c>
      <c r="C7" s="11" t="s">
        <v>301</v>
      </c>
      <c r="D7" s="11" t="s">
        <v>219</v>
      </c>
      <c r="E7" s="11">
        <v>5.5</v>
      </c>
      <c r="F7" s="11"/>
      <c r="G7" s="11"/>
    </row>
    <row r="8" spans="1:7" x14ac:dyDescent="0.25">
      <c r="A8" s="13">
        <v>45781</v>
      </c>
      <c r="B8" s="11" t="s">
        <v>58</v>
      </c>
      <c r="C8" s="11" t="s">
        <v>105</v>
      </c>
      <c r="D8" s="11" t="s">
        <v>269</v>
      </c>
      <c r="E8" s="11">
        <v>5.5</v>
      </c>
      <c r="F8" s="11" t="s">
        <v>103</v>
      </c>
      <c r="G8" s="11"/>
    </row>
    <row r="9" spans="1:7" x14ac:dyDescent="0.25">
      <c r="A9" s="13">
        <v>45781</v>
      </c>
      <c r="B9" s="11" t="s">
        <v>53</v>
      </c>
      <c r="C9" s="11" t="s">
        <v>105</v>
      </c>
      <c r="D9" s="11" t="s">
        <v>166</v>
      </c>
      <c r="E9" s="11">
        <v>5</v>
      </c>
      <c r="F9" s="11"/>
      <c r="G9" s="11"/>
    </row>
    <row r="10" spans="1:7" x14ac:dyDescent="0.25">
      <c r="A10" s="13">
        <v>45782</v>
      </c>
      <c r="B10" s="11"/>
      <c r="C10" s="11"/>
      <c r="D10" s="11"/>
      <c r="E10" s="11"/>
      <c r="F10" s="11"/>
      <c r="G10" s="11"/>
    </row>
    <row r="11" spans="1:7" x14ac:dyDescent="0.25">
      <c r="A11" s="13">
        <v>45783</v>
      </c>
      <c r="B11" s="11" t="s">
        <v>56</v>
      </c>
      <c r="C11" s="11" t="s">
        <v>120</v>
      </c>
      <c r="D11" s="11" t="s">
        <v>100</v>
      </c>
      <c r="E11" s="11">
        <v>5.5</v>
      </c>
      <c r="F11" s="11" t="s">
        <v>103</v>
      </c>
      <c r="G11" s="11"/>
    </row>
    <row r="12" spans="1:7" x14ac:dyDescent="0.25">
      <c r="A12" s="13">
        <v>45784</v>
      </c>
      <c r="B12" s="11" t="s">
        <v>56</v>
      </c>
      <c r="C12" s="11" t="s">
        <v>99</v>
      </c>
      <c r="D12" s="19" t="s">
        <v>157</v>
      </c>
      <c r="E12" s="11">
        <v>4.5</v>
      </c>
      <c r="F12" s="11"/>
      <c r="G12" s="11"/>
    </row>
    <row r="13" spans="1:7" x14ac:dyDescent="0.25">
      <c r="A13" s="13">
        <v>45785</v>
      </c>
      <c r="B13" s="11" t="s">
        <v>56</v>
      </c>
      <c r="C13" s="11" t="s">
        <v>120</v>
      </c>
      <c r="D13" s="11" t="s">
        <v>126</v>
      </c>
      <c r="E13" s="11">
        <v>5</v>
      </c>
      <c r="F13" s="11"/>
      <c r="G13" s="11"/>
    </row>
    <row r="14" spans="1:7" x14ac:dyDescent="0.25">
      <c r="A14" s="13">
        <v>45785</v>
      </c>
      <c r="B14" s="11" t="s">
        <v>56</v>
      </c>
      <c r="C14" s="11" t="s">
        <v>102</v>
      </c>
      <c r="D14" s="19" t="s">
        <v>142</v>
      </c>
      <c r="E14" s="11">
        <v>1.5</v>
      </c>
      <c r="F14" s="11"/>
      <c r="G14" s="11"/>
    </row>
    <row r="15" spans="1:7" x14ac:dyDescent="0.25">
      <c r="A15" s="13">
        <v>45785</v>
      </c>
      <c r="B15" s="11" t="s">
        <v>49</v>
      </c>
      <c r="C15" s="11" t="s">
        <v>296</v>
      </c>
      <c r="D15" s="11" t="s">
        <v>269</v>
      </c>
      <c r="E15" s="11">
        <v>4.5</v>
      </c>
      <c r="F15" s="11"/>
      <c r="G15" s="11"/>
    </row>
    <row r="16" spans="1:7" x14ac:dyDescent="0.25">
      <c r="A16" s="13">
        <v>45786</v>
      </c>
      <c r="B16" s="11" t="s">
        <v>49</v>
      </c>
      <c r="C16" s="11" t="s">
        <v>188</v>
      </c>
      <c r="D16" s="11" t="s">
        <v>172</v>
      </c>
      <c r="E16" s="11">
        <v>4.5</v>
      </c>
      <c r="F16" s="11"/>
      <c r="G16" s="11"/>
    </row>
    <row r="17" spans="1:7" x14ac:dyDescent="0.25">
      <c r="A17" s="13">
        <v>45786</v>
      </c>
      <c r="B17" s="11" t="s">
        <v>56</v>
      </c>
      <c r="C17" s="11" t="s">
        <v>120</v>
      </c>
      <c r="D17" s="11" t="s">
        <v>100</v>
      </c>
      <c r="E17" s="11">
        <v>5.5</v>
      </c>
      <c r="F17" s="11" t="s">
        <v>103</v>
      </c>
      <c r="G17" s="11"/>
    </row>
    <row r="18" spans="1:7" x14ac:dyDescent="0.25">
      <c r="A18" s="13">
        <v>45786</v>
      </c>
      <c r="B18" s="11" t="s">
        <v>56</v>
      </c>
      <c r="C18" s="11" t="s">
        <v>188</v>
      </c>
      <c r="D18" s="11" t="s">
        <v>255</v>
      </c>
      <c r="E18" s="11">
        <v>4</v>
      </c>
      <c r="F18" s="11"/>
      <c r="G18" s="11"/>
    </row>
    <row r="19" spans="1:7" x14ac:dyDescent="0.25">
      <c r="A19" s="13">
        <v>45787</v>
      </c>
      <c r="B19" s="11" t="s">
        <v>49</v>
      </c>
      <c r="C19" s="11" t="s">
        <v>219</v>
      </c>
      <c r="D19" s="11" t="s">
        <v>183</v>
      </c>
      <c r="E19" s="11">
        <v>5.5</v>
      </c>
      <c r="F19" s="11" t="s">
        <v>103</v>
      </c>
      <c r="G19" s="11"/>
    </row>
    <row r="20" spans="1:7" x14ac:dyDescent="0.25">
      <c r="A20" s="13">
        <v>45787</v>
      </c>
      <c r="B20" s="11" t="s">
        <v>56</v>
      </c>
      <c r="C20" s="11" t="s">
        <v>120</v>
      </c>
      <c r="D20" s="11" t="s">
        <v>100</v>
      </c>
      <c r="E20" s="11">
        <v>5.5</v>
      </c>
      <c r="F20" s="11" t="s">
        <v>103</v>
      </c>
      <c r="G20" s="11"/>
    </row>
    <row r="21" spans="1:7" x14ac:dyDescent="0.25">
      <c r="A21" s="13">
        <v>45788</v>
      </c>
      <c r="B21" s="11" t="s">
        <v>53</v>
      </c>
      <c r="C21" s="11" t="s">
        <v>301</v>
      </c>
      <c r="D21" s="11" t="s">
        <v>296</v>
      </c>
      <c r="E21" s="11">
        <v>4</v>
      </c>
      <c r="F21" s="11"/>
      <c r="G21" s="11"/>
    </row>
    <row r="22" spans="1:7" x14ac:dyDescent="0.25">
      <c r="A22" s="13">
        <v>45788</v>
      </c>
      <c r="B22" s="11" t="s">
        <v>58</v>
      </c>
      <c r="C22" s="11" t="s">
        <v>100</v>
      </c>
      <c r="D22" s="11" t="s">
        <v>185</v>
      </c>
      <c r="E22" s="11">
        <v>6</v>
      </c>
      <c r="F22" s="11" t="s">
        <v>103</v>
      </c>
      <c r="G22" s="11"/>
    </row>
    <row r="23" spans="1:7" x14ac:dyDescent="0.25">
      <c r="A23" s="13">
        <v>45788</v>
      </c>
      <c r="B23" s="11" t="s">
        <v>53</v>
      </c>
      <c r="C23" s="11" t="s">
        <v>297</v>
      </c>
      <c r="D23" s="11" t="s">
        <v>301</v>
      </c>
      <c r="E23" s="11">
        <v>5</v>
      </c>
      <c r="F23" s="11"/>
      <c r="G23" s="11"/>
    </row>
    <row r="24" spans="1:7" x14ac:dyDescent="0.25">
      <c r="A24" s="13">
        <v>45788</v>
      </c>
      <c r="B24" s="11" t="s">
        <v>46</v>
      </c>
      <c r="C24" s="11" t="s">
        <v>118</v>
      </c>
      <c r="D24" s="11" t="s">
        <v>121</v>
      </c>
      <c r="E24" s="11">
        <v>6.5</v>
      </c>
      <c r="F24" s="11" t="s">
        <v>103</v>
      </c>
      <c r="G24" s="11"/>
    </row>
    <row r="25" spans="1:7" x14ac:dyDescent="0.25">
      <c r="A25" s="13">
        <v>45789</v>
      </c>
      <c r="B25" s="11" t="s">
        <v>49</v>
      </c>
      <c r="C25" s="11" t="s">
        <v>105</v>
      </c>
      <c r="D25" s="11" t="s">
        <v>155</v>
      </c>
      <c r="E25" s="11">
        <v>4</v>
      </c>
      <c r="F25" s="11"/>
      <c r="G25" s="11"/>
    </row>
    <row r="26" spans="1:7" x14ac:dyDescent="0.25">
      <c r="A26" s="13">
        <v>45790</v>
      </c>
      <c r="B26" s="11" t="s">
        <v>56</v>
      </c>
      <c r="C26" s="11" t="s">
        <v>120</v>
      </c>
      <c r="D26" s="11" t="s">
        <v>100</v>
      </c>
      <c r="E26" s="11">
        <v>5.5</v>
      </c>
      <c r="F26" s="11" t="s">
        <v>103</v>
      </c>
      <c r="G26" s="11"/>
    </row>
    <row r="27" spans="1:7" x14ac:dyDescent="0.25">
      <c r="A27" s="13">
        <v>45791</v>
      </c>
      <c r="B27" s="11" t="s">
        <v>56</v>
      </c>
      <c r="C27" s="11" t="s">
        <v>120</v>
      </c>
      <c r="D27" s="11" t="s">
        <v>100</v>
      </c>
      <c r="E27" s="11">
        <v>5.5</v>
      </c>
      <c r="F27" s="11" t="s">
        <v>103</v>
      </c>
      <c r="G27" s="11"/>
    </row>
    <row r="28" spans="1:7" x14ac:dyDescent="0.25">
      <c r="A28" s="13">
        <v>45792</v>
      </c>
      <c r="B28" s="11" t="s">
        <v>56</v>
      </c>
      <c r="C28" s="11" t="s">
        <v>120</v>
      </c>
      <c r="D28" s="11" t="s">
        <v>100</v>
      </c>
      <c r="E28" s="11">
        <v>5.5</v>
      </c>
      <c r="F28" s="11" t="s">
        <v>103</v>
      </c>
      <c r="G28" s="11"/>
    </row>
    <row r="29" spans="1:7" x14ac:dyDescent="0.25">
      <c r="A29" s="13">
        <v>45792</v>
      </c>
      <c r="B29" s="11" t="s">
        <v>56</v>
      </c>
      <c r="C29" s="11" t="s">
        <v>102</v>
      </c>
      <c r="D29" s="11" t="s">
        <v>269</v>
      </c>
      <c r="E29" s="11">
        <v>5</v>
      </c>
      <c r="F29" s="11"/>
      <c r="G29" s="11"/>
    </row>
    <row r="30" spans="1:7" x14ac:dyDescent="0.25">
      <c r="A30" s="13">
        <v>45427</v>
      </c>
      <c r="B30" s="11" t="s">
        <v>49</v>
      </c>
      <c r="C30" s="11" t="s">
        <v>296</v>
      </c>
      <c r="D30" s="11" t="s">
        <v>304</v>
      </c>
      <c r="E30" s="11">
        <v>4.5</v>
      </c>
      <c r="F30" s="11"/>
      <c r="G30" s="11"/>
    </row>
    <row r="31" spans="1:7" x14ac:dyDescent="0.25">
      <c r="A31" s="13">
        <v>45793</v>
      </c>
      <c r="B31" s="11" t="s">
        <v>56</v>
      </c>
      <c r="C31" s="11" t="s">
        <v>120</v>
      </c>
      <c r="D31" s="11" t="s">
        <v>100</v>
      </c>
      <c r="E31" s="11">
        <v>5.5</v>
      </c>
      <c r="F31" s="11" t="s">
        <v>103</v>
      </c>
      <c r="G31" s="11"/>
    </row>
    <row r="32" spans="1:7" x14ac:dyDescent="0.25">
      <c r="A32" s="13">
        <v>45793</v>
      </c>
      <c r="B32" s="11" t="s">
        <v>57</v>
      </c>
      <c r="C32" s="11" t="s">
        <v>130</v>
      </c>
      <c r="D32" s="11" t="s">
        <v>104</v>
      </c>
      <c r="E32" s="11">
        <v>4</v>
      </c>
      <c r="F32" s="11"/>
      <c r="G32" s="11"/>
    </row>
    <row r="33" spans="1:7" x14ac:dyDescent="0.25">
      <c r="A33" s="13">
        <v>45793</v>
      </c>
      <c r="B33" s="11" t="s">
        <v>56</v>
      </c>
      <c r="C33" s="11" t="s">
        <v>219</v>
      </c>
      <c r="D33" s="11" t="s">
        <v>172</v>
      </c>
      <c r="E33" s="11">
        <v>5</v>
      </c>
      <c r="F33" s="11"/>
      <c r="G33" s="11"/>
    </row>
    <row r="34" spans="1:7" x14ac:dyDescent="0.25">
      <c r="A34" s="13">
        <v>45793</v>
      </c>
      <c r="B34" s="11" t="s">
        <v>44</v>
      </c>
      <c r="C34" s="11" t="s">
        <v>155</v>
      </c>
      <c r="D34" s="11" t="s">
        <v>111</v>
      </c>
      <c r="E34" s="11">
        <v>3</v>
      </c>
      <c r="F34" s="11"/>
      <c r="G34" s="11"/>
    </row>
    <row r="35" spans="1:7" x14ac:dyDescent="0.25">
      <c r="A35" s="13">
        <v>45794</v>
      </c>
      <c r="B35" s="11" t="s">
        <v>56</v>
      </c>
      <c r="C35" s="11" t="s">
        <v>99</v>
      </c>
      <c r="D35" s="11" t="s">
        <v>100</v>
      </c>
      <c r="E35" s="11">
        <v>5</v>
      </c>
      <c r="F35" s="11"/>
      <c r="G35" s="11"/>
    </row>
    <row r="36" spans="1:7" x14ac:dyDescent="0.25">
      <c r="A36" s="13">
        <v>45795</v>
      </c>
      <c r="B36" s="11" t="s">
        <v>58</v>
      </c>
      <c r="C36" s="19" t="s">
        <v>181</v>
      </c>
      <c r="D36" s="11" t="s">
        <v>255</v>
      </c>
      <c r="E36" s="11">
        <v>6.5</v>
      </c>
      <c r="F36" s="11" t="s">
        <v>103</v>
      </c>
      <c r="G36" s="11"/>
    </row>
    <row r="37" spans="1:7" x14ac:dyDescent="0.25">
      <c r="A37" s="13">
        <v>45795</v>
      </c>
      <c r="B37" s="11" t="s">
        <v>56</v>
      </c>
      <c r="C37" s="19" t="s">
        <v>120</v>
      </c>
      <c r="D37" s="11" t="s">
        <v>301</v>
      </c>
      <c r="E37" s="11">
        <v>4.5</v>
      </c>
      <c r="F37" s="11"/>
      <c r="G37" s="11"/>
    </row>
    <row r="38" spans="1:7" x14ac:dyDescent="0.25">
      <c r="A38" s="13">
        <v>45796</v>
      </c>
      <c r="B38" s="11" t="s">
        <v>48</v>
      </c>
      <c r="C38" s="19" t="s">
        <v>100</v>
      </c>
      <c r="D38" s="11" t="s">
        <v>155</v>
      </c>
      <c r="E38" s="11">
        <v>5</v>
      </c>
      <c r="F38" s="11"/>
      <c r="G38" s="11"/>
    </row>
    <row r="39" spans="1:7" x14ac:dyDescent="0.25">
      <c r="A39" s="13">
        <v>45796</v>
      </c>
      <c r="B39" s="11" t="s">
        <v>58</v>
      </c>
      <c r="C39" s="19" t="s">
        <v>105</v>
      </c>
      <c r="D39" s="11" t="s">
        <v>255</v>
      </c>
      <c r="E39" s="11">
        <v>7</v>
      </c>
      <c r="F39" s="11" t="s">
        <v>103</v>
      </c>
      <c r="G39" s="11"/>
    </row>
    <row r="40" spans="1:7" x14ac:dyDescent="0.25">
      <c r="A40" s="13">
        <v>45797</v>
      </c>
      <c r="B40" s="11" t="s">
        <v>56</v>
      </c>
      <c r="C40" s="19" t="s">
        <v>166</v>
      </c>
      <c r="D40" s="11" t="s">
        <v>100</v>
      </c>
      <c r="E40" s="11">
        <v>5.5</v>
      </c>
      <c r="F40" s="11" t="s">
        <v>103</v>
      </c>
      <c r="G40" s="11"/>
    </row>
    <row r="41" spans="1:7" x14ac:dyDescent="0.25">
      <c r="A41" s="13">
        <v>45797</v>
      </c>
      <c r="B41" s="11" t="s">
        <v>58</v>
      </c>
      <c r="C41" s="19" t="s">
        <v>219</v>
      </c>
      <c r="D41" s="11" t="s">
        <v>107</v>
      </c>
      <c r="E41" s="11">
        <v>3.5</v>
      </c>
      <c r="F41" s="11"/>
      <c r="G41" s="11"/>
    </row>
    <row r="42" spans="1:7" x14ac:dyDescent="0.25">
      <c r="A42" s="13">
        <v>45798</v>
      </c>
      <c r="B42" s="11" t="s">
        <v>56</v>
      </c>
      <c r="C42" s="19" t="s">
        <v>120</v>
      </c>
      <c r="D42" s="11" t="s">
        <v>100</v>
      </c>
      <c r="E42" s="11">
        <v>5.5</v>
      </c>
      <c r="F42" s="11" t="s">
        <v>103</v>
      </c>
      <c r="G42" s="11"/>
    </row>
    <row r="43" spans="1:7" x14ac:dyDescent="0.25">
      <c r="A43" s="13">
        <v>45799</v>
      </c>
      <c r="B43" s="11" t="s">
        <v>56</v>
      </c>
      <c r="C43" s="19" t="s">
        <v>296</v>
      </c>
      <c r="D43" s="11" t="s">
        <v>269</v>
      </c>
      <c r="E43" s="11">
        <v>4.5</v>
      </c>
      <c r="F43" s="11"/>
      <c r="G43" s="11"/>
    </row>
    <row r="44" spans="1:7" x14ac:dyDescent="0.25">
      <c r="A44" s="13">
        <v>45799</v>
      </c>
      <c r="B44" s="11" t="s">
        <v>56</v>
      </c>
      <c r="C44" s="19" t="s">
        <v>120</v>
      </c>
      <c r="D44" s="11" t="s">
        <v>126</v>
      </c>
      <c r="E44" s="11">
        <v>5</v>
      </c>
      <c r="F44" s="11"/>
      <c r="G44" s="11"/>
    </row>
    <row r="45" spans="1:7" x14ac:dyDescent="0.25">
      <c r="A45" s="13">
        <v>45800</v>
      </c>
      <c r="B45" s="11" t="s">
        <v>56</v>
      </c>
      <c r="C45" s="19" t="s">
        <v>120</v>
      </c>
      <c r="D45" s="11" t="s">
        <v>100</v>
      </c>
      <c r="E45" s="11">
        <v>5.5</v>
      </c>
      <c r="F45" s="11" t="s">
        <v>103</v>
      </c>
      <c r="G45" s="11"/>
    </row>
    <row r="46" spans="1:7" x14ac:dyDescent="0.25">
      <c r="A46" s="13">
        <v>45800</v>
      </c>
      <c r="B46" s="11" t="s">
        <v>56</v>
      </c>
      <c r="C46" s="19" t="s">
        <v>188</v>
      </c>
      <c r="D46" s="11" t="s">
        <v>255</v>
      </c>
      <c r="E46" s="11">
        <v>4</v>
      </c>
      <c r="F46" s="11"/>
      <c r="G46" s="11"/>
    </row>
    <row r="47" spans="1:7" x14ac:dyDescent="0.25">
      <c r="A47" s="13">
        <v>45800</v>
      </c>
      <c r="B47" s="11" t="s">
        <v>51</v>
      </c>
      <c r="C47" s="19" t="s">
        <v>121</v>
      </c>
      <c r="D47" s="11" t="s">
        <v>111</v>
      </c>
      <c r="E47" s="11">
        <v>5</v>
      </c>
      <c r="F47" s="11" t="s">
        <v>103</v>
      </c>
      <c r="G47" s="11"/>
    </row>
    <row r="48" spans="1:7" x14ac:dyDescent="0.25">
      <c r="A48" s="13">
        <v>45801</v>
      </c>
      <c r="B48" s="11" t="s">
        <v>56</v>
      </c>
      <c r="C48" s="19" t="s">
        <v>166</v>
      </c>
      <c r="D48" s="11" t="s">
        <v>100</v>
      </c>
      <c r="E48" s="11">
        <v>5.5</v>
      </c>
      <c r="F48" s="11" t="s">
        <v>103</v>
      </c>
      <c r="G48" s="11"/>
    </row>
    <row r="49" spans="1:7" x14ac:dyDescent="0.25">
      <c r="A49" s="13">
        <v>45801</v>
      </c>
      <c r="B49" s="11" t="s">
        <v>51</v>
      </c>
      <c r="C49" s="19" t="s">
        <v>188</v>
      </c>
      <c r="D49" s="11" t="s">
        <v>183</v>
      </c>
      <c r="E49" s="11">
        <v>5</v>
      </c>
      <c r="F49" s="11"/>
      <c r="G49" s="11"/>
    </row>
    <row r="50" spans="1:7" x14ac:dyDescent="0.25">
      <c r="A50" s="13">
        <v>45802</v>
      </c>
      <c r="B50" s="11" t="s">
        <v>58</v>
      </c>
      <c r="C50" s="19" t="s">
        <v>132</v>
      </c>
      <c r="D50" s="11" t="s">
        <v>107</v>
      </c>
      <c r="E50" s="11">
        <v>8.5</v>
      </c>
      <c r="F50" s="11" t="s">
        <v>122</v>
      </c>
      <c r="G50" s="11"/>
    </row>
    <row r="51" spans="1:7" x14ac:dyDescent="0.25">
      <c r="A51" s="13">
        <v>45802</v>
      </c>
      <c r="B51" s="11" t="s">
        <v>53</v>
      </c>
      <c r="C51" s="19" t="s">
        <v>155</v>
      </c>
      <c r="D51" s="11" t="s">
        <v>269</v>
      </c>
      <c r="E51" s="11">
        <v>2</v>
      </c>
      <c r="F51" s="11"/>
      <c r="G51" s="11"/>
    </row>
    <row r="52" spans="1:7" x14ac:dyDescent="0.25">
      <c r="A52" s="13">
        <v>45802</v>
      </c>
      <c r="B52" s="11" t="s">
        <v>46</v>
      </c>
      <c r="C52" s="19" t="s">
        <v>301</v>
      </c>
      <c r="D52" s="11" t="s">
        <v>155</v>
      </c>
      <c r="E52" s="11">
        <v>6</v>
      </c>
      <c r="F52" s="11" t="s">
        <v>103</v>
      </c>
      <c r="G52" s="11"/>
    </row>
    <row r="53" spans="1:7" x14ac:dyDescent="0.25">
      <c r="A53" s="13">
        <v>45803</v>
      </c>
      <c r="B53" s="11" t="s">
        <v>51</v>
      </c>
      <c r="C53" s="19" t="s">
        <v>102</v>
      </c>
      <c r="D53" s="11" t="s">
        <v>172</v>
      </c>
      <c r="E53" s="11">
        <v>7</v>
      </c>
      <c r="F53" s="11" t="s">
        <v>103</v>
      </c>
      <c r="G53" s="11"/>
    </row>
    <row r="54" spans="1:7" x14ac:dyDescent="0.25">
      <c r="A54" s="13">
        <v>45804</v>
      </c>
      <c r="B54" s="11"/>
      <c r="C54" s="11"/>
      <c r="D54" s="11"/>
      <c r="E54" s="11"/>
      <c r="F54" s="11"/>
      <c r="G54" s="11"/>
    </row>
    <row r="55" spans="1:7" x14ac:dyDescent="0.25">
      <c r="A55" s="13">
        <v>45805</v>
      </c>
      <c r="B55" s="11" t="s">
        <v>56</v>
      </c>
      <c r="C55" s="11" t="s">
        <v>120</v>
      </c>
      <c r="D55" s="11" t="s">
        <v>100</v>
      </c>
      <c r="E55" s="11">
        <v>5.5</v>
      </c>
      <c r="F55" s="11" t="s">
        <v>103</v>
      </c>
      <c r="G55" s="11"/>
    </row>
    <row r="56" spans="1:7" x14ac:dyDescent="0.25">
      <c r="A56" s="13">
        <v>45806</v>
      </c>
      <c r="B56" s="11" t="s">
        <v>49</v>
      </c>
      <c r="C56" s="11" t="s">
        <v>296</v>
      </c>
      <c r="D56" s="11" t="s">
        <v>269</v>
      </c>
      <c r="E56" s="11">
        <v>4.5</v>
      </c>
      <c r="F56" s="11"/>
      <c r="G56" s="11"/>
    </row>
    <row r="57" spans="1:7" x14ac:dyDescent="0.25">
      <c r="A57" s="13">
        <v>45807</v>
      </c>
      <c r="B57" s="11" t="s">
        <v>56</v>
      </c>
      <c r="C57" s="11" t="s">
        <v>219</v>
      </c>
      <c r="D57" s="11" t="s">
        <v>172</v>
      </c>
      <c r="E57" s="11">
        <v>5</v>
      </c>
      <c r="F57" s="11"/>
      <c r="G57" s="11"/>
    </row>
    <row r="58" spans="1:7" x14ac:dyDescent="0.25">
      <c r="A58" s="13">
        <v>45807</v>
      </c>
      <c r="B58" s="11" t="s">
        <v>44</v>
      </c>
      <c r="C58" s="11" t="s">
        <v>155</v>
      </c>
      <c r="D58" s="11" t="s">
        <v>111</v>
      </c>
      <c r="E58" s="11">
        <v>3</v>
      </c>
      <c r="F58" s="11"/>
      <c r="G58" s="11"/>
    </row>
    <row r="59" spans="1:7" x14ac:dyDescent="0.25">
      <c r="A59" s="13">
        <v>45807</v>
      </c>
      <c r="B59" s="11" t="s">
        <v>53</v>
      </c>
      <c r="C59" s="11" t="s">
        <v>181</v>
      </c>
      <c r="D59" s="11" t="s">
        <v>111</v>
      </c>
      <c r="E59" s="11">
        <v>6</v>
      </c>
      <c r="F59" s="11" t="s">
        <v>103</v>
      </c>
      <c r="G59" s="11"/>
    </row>
    <row r="60" spans="1:7" x14ac:dyDescent="0.25">
      <c r="A60" s="13">
        <v>45807</v>
      </c>
      <c r="B60" s="11" t="s">
        <v>56</v>
      </c>
      <c r="C60" s="11" t="s">
        <v>99</v>
      </c>
      <c r="D60" s="11" t="s">
        <v>100</v>
      </c>
      <c r="E60" s="11">
        <v>5</v>
      </c>
      <c r="F60" s="11"/>
      <c r="G60" s="11"/>
    </row>
    <row r="61" spans="1:7" x14ac:dyDescent="0.25">
      <c r="A61" s="13">
        <v>45808</v>
      </c>
      <c r="B61" s="11" t="s">
        <v>56</v>
      </c>
      <c r="C61" s="11" t="s">
        <v>120</v>
      </c>
      <c r="D61" s="11" t="s">
        <v>100</v>
      </c>
      <c r="E61" s="11">
        <v>5.5</v>
      </c>
      <c r="F61" s="11" t="s">
        <v>103</v>
      </c>
      <c r="G61" s="11"/>
    </row>
    <row r="62" spans="1:7" x14ac:dyDescent="0.25">
      <c r="A62" s="13">
        <v>45793</v>
      </c>
      <c r="B62" s="11" t="s">
        <v>127</v>
      </c>
      <c r="C62" s="11" t="s">
        <v>99</v>
      </c>
      <c r="D62" s="11" t="s">
        <v>126</v>
      </c>
      <c r="E62" s="11">
        <v>4</v>
      </c>
      <c r="F62" s="11"/>
      <c r="G62" s="11"/>
    </row>
    <row r="63" spans="1:7" x14ac:dyDescent="0.25">
      <c r="A63" s="13">
        <v>45793</v>
      </c>
      <c r="B63" s="11" t="s">
        <v>128</v>
      </c>
      <c r="C63" s="11" t="s">
        <v>99</v>
      </c>
      <c r="D63" s="11" t="s">
        <v>126</v>
      </c>
      <c r="E63" s="11">
        <v>4</v>
      </c>
      <c r="F63" s="11"/>
      <c r="G63" s="11"/>
    </row>
    <row r="64" spans="1:7" x14ac:dyDescent="0.25">
      <c r="A64" s="13">
        <v>45793</v>
      </c>
      <c r="B64" s="11" t="s">
        <v>147</v>
      </c>
      <c r="C64" s="11" t="s">
        <v>148</v>
      </c>
      <c r="D64" s="11" t="s">
        <v>118</v>
      </c>
      <c r="E64" s="11">
        <v>4</v>
      </c>
      <c r="F64" s="11"/>
      <c r="G64" s="11"/>
    </row>
    <row r="65" spans="1:7" x14ac:dyDescent="0.25">
      <c r="A65" s="13">
        <v>45799</v>
      </c>
      <c r="B65" s="11" t="s">
        <v>149</v>
      </c>
      <c r="C65" s="11" t="s">
        <v>118</v>
      </c>
      <c r="D65" s="11" t="s">
        <v>100</v>
      </c>
      <c r="E65" s="11">
        <v>4</v>
      </c>
      <c r="F65" s="11"/>
      <c r="G65" s="11"/>
    </row>
    <row r="66" spans="1:7" x14ac:dyDescent="0.25">
      <c r="A66" s="13">
        <v>45799</v>
      </c>
      <c r="B66" s="11" t="s">
        <v>150</v>
      </c>
      <c r="C66" s="11" t="s">
        <v>118</v>
      </c>
      <c r="D66" s="11" t="s">
        <v>100</v>
      </c>
      <c r="E66" s="11">
        <v>4</v>
      </c>
      <c r="F66" s="11"/>
      <c r="G66" s="11"/>
    </row>
    <row r="67" spans="1:7" x14ac:dyDescent="0.25">
      <c r="A67" s="13">
        <v>45799</v>
      </c>
      <c r="B67" s="11" t="s">
        <v>151</v>
      </c>
      <c r="C67" s="11" t="s">
        <v>118</v>
      </c>
      <c r="D67" s="11" t="s">
        <v>100</v>
      </c>
      <c r="E67" s="11">
        <v>4</v>
      </c>
      <c r="F67" s="11"/>
      <c r="G67" s="11"/>
    </row>
    <row r="68" spans="1:7" x14ac:dyDescent="0.25">
      <c r="A68" s="13">
        <v>45800</v>
      </c>
      <c r="B68" s="11" t="s">
        <v>152</v>
      </c>
      <c r="C68" s="11" t="s">
        <v>132</v>
      </c>
      <c r="D68" s="11" t="s">
        <v>121</v>
      </c>
      <c r="E68" s="11">
        <v>5</v>
      </c>
      <c r="F68" s="11"/>
      <c r="G68" s="11"/>
    </row>
    <row r="69" spans="1:7" x14ac:dyDescent="0.25">
      <c r="A69" s="13">
        <v>45800</v>
      </c>
      <c r="B69" s="11" t="s">
        <v>153</v>
      </c>
      <c r="C69" s="11" t="s">
        <v>121</v>
      </c>
      <c r="D69" s="11" t="s">
        <v>111</v>
      </c>
      <c r="E69" s="11">
        <v>5</v>
      </c>
      <c r="F69" s="11"/>
      <c r="G69" s="11"/>
    </row>
    <row r="70" spans="1:7" x14ac:dyDescent="0.25">
      <c r="A70" s="13">
        <v>45800</v>
      </c>
      <c r="B70" s="11" t="s">
        <v>154</v>
      </c>
      <c r="C70" s="11" t="s">
        <v>155</v>
      </c>
      <c r="D70" s="11" t="s">
        <v>111</v>
      </c>
      <c r="E70" s="11">
        <v>3</v>
      </c>
      <c r="F70" s="11"/>
      <c r="G70" s="11"/>
    </row>
    <row r="71" spans="1:7" x14ac:dyDescent="0.25">
      <c r="A71" s="13">
        <v>45800</v>
      </c>
      <c r="B71" s="11" t="s">
        <v>156</v>
      </c>
      <c r="C71" s="11" t="s">
        <v>132</v>
      </c>
      <c r="D71" s="11" t="s">
        <v>105</v>
      </c>
      <c r="E71" s="11">
        <v>3</v>
      </c>
      <c r="F71" s="11"/>
      <c r="G71" s="11"/>
    </row>
    <row r="72" spans="1:7" x14ac:dyDescent="0.25">
      <c r="A72" s="13">
        <v>45801</v>
      </c>
      <c r="B72" s="11" t="s">
        <v>106</v>
      </c>
      <c r="C72" s="11" t="s">
        <v>99</v>
      </c>
      <c r="D72" s="11" t="s">
        <v>157</v>
      </c>
      <c r="E72" s="11">
        <v>4.5</v>
      </c>
      <c r="F72" s="11"/>
      <c r="G72" s="11"/>
    </row>
    <row r="73" spans="1:7" x14ac:dyDescent="0.25">
      <c r="A73" s="13">
        <v>45801</v>
      </c>
      <c r="B73" s="11" t="s">
        <v>108</v>
      </c>
      <c r="C73" s="11" t="s">
        <v>99</v>
      </c>
      <c r="D73" s="11" t="s">
        <v>126</v>
      </c>
      <c r="E73" s="11">
        <v>4</v>
      </c>
      <c r="F73" s="11"/>
      <c r="G73" s="11"/>
    </row>
    <row r="74" spans="1:7" x14ac:dyDescent="0.25">
      <c r="A74" s="13">
        <v>45801</v>
      </c>
      <c r="B74" s="11" t="s">
        <v>158</v>
      </c>
      <c r="C74" s="11" t="s">
        <v>132</v>
      </c>
      <c r="D74" s="11" t="s">
        <v>105</v>
      </c>
      <c r="E74" s="11">
        <v>3</v>
      </c>
      <c r="F74" s="11"/>
      <c r="G74" s="11"/>
    </row>
    <row r="75" spans="1:7" x14ac:dyDescent="0.25">
      <c r="A75" s="13">
        <v>45802</v>
      </c>
      <c r="B75" s="11" t="s">
        <v>159</v>
      </c>
      <c r="C75" s="11" t="s">
        <v>99</v>
      </c>
      <c r="D75" s="11" t="s">
        <v>100</v>
      </c>
      <c r="E75" s="11">
        <v>5</v>
      </c>
      <c r="F75" s="11"/>
      <c r="G75" s="11"/>
    </row>
    <row r="76" spans="1:7" x14ac:dyDescent="0.25">
      <c r="A76" s="13">
        <v>45802</v>
      </c>
      <c r="B76" s="11" t="s">
        <v>160</v>
      </c>
      <c r="C76" s="11" t="s">
        <v>99</v>
      </c>
      <c r="D76" s="11" t="s">
        <v>100</v>
      </c>
      <c r="E76" s="11">
        <v>5</v>
      </c>
      <c r="F76" s="11"/>
      <c r="G76" s="11"/>
    </row>
    <row r="77" spans="1:7" x14ac:dyDescent="0.25">
      <c r="A77" s="13">
        <v>45802</v>
      </c>
      <c r="B77" s="11" t="s">
        <v>161</v>
      </c>
      <c r="C77" s="11" t="s">
        <v>99</v>
      </c>
      <c r="D77" s="11" t="s">
        <v>100</v>
      </c>
      <c r="E77" s="11">
        <v>5</v>
      </c>
      <c r="F77" s="11"/>
      <c r="G77" s="11"/>
    </row>
    <row r="78" spans="1:7" x14ac:dyDescent="0.25">
      <c r="A78" s="13">
        <v>45804</v>
      </c>
      <c r="B78" s="11" t="s">
        <v>162</v>
      </c>
      <c r="C78" s="11" t="s">
        <v>144</v>
      </c>
      <c r="D78" s="11" t="s">
        <v>104</v>
      </c>
      <c r="E78" s="11">
        <v>4.5</v>
      </c>
      <c r="F78" s="11"/>
      <c r="G78" s="11"/>
    </row>
    <row r="79" spans="1:7" x14ac:dyDescent="0.25">
      <c r="A79" s="13">
        <v>45804</v>
      </c>
      <c r="B79" s="11" t="s">
        <v>163</v>
      </c>
      <c r="C79" s="11" t="s">
        <v>144</v>
      </c>
      <c r="D79" s="11" t="s">
        <v>104</v>
      </c>
      <c r="E79" s="11">
        <v>4.5</v>
      </c>
      <c r="F79" s="11"/>
      <c r="G79" s="11"/>
    </row>
    <row r="80" spans="1:7" x14ac:dyDescent="0.25">
      <c r="A80" s="13">
        <v>45804</v>
      </c>
      <c r="B80" s="11" t="s">
        <v>164</v>
      </c>
      <c r="C80" s="11" t="s">
        <v>118</v>
      </c>
      <c r="D80" s="11" t="s">
        <v>105</v>
      </c>
      <c r="E80" s="11">
        <v>5</v>
      </c>
      <c r="F80" s="11"/>
      <c r="G80" s="11"/>
    </row>
    <row r="81" spans="1:7" x14ac:dyDescent="0.25">
      <c r="A81" s="13">
        <v>45804</v>
      </c>
      <c r="B81" s="11" t="s">
        <v>165</v>
      </c>
      <c r="C81" s="11" t="s">
        <v>118</v>
      </c>
      <c r="D81" s="11" t="s">
        <v>105</v>
      </c>
      <c r="E81" s="11">
        <v>5</v>
      </c>
      <c r="F81" s="11"/>
      <c r="G81" s="11"/>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39997558519241921"/>
  </sheetPr>
  <dimension ref="A1:G102"/>
  <sheetViews>
    <sheetView topLeftCell="A11" workbookViewId="0">
      <selection activeCell="A2" sqref="A1:B1048576"/>
    </sheetView>
  </sheetViews>
  <sheetFormatPr defaultRowHeight="15" x14ac:dyDescent="0.25"/>
  <cols>
    <col min="2" max="2" width="81.85546875" customWidth="1"/>
    <col min="3" max="3" width="11.28515625" customWidth="1"/>
    <col min="4" max="4" width="11.85546875" customWidth="1"/>
    <col min="5" max="5" width="14.42578125" customWidth="1"/>
    <col min="6" max="6" width="26.140625" customWidth="1"/>
    <col min="7" max="7" width="19.28515625" bestFit="1" customWidth="1"/>
  </cols>
  <sheetData>
    <row r="1" spans="1:7" x14ac:dyDescent="0.25">
      <c r="A1" s="9" t="s">
        <v>83</v>
      </c>
      <c r="B1" s="9" t="s">
        <v>84</v>
      </c>
      <c r="C1" s="9" t="s">
        <v>85</v>
      </c>
      <c r="D1" s="9" t="s">
        <v>86</v>
      </c>
      <c r="E1" s="9" t="s">
        <v>16</v>
      </c>
      <c r="F1" s="9" t="s">
        <v>87</v>
      </c>
      <c r="G1" s="9" t="s">
        <v>25</v>
      </c>
    </row>
    <row r="2" spans="1:7" x14ac:dyDescent="0.25">
      <c r="A2" s="13">
        <v>45809</v>
      </c>
      <c r="B2" s="11" t="s">
        <v>53</v>
      </c>
      <c r="C2" s="11" t="s">
        <v>99</v>
      </c>
      <c r="D2" s="11" t="s">
        <v>126</v>
      </c>
      <c r="E2" s="11">
        <v>5</v>
      </c>
      <c r="F2" s="11"/>
      <c r="G2" s="12">
        <f>SUM(E:E)</f>
        <v>600.5</v>
      </c>
    </row>
    <row r="3" spans="1:7" x14ac:dyDescent="0.25">
      <c r="A3" s="13">
        <v>45809</v>
      </c>
      <c r="B3" s="11" t="s">
        <v>46</v>
      </c>
      <c r="C3" s="11" t="s">
        <v>99</v>
      </c>
      <c r="D3" s="11" t="s">
        <v>121</v>
      </c>
      <c r="E3" s="11">
        <v>7.5</v>
      </c>
      <c r="F3" s="11" t="s">
        <v>103</v>
      </c>
      <c r="G3" s="11"/>
    </row>
    <row r="4" spans="1:7" x14ac:dyDescent="0.25">
      <c r="A4" s="13">
        <v>45809</v>
      </c>
      <c r="B4" s="11" t="s">
        <v>58</v>
      </c>
      <c r="C4" s="11" t="s">
        <v>126</v>
      </c>
      <c r="D4" s="11" t="s">
        <v>269</v>
      </c>
      <c r="E4" s="11">
        <v>7.5</v>
      </c>
      <c r="F4" s="11" t="s">
        <v>103</v>
      </c>
      <c r="G4" s="11"/>
    </row>
    <row r="5" spans="1:7" x14ac:dyDescent="0.25">
      <c r="A5" s="13">
        <v>45809</v>
      </c>
      <c r="B5" s="11" t="s">
        <v>53</v>
      </c>
      <c r="C5" s="11" t="s">
        <v>300</v>
      </c>
      <c r="D5" s="11" t="s">
        <v>269</v>
      </c>
      <c r="E5" s="11">
        <v>5</v>
      </c>
      <c r="F5" s="11"/>
      <c r="G5" s="11"/>
    </row>
    <row r="6" spans="1:7" x14ac:dyDescent="0.25">
      <c r="A6" s="13">
        <v>45810</v>
      </c>
      <c r="B6" s="11" t="s">
        <v>53</v>
      </c>
      <c r="C6" s="11" t="s">
        <v>300</v>
      </c>
      <c r="D6" s="11" t="s">
        <v>172</v>
      </c>
      <c r="E6" s="11">
        <v>6.5</v>
      </c>
      <c r="F6" s="11" t="s">
        <v>103</v>
      </c>
      <c r="G6" s="11"/>
    </row>
    <row r="7" spans="1:7" x14ac:dyDescent="0.25">
      <c r="A7" s="13">
        <v>45811</v>
      </c>
      <c r="B7" s="11" t="s">
        <v>56</v>
      </c>
      <c r="C7" s="11" t="s">
        <v>120</v>
      </c>
      <c r="D7" s="11" t="s">
        <v>100</v>
      </c>
      <c r="E7" s="11">
        <v>5.5</v>
      </c>
      <c r="F7" s="11" t="s">
        <v>103</v>
      </c>
      <c r="G7" s="11"/>
    </row>
    <row r="8" spans="1:7" x14ac:dyDescent="0.25">
      <c r="A8" s="13">
        <v>45812</v>
      </c>
      <c r="B8" s="11" t="s">
        <v>56</v>
      </c>
      <c r="C8" s="11" t="s">
        <v>120</v>
      </c>
      <c r="D8" s="11" t="s">
        <v>100</v>
      </c>
      <c r="E8" s="11">
        <v>5.5</v>
      </c>
      <c r="F8" s="11" t="s">
        <v>103</v>
      </c>
      <c r="G8" s="11"/>
    </row>
    <row r="9" spans="1:7" x14ac:dyDescent="0.25">
      <c r="A9" s="13">
        <v>45812</v>
      </c>
      <c r="B9" s="11" t="s">
        <v>53</v>
      </c>
      <c r="C9" s="11" t="s">
        <v>121</v>
      </c>
      <c r="D9" s="11" t="s">
        <v>172</v>
      </c>
      <c r="E9" s="11">
        <v>5.5</v>
      </c>
      <c r="F9" s="11" t="s">
        <v>103</v>
      </c>
      <c r="G9" s="11"/>
    </row>
    <row r="10" spans="1:7" x14ac:dyDescent="0.25">
      <c r="A10" s="13">
        <v>45813</v>
      </c>
      <c r="B10" s="11" t="s">
        <v>56</v>
      </c>
      <c r="C10" s="11" t="s">
        <v>120</v>
      </c>
      <c r="D10" s="11" t="s">
        <v>100</v>
      </c>
      <c r="E10" s="11">
        <v>5.5</v>
      </c>
      <c r="F10" s="11" t="s">
        <v>103</v>
      </c>
      <c r="G10" s="11"/>
    </row>
    <row r="11" spans="1:7" x14ac:dyDescent="0.25">
      <c r="A11" s="13">
        <v>45813</v>
      </c>
      <c r="B11" s="11" t="s">
        <v>58</v>
      </c>
      <c r="C11" s="11" t="s">
        <v>300</v>
      </c>
      <c r="D11" s="11" t="s">
        <v>269</v>
      </c>
      <c r="E11" s="11">
        <v>5</v>
      </c>
      <c r="F11" s="11"/>
      <c r="G11" s="11"/>
    </row>
    <row r="12" spans="1:7" x14ac:dyDescent="0.25">
      <c r="A12" s="13">
        <v>45813</v>
      </c>
      <c r="B12" s="11" t="s">
        <v>49</v>
      </c>
      <c r="C12" s="11" t="s">
        <v>300</v>
      </c>
      <c r="D12" s="11" t="s">
        <v>107</v>
      </c>
      <c r="E12" s="11">
        <v>5.5</v>
      </c>
      <c r="F12" s="11"/>
      <c r="G12" s="11"/>
    </row>
    <row r="13" spans="1:7" x14ac:dyDescent="0.25">
      <c r="A13" s="13">
        <v>45814</v>
      </c>
      <c r="B13" s="11" t="s">
        <v>53</v>
      </c>
      <c r="C13" s="11" t="s">
        <v>130</v>
      </c>
      <c r="D13" s="11" t="s">
        <v>100</v>
      </c>
      <c r="E13" s="11">
        <v>6.5</v>
      </c>
      <c r="F13" s="11" t="s">
        <v>103</v>
      </c>
      <c r="G13" s="11"/>
    </row>
    <row r="14" spans="1:7" x14ac:dyDescent="0.25">
      <c r="A14" s="13">
        <v>45814</v>
      </c>
      <c r="B14" s="11" t="s">
        <v>56</v>
      </c>
      <c r="C14" s="11" t="s">
        <v>120</v>
      </c>
      <c r="D14" s="11" t="s">
        <v>100</v>
      </c>
      <c r="E14" s="11">
        <v>5.5</v>
      </c>
      <c r="F14" s="11" t="s">
        <v>103</v>
      </c>
      <c r="G14" s="11"/>
    </row>
    <row r="15" spans="1:7" x14ac:dyDescent="0.25">
      <c r="A15" s="13">
        <v>45814</v>
      </c>
      <c r="B15" s="11" t="s">
        <v>56</v>
      </c>
      <c r="C15" s="11" t="s">
        <v>219</v>
      </c>
      <c r="D15" s="11" t="s">
        <v>172</v>
      </c>
      <c r="E15" s="11">
        <v>5</v>
      </c>
      <c r="F15" s="11"/>
      <c r="G15" s="11"/>
    </row>
    <row r="16" spans="1:7" x14ac:dyDescent="0.25">
      <c r="A16" s="13">
        <v>45814</v>
      </c>
      <c r="B16" s="11" t="s">
        <v>49</v>
      </c>
      <c r="C16" s="11" t="s">
        <v>155</v>
      </c>
      <c r="D16" s="11" t="s">
        <v>255</v>
      </c>
      <c r="E16" s="11">
        <v>3.5</v>
      </c>
      <c r="F16" s="11"/>
      <c r="G16" s="11"/>
    </row>
    <row r="17" spans="1:7" x14ac:dyDescent="0.25">
      <c r="A17" s="13">
        <v>45815</v>
      </c>
      <c r="B17" s="11" t="s">
        <v>56</v>
      </c>
      <c r="C17" s="11" t="s">
        <v>120</v>
      </c>
      <c r="D17" s="11" t="s">
        <v>100</v>
      </c>
      <c r="E17" s="11">
        <v>5.5</v>
      </c>
      <c r="F17" s="11" t="s">
        <v>103</v>
      </c>
      <c r="G17" s="11"/>
    </row>
    <row r="18" spans="1:7" x14ac:dyDescent="0.25">
      <c r="A18" s="13">
        <v>45816</v>
      </c>
      <c r="B18" s="11" t="s">
        <v>56</v>
      </c>
      <c r="C18" s="11" t="s">
        <v>120</v>
      </c>
      <c r="D18" s="11" t="s">
        <v>301</v>
      </c>
      <c r="E18" s="11">
        <v>4.5</v>
      </c>
      <c r="F18" s="11"/>
      <c r="G18" s="11"/>
    </row>
    <row r="19" spans="1:7" x14ac:dyDescent="0.25">
      <c r="A19" s="13">
        <v>45816</v>
      </c>
      <c r="B19" s="11" t="s">
        <v>53</v>
      </c>
      <c r="C19" s="11" t="s">
        <v>99</v>
      </c>
      <c r="D19" s="11" t="s">
        <v>166</v>
      </c>
      <c r="E19" s="11">
        <v>10</v>
      </c>
      <c r="F19" s="11" t="s">
        <v>122</v>
      </c>
      <c r="G19" s="11"/>
    </row>
    <row r="20" spans="1:7" x14ac:dyDescent="0.25">
      <c r="A20" s="13">
        <v>45816</v>
      </c>
      <c r="B20" s="11" t="s">
        <v>58</v>
      </c>
      <c r="C20" s="11" t="s">
        <v>126</v>
      </c>
      <c r="D20" s="11" t="s">
        <v>255</v>
      </c>
      <c r="E20" s="11">
        <v>8.5</v>
      </c>
      <c r="F20" s="11" t="s">
        <v>122</v>
      </c>
      <c r="G20" s="11"/>
    </row>
    <row r="21" spans="1:7" x14ac:dyDescent="0.25">
      <c r="A21" s="13">
        <v>45817</v>
      </c>
      <c r="B21" s="11" t="s">
        <v>58</v>
      </c>
      <c r="C21" s="11" t="s">
        <v>180</v>
      </c>
      <c r="D21" s="11" t="s">
        <v>188</v>
      </c>
      <c r="E21" s="11">
        <v>6.5</v>
      </c>
      <c r="F21" s="11" t="s">
        <v>103</v>
      </c>
      <c r="G21" s="11"/>
    </row>
    <row r="22" spans="1:7" x14ac:dyDescent="0.25">
      <c r="A22" s="13">
        <v>45818</v>
      </c>
      <c r="B22" s="11" t="s">
        <v>56</v>
      </c>
      <c r="C22" s="11" t="s">
        <v>120</v>
      </c>
      <c r="D22" s="11" t="s">
        <v>100</v>
      </c>
      <c r="E22" s="11">
        <v>5.5</v>
      </c>
      <c r="F22" s="11" t="s">
        <v>103</v>
      </c>
      <c r="G22" s="11"/>
    </row>
    <row r="23" spans="1:7" x14ac:dyDescent="0.25">
      <c r="A23" s="13">
        <v>45818</v>
      </c>
      <c r="B23" s="11" t="s">
        <v>44</v>
      </c>
      <c r="C23" s="11" t="s">
        <v>120</v>
      </c>
      <c r="D23" s="11" t="s">
        <v>126</v>
      </c>
      <c r="E23" s="11">
        <v>5</v>
      </c>
      <c r="F23" s="11"/>
      <c r="G23" s="11"/>
    </row>
    <row r="24" spans="1:7" x14ac:dyDescent="0.25">
      <c r="A24" s="13">
        <v>45818</v>
      </c>
      <c r="B24" s="11" t="s">
        <v>47</v>
      </c>
      <c r="C24" s="11" t="s">
        <v>301</v>
      </c>
      <c r="D24" s="11" t="s">
        <v>296</v>
      </c>
      <c r="E24" s="11">
        <v>4</v>
      </c>
      <c r="F24" s="11"/>
      <c r="G24" s="11"/>
    </row>
    <row r="25" spans="1:7" x14ac:dyDescent="0.25">
      <c r="A25" s="13">
        <v>45819</v>
      </c>
      <c r="B25" s="11" t="s">
        <v>56</v>
      </c>
      <c r="C25" s="11" t="s">
        <v>120</v>
      </c>
      <c r="D25" s="11" t="s">
        <v>100</v>
      </c>
      <c r="E25" s="11">
        <v>5.5</v>
      </c>
      <c r="F25" s="11" t="s">
        <v>103</v>
      </c>
      <c r="G25" s="11"/>
    </row>
    <row r="26" spans="1:7" x14ac:dyDescent="0.25">
      <c r="A26" s="13">
        <v>45819</v>
      </c>
      <c r="B26" s="11" t="s">
        <v>47</v>
      </c>
      <c r="C26" s="11" t="s">
        <v>301</v>
      </c>
      <c r="D26" s="11" t="s">
        <v>296</v>
      </c>
      <c r="E26" s="11">
        <v>4</v>
      </c>
      <c r="F26" s="11"/>
      <c r="G26" s="11"/>
    </row>
    <row r="27" spans="1:7" x14ac:dyDescent="0.25">
      <c r="A27" s="13">
        <v>45820</v>
      </c>
      <c r="B27" s="11" t="s">
        <v>56</v>
      </c>
      <c r="C27" s="11" t="s">
        <v>120</v>
      </c>
      <c r="D27" s="11" t="s">
        <v>100</v>
      </c>
      <c r="E27" s="11">
        <v>5.5</v>
      </c>
      <c r="F27" s="11" t="s">
        <v>103</v>
      </c>
      <c r="G27" s="11"/>
    </row>
    <row r="28" spans="1:7" x14ac:dyDescent="0.25">
      <c r="A28" s="13">
        <v>45820</v>
      </c>
      <c r="B28" s="11" t="s">
        <v>54</v>
      </c>
      <c r="C28" s="11" t="s">
        <v>132</v>
      </c>
      <c r="D28" s="11" t="s">
        <v>102</v>
      </c>
      <c r="E28" s="11">
        <v>4</v>
      </c>
      <c r="F28" s="11"/>
      <c r="G28" s="11"/>
    </row>
    <row r="29" spans="1:7" x14ac:dyDescent="0.25">
      <c r="A29" s="13">
        <v>45820</v>
      </c>
      <c r="B29" s="11" t="s">
        <v>47</v>
      </c>
      <c r="C29" s="11" t="s">
        <v>301</v>
      </c>
      <c r="D29" s="11" t="s">
        <v>296</v>
      </c>
      <c r="E29" s="11">
        <v>4</v>
      </c>
      <c r="F29" s="11"/>
      <c r="G29" s="11"/>
    </row>
    <row r="30" spans="1:7" x14ac:dyDescent="0.25">
      <c r="A30" s="13">
        <v>45820</v>
      </c>
      <c r="B30" s="11" t="s">
        <v>49</v>
      </c>
      <c r="C30" s="11" t="s">
        <v>300</v>
      </c>
      <c r="D30" s="11" t="s">
        <v>107</v>
      </c>
      <c r="E30" s="11">
        <v>4.5</v>
      </c>
      <c r="F30" s="11"/>
      <c r="G30" s="11"/>
    </row>
    <row r="31" spans="1:7" x14ac:dyDescent="0.25">
      <c r="A31" s="13">
        <v>45821</v>
      </c>
      <c r="B31" s="11" t="s">
        <v>56</v>
      </c>
      <c r="C31" s="11" t="s">
        <v>120</v>
      </c>
      <c r="D31" s="11" t="s">
        <v>100</v>
      </c>
      <c r="E31" s="11">
        <v>5.5</v>
      </c>
      <c r="F31" s="11" t="s">
        <v>103</v>
      </c>
      <c r="G31" s="11"/>
    </row>
    <row r="32" spans="1:7" x14ac:dyDescent="0.25">
      <c r="A32" s="13">
        <v>45821</v>
      </c>
      <c r="B32" s="11" t="s">
        <v>47</v>
      </c>
      <c r="C32" s="11" t="s">
        <v>301</v>
      </c>
      <c r="D32" s="11" t="s">
        <v>296</v>
      </c>
      <c r="E32" s="11">
        <v>4</v>
      </c>
      <c r="F32" s="11"/>
      <c r="G32" s="11"/>
    </row>
    <row r="33" spans="1:7" x14ac:dyDescent="0.25">
      <c r="A33" s="13">
        <v>45821</v>
      </c>
      <c r="B33" s="11" t="s">
        <v>49</v>
      </c>
      <c r="C33" s="11" t="s">
        <v>219</v>
      </c>
      <c r="D33" s="11" t="s">
        <v>255</v>
      </c>
      <c r="E33" s="11">
        <v>4.5</v>
      </c>
      <c r="F33" s="11"/>
      <c r="G33" s="11"/>
    </row>
    <row r="34" spans="1:7" x14ac:dyDescent="0.25">
      <c r="A34" s="13">
        <v>45821</v>
      </c>
      <c r="B34" s="11" t="s">
        <v>56</v>
      </c>
      <c r="C34" s="11" t="s">
        <v>305</v>
      </c>
      <c r="D34" s="11" t="s">
        <v>172</v>
      </c>
      <c r="E34" s="11">
        <v>5</v>
      </c>
      <c r="F34" s="11"/>
      <c r="G34" s="11"/>
    </row>
    <row r="35" spans="1:7" x14ac:dyDescent="0.25">
      <c r="A35" s="13">
        <v>45822</v>
      </c>
      <c r="B35" s="11" t="s">
        <v>56</v>
      </c>
      <c r="C35" s="11" t="s">
        <v>120</v>
      </c>
      <c r="D35" s="11" t="s">
        <v>100</v>
      </c>
      <c r="E35" s="11">
        <v>5.5</v>
      </c>
      <c r="F35" s="11" t="s">
        <v>103</v>
      </c>
      <c r="G35" s="11"/>
    </row>
    <row r="36" spans="1:7" x14ac:dyDescent="0.25">
      <c r="A36" s="13">
        <v>45822</v>
      </c>
      <c r="B36" s="11" t="s">
        <v>47</v>
      </c>
      <c r="C36" s="11" t="s">
        <v>301</v>
      </c>
      <c r="D36" s="11" t="s">
        <v>296</v>
      </c>
      <c r="E36" s="11">
        <v>4</v>
      </c>
      <c r="F36" s="11"/>
      <c r="G36" s="11"/>
    </row>
    <row r="37" spans="1:7" x14ac:dyDescent="0.25">
      <c r="A37" s="13">
        <v>45822</v>
      </c>
      <c r="B37" s="11" t="s">
        <v>46</v>
      </c>
      <c r="C37" s="11" t="s">
        <v>100</v>
      </c>
      <c r="D37" s="11" t="s">
        <v>172</v>
      </c>
      <c r="E37" s="11">
        <v>8</v>
      </c>
      <c r="F37" s="11" t="s">
        <v>122</v>
      </c>
      <c r="G37" s="11"/>
    </row>
    <row r="38" spans="1:7" x14ac:dyDescent="0.25">
      <c r="A38" s="13">
        <v>45823</v>
      </c>
      <c r="B38" s="11" t="s">
        <v>56</v>
      </c>
      <c r="C38" s="11" t="s">
        <v>120</v>
      </c>
      <c r="D38" s="11" t="s">
        <v>301</v>
      </c>
      <c r="E38" s="11">
        <v>4.5</v>
      </c>
      <c r="F38" s="11"/>
      <c r="G38" s="11"/>
    </row>
    <row r="39" spans="1:7" x14ac:dyDescent="0.25">
      <c r="A39" s="13">
        <v>45823</v>
      </c>
      <c r="B39" s="11" t="s">
        <v>50</v>
      </c>
      <c r="C39" s="11" t="s">
        <v>120</v>
      </c>
      <c r="D39" s="11" t="s">
        <v>306</v>
      </c>
      <c r="E39" s="11">
        <v>16</v>
      </c>
      <c r="F39" s="11" t="s">
        <v>307</v>
      </c>
      <c r="G39" s="11"/>
    </row>
    <row r="40" spans="1:7" x14ac:dyDescent="0.25">
      <c r="A40" s="13">
        <v>45823</v>
      </c>
      <c r="B40" s="11" t="s">
        <v>46</v>
      </c>
      <c r="C40" s="11" t="s">
        <v>100</v>
      </c>
      <c r="D40" s="11" t="s">
        <v>172</v>
      </c>
      <c r="E40" s="11">
        <v>8</v>
      </c>
      <c r="F40" s="11" t="s">
        <v>122</v>
      </c>
      <c r="G40" s="11"/>
    </row>
    <row r="41" spans="1:7" x14ac:dyDescent="0.25">
      <c r="A41" s="13">
        <v>45824</v>
      </c>
      <c r="B41" s="11" t="s">
        <v>46</v>
      </c>
      <c r="C41" s="11" t="s">
        <v>118</v>
      </c>
      <c r="D41" s="11" t="s">
        <v>105</v>
      </c>
      <c r="E41" s="11">
        <v>5</v>
      </c>
      <c r="F41" s="11"/>
      <c r="G41" s="11"/>
    </row>
    <row r="42" spans="1:7" x14ac:dyDescent="0.25">
      <c r="A42" s="13">
        <v>45824</v>
      </c>
      <c r="B42" s="11" t="s">
        <v>53</v>
      </c>
      <c r="C42" s="11" t="s">
        <v>100</v>
      </c>
      <c r="D42" s="11" t="s">
        <v>111</v>
      </c>
      <c r="E42" s="11">
        <v>7.5</v>
      </c>
      <c r="F42" s="11" t="s">
        <v>103</v>
      </c>
      <c r="G42" s="11"/>
    </row>
    <row r="43" spans="1:7" x14ac:dyDescent="0.25">
      <c r="A43" s="13">
        <v>45825</v>
      </c>
      <c r="B43" s="11" t="s">
        <v>56</v>
      </c>
      <c r="C43" s="11" t="s">
        <v>120</v>
      </c>
      <c r="D43" s="11" t="s">
        <v>100</v>
      </c>
      <c r="E43" s="11">
        <v>5.5</v>
      </c>
      <c r="F43" s="11" t="s">
        <v>103</v>
      </c>
      <c r="G43" s="11"/>
    </row>
    <row r="44" spans="1:7" x14ac:dyDescent="0.25">
      <c r="A44" s="13">
        <v>45825</v>
      </c>
      <c r="B44" s="11" t="s">
        <v>47</v>
      </c>
      <c r="C44" s="11" t="s">
        <v>120</v>
      </c>
      <c r="D44" s="11" t="s">
        <v>296</v>
      </c>
      <c r="E44" s="11">
        <v>8</v>
      </c>
      <c r="F44" s="11" t="s">
        <v>103</v>
      </c>
      <c r="G44" s="11"/>
    </row>
    <row r="45" spans="1:7" x14ac:dyDescent="0.25">
      <c r="A45" s="13">
        <v>45826</v>
      </c>
      <c r="B45" s="11" t="s">
        <v>56</v>
      </c>
      <c r="C45" s="11" t="s">
        <v>120</v>
      </c>
      <c r="D45" s="11" t="s">
        <v>100</v>
      </c>
      <c r="E45" s="11">
        <v>5.5</v>
      </c>
      <c r="F45" s="11" t="s">
        <v>103</v>
      </c>
      <c r="G45" s="11"/>
    </row>
    <row r="46" spans="1:7" x14ac:dyDescent="0.25">
      <c r="A46" s="13">
        <v>45826</v>
      </c>
      <c r="B46" s="11" t="s">
        <v>94</v>
      </c>
      <c r="C46" s="11" t="s">
        <v>132</v>
      </c>
      <c r="D46" s="11" t="s">
        <v>296</v>
      </c>
      <c r="E46" s="11">
        <v>4.5</v>
      </c>
      <c r="F46" s="11"/>
      <c r="G46" s="11"/>
    </row>
    <row r="47" spans="1:7" x14ac:dyDescent="0.25">
      <c r="A47" s="13">
        <v>45827</v>
      </c>
      <c r="B47" s="11" t="s">
        <v>56</v>
      </c>
      <c r="C47" s="11" t="s">
        <v>120</v>
      </c>
      <c r="D47" s="11" t="s">
        <v>100</v>
      </c>
      <c r="E47" s="11">
        <v>5.5</v>
      </c>
      <c r="F47" s="11" t="s">
        <v>103</v>
      </c>
      <c r="G47" s="11"/>
    </row>
    <row r="48" spans="1:7" x14ac:dyDescent="0.25">
      <c r="A48" s="13">
        <v>45827</v>
      </c>
      <c r="B48" s="11" t="s">
        <v>94</v>
      </c>
      <c r="C48" s="11" t="s">
        <v>132</v>
      </c>
      <c r="D48" s="11" t="s">
        <v>296</v>
      </c>
      <c r="E48" s="11">
        <v>4.5</v>
      </c>
      <c r="F48" s="11"/>
      <c r="G48" s="11"/>
    </row>
    <row r="49" spans="1:7" x14ac:dyDescent="0.25">
      <c r="A49" s="13">
        <v>45827</v>
      </c>
      <c r="B49" s="11" t="s">
        <v>46</v>
      </c>
      <c r="C49" s="11" t="s">
        <v>300</v>
      </c>
      <c r="D49" s="11" t="s">
        <v>111</v>
      </c>
      <c r="E49" s="11">
        <v>5.5</v>
      </c>
      <c r="F49" s="11" t="s">
        <v>103</v>
      </c>
      <c r="G49" s="11"/>
    </row>
    <row r="50" spans="1:7" x14ac:dyDescent="0.25">
      <c r="A50" s="13">
        <v>45827</v>
      </c>
      <c r="B50" s="11" t="s">
        <v>58</v>
      </c>
      <c r="C50" s="11" t="s">
        <v>121</v>
      </c>
      <c r="D50" s="11" t="s">
        <v>269</v>
      </c>
      <c r="E50" s="11">
        <v>4</v>
      </c>
      <c r="F50" s="11"/>
      <c r="G50" s="11"/>
    </row>
    <row r="51" spans="1:7" x14ac:dyDescent="0.25">
      <c r="A51" s="13">
        <v>45828</v>
      </c>
      <c r="B51" s="11" t="s">
        <v>56</v>
      </c>
      <c r="C51" s="11" t="s">
        <v>120</v>
      </c>
      <c r="D51" s="11" t="s">
        <v>100</v>
      </c>
      <c r="E51" s="11">
        <v>5.5</v>
      </c>
      <c r="F51" s="11" t="s">
        <v>103</v>
      </c>
      <c r="G51" s="11"/>
    </row>
    <row r="52" spans="1:7" x14ac:dyDescent="0.25">
      <c r="A52" s="13">
        <v>45828</v>
      </c>
      <c r="B52" s="11" t="s">
        <v>94</v>
      </c>
      <c r="C52" s="11" t="s">
        <v>132</v>
      </c>
      <c r="D52" s="11" t="s">
        <v>296</v>
      </c>
      <c r="E52" s="11">
        <v>4.5</v>
      </c>
      <c r="F52" s="11"/>
      <c r="G52" s="11"/>
    </row>
    <row r="53" spans="1:7" x14ac:dyDescent="0.25">
      <c r="A53" s="13">
        <v>45828</v>
      </c>
      <c r="B53" s="11" t="s">
        <v>92</v>
      </c>
      <c r="C53" s="11" t="s">
        <v>219</v>
      </c>
      <c r="D53" s="11" t="s">
        <v>255</v>
      </c>
      <c r="E53" s="11">
        <v>4.5</v>
      </c>
      <c r="F53" s="11"/>
      <c r="G53" s="11"/>
    </row>
    <row r="54" spans="1:7" x14ac:dyDescent="0.25">
      <c r="A54" s="13">
        <v>45828</v>
      </c>
      <c r="B54" s="11" t="s">
        <v>56</v>
      </c>
      <c r="C54" s="11" t="s">
        <v>219</v>
      </c>
      <c r="D54" s="11" t="s">
        <v>172</v>
      </c>
      <c r="E54" s="11">
        <v>5</v>
      </c>
      <c r="F54" s="11"/>
      <c r="G54" s="11"/>
    </row>
    <row r="55" spans="1:7" x14ac:dyDescent="0.25">
      <c r="A55" s="13">
        <v>45829</v>
      </c>
      <c r="B55" s="11" t="s">
        <v>56</v>
      </c>
      <c r="C55" s="11" t="s">
        <v>120</v>
      </c>
      <c r="D55" s="11" t="s">
        <v>100</v>
      </c>
      <c r="E55" s="11">
        <v>5.5</v>
      </c>
      <c r="F55" s="11" t="s">
        <v>103</v>
      </c>
      <c r="G55" s="11"/>
    </row>
    <row r="56" spans="1:7" x14ac:dyDescent="0.25">
      <c r="A56" s="13">
        <v>45829</v>
      </c>
      <c r="B56" s="11" t="s">
        <v>94</v>
      </c>
      <c r="C56" s="11" t="s">
        <v>132</v>
      </c>
      <c r="D56" s="11" t="s">
        <v>296</v>
      </c>
      <c r="E56" s="11">
        <v>4.5</v>
      </c>
      <c r="F56" s="11"/>
      <c r="G56" s="11"/>
    </row>
    <row r="57" spans="1:7" x14ac:dyDescent="0.25">
      <c r="A57" s="13">
        <v>45829</v>
      </c>
      <c r="B57" s="11" t="s">
        <v>53</v>
      </c>
      <c r="C57" s="11" t="s">
        <v>126</v>
      </c>
      <c r="D57" s="11" t="s">
        <v>226</v>
      </c>
      <c r="E57" s="11">
        <v>11</v>
      </c>
      <c r="F57" s="11" t="s">
        <v>122</v>
      </c>
      <c r="G57" s="11"/>
    </row>
    <row r="58" spans="1:7" x14ac:dyDescent="0.25">
      <c r="A58" s="13">
        <v>45829</v>
      </c>
      <c r="B58" s="11" t="s">
        <v>58</v>
      </c>
      <c r="C58" s="11" t="s">
        <v>121</v>
      </c>
      <c r="D58" s="11" t="s">
        <v>172</v>
      </c>
      <c r="E58" s="11">
        <v>5.5</v>
      </c>
      <c r="F58" s="11" t="s">
        <v>103</v>
      </c>
      <c r="G58" s="11"/>
    </row>
    <row r="59" spans="1:7" x14ac:dyDescent="0.25">
      <c r="A59" s="13">
        <v>45830</v>
      </c>
      <c r="B59" s="11" t="s">
        <v>56</v>
      </c>
      <c r="C59" s="11" t="s">
        <v>120</v>
      </c>
      <c r="D59" s="11" t="s">
        <v>301</v>
      </c>
      <c r="E59" s="11">
        <v>4.5</v>
      </c>
      <c r="F59" s="11"/>
      <c r="G59" s="11"/>
    </row>
    <row r="60" spans="1:7" x14ac:dyDescent="0.25">
      <c r="A60" s="13">
        <v>45830</v>
      </c>
      <c r="B60" s="11" t="s">
        <v>48</v>
      </c>
      <c r="C60" s="11" t="s">
        <v>303</v>
      </c>
      <c r="D60" s="11" t="s">
        <v>121</v>
      </c>
      <c r="E60" s="11">
        <v>8</v>
      </c>
      <c r="F60" s="11" t="s">
        <v>103</v>
      </c>
      <c r="G60" s="11"/>
    </row>
    <row r="61" spans="1:7" x14ac:dyDescent="0.25">
      <c r="A61" s="13">
        <v>45830</v>
      </c>
      <c r="B61" s="11" t="s">
        <v>50</v>
      </c>
      <c r="C61" s="11" t="s">
        <v>120</v>
      </c>
      <c r="D61" s="11" t="s">
        <v>111</v>
      </c>
      <c r="E61" s="11">
        <v>13</v>
      </c>
      <c r="F61" s="11" t="s">
        <v>122</v>
      </c>
      <c r="G61" s="11"/>
    </row>
    <row r="62" spans="1:7" x14ac:dyDescent="0.25">
      <c r="A62" s="13">
        <v>45830</v>
      </c>
      <c r="B62" s="11" t="s">
        <v>58</v>
      </c>
      <c r="C62" s="11" t="s">
        <v>100</v>
      </c>
      <c r="D62" s="11" t="s">
        <v>189</v>
      </c>
      <c r="E62" s="11">
        <v>9</v>
      </c>
      <c r="F62" s="11" t="s">
        <v>122</v>
      </c>
      <c r="G62" s="11"/>
    </row>
    <row r="63" spans="1:7" x14ac:dyDescent="0.25">
      <c r="A63" s="13">
        <v>45830</v>
      </c>
      <c r="B63" s="11" t="s">
        <v>46</v>
      </c>
      <c r="C63" s="11" t="s">
        <v>104</v>
      </c>
      <c r="D63" s="11" t="s">
        <v>269</v>
      </c>
      <c r="E63" s="11">
        <v>9</v>
      </c>
      <c r="F63" s="11" t="s">
        <v>122</v>
      </c>
      <c r="G63" s="11"/>
    </row>
    <row r="64" spans="1:7" x14ac:dyDescent="0.25">
      <c r="A64" s="13">
        <v>45831</v>
      </c>
      <c r="B64" s="11" t="s">
        <v>46</v>
      </c>
      <c r="C64" s="11" t="s">
        <v>104</v>
      </c>
      <c r="D64" s="11" t="s">
        <v>219</v>
      </c>
      <c r="E64" s="11">
        <v>6.5</v>
      </c>
      <c r="F64" s="11" t="s">
        <v>103</v>
      </c>
      <c r="G64" s="11"/>
    </row>
    <row r="65" spans="1:7" x14ac:dyDescent="0.25">
      <c r="A65" s="13">
        <v>45831</v>
      </c>
      <c r="B65" s="11" t="s">
        <v>53</v>
      </c>
      <c r="C65" s="11" t="s">
        <v>100</v>
      </c>
      <c r="D65" s="11" t="s">
        <v>111</v>
      </c>
      <c r="E65" s="11">
        <v>7.5</v>
      </c>
      <c r="F65" s="11" t="s">
        <v>103</v>
      </c>
      <c r="G65" s="11"/>
    </row>
    <row r="66" spans="1:7" x14ac:dyDescent="0.25">
      <c r="A66" s="13">
        <v>45832</v>
      </c>
      <c r="B66" s="11" t="s">
        <v>56</v>
      </c>
      <c r="C66" s="11" t="s">
        <v>120</v>
      </c>
      <c r="D66" s="11" t="s">
        <v>100</v>
      </c>
      <c r="E66" s="11">
        <v>5.5</v>
      </c>
      <c r="F66" s="11" t="s">
        <v>103</v>
      </c>
      <c r="G66" s="11"/>
    </row>
    <row r="67" spans="1:7" x14ac:dyDescent="0.25">
      <c r="A67" s="13">
        <v>45832</v>
      </c>
      <c r="B67" s="11" t="s">
        <v>47</v>
      </c>
      <c r="C67" s="11" t="s">
        <v>120</v>
      </c>
      <c r="D67" s="11" t="s">
        <v>296</v>
      </c>
      <c r="E67" s="11">
        <v>8</v>
      </c>
      <c r="F67" s="11" t="s">
        <v>103</v>
      </c>
      <c r="G67" s="11"/>
    </row>
    <row r="68" spans="1:7" x14ac:dyDescent="0.25">
      <c r="A68" s="13">
        <v>45833</v>
      </c>
      <c r="B68" s="11" t="s">
        <v>56</v>
      </c>
      <c r="C68" s="11" t="s">
        <v>120</v>
      </c>
      <c r="D68" s="11" t="s">
        <v>100</v>
      </c>
      <c r="E68" s="11">
        <v>5.5</v>
      </c>
      <c r="F68" s="11" t="s">
        <v>103</v>
      </c>
      <c r="G68" s="11"/>
    </row>
    <row r="69" spans="1:7" x14ac:dyDescent="0.25">
      <c r="A69" s="13">
        <v>45833</v>
      </c>
      <c r="B69" s="11" t="s">
        <v>47</v>
      </c>
      <c r="C69" s="11" t="s">
        <v>120</v>
      </c>
      <c r="D69" s="11" t="s">
        <v>296</v>
      </c>
      <c r="E69" s="11">
        <v>8</v>
      </c>
      <c r="F69" s="11" t="s">
        <v>103</v>
      </c>
      <c r="G69" s="11"/>
    </row>
    <row r="70" spans="1:7" x14ac:dyDescent="0.25">
      <c r="A70" s="13">
        <v>45834</v>
      </c>
      <c r="B70" s="11" t="s">
        <v>56</v>
      </c>
      <c r="C70" s="11" t="s">
        <v>120</v>
      </c>
      <c r="D70" s="11" t="s">
        <v>100</v>
      </c>
      <c r="E70" s="11">
        <v>5.5</v>
      </c>
      <c r="F70" s="11" t="s">
        <v>103</v>
      </c>
      <c r="G70" s="11"/>
    </row>
    <row r="71" spans="1:7" x14ac:dyDescent="0.25">
      <c r="A71" s="13">
        <v>45834</v>
      </c>
      <c r="B71" s="11" t="s">
        <v>47</v>
      </c>
      <c r="C71" s="11" t="s">
        <v>120</v>
      </c>
      <c r="D71" s="11" t="s">
        <v>296</v>
      </c>
      <c r="E71" s="11">
        <v>8</v>
      </c>
      <c r="F71" s="11" t="s">
        <v>103</v>
      </c>
      <c r="G71" s="11"/>
    </row>
    <row r="72" spans="1:7" x14ac:dyDescent="0.25">
      <c r="A72" s="13">
        <v>45834</v>
      </c>
      <c r="B72" s="11" t="s">
        <v>49</v>
      </c>
      <c r="C72" s="11" t="s">
        <v>300</v>
      </c>
      <c r="D72" s="11" t="s">
        <v>107</v>
      </c>
      <c r="E72" s="11">
        <v>5.5</v>
      </c>
      <c r="F72" s="11"/>
      <c r="G72" s="11"/>
    </row>
    <row r="73" spans="1:7" x14ac:dyDescent="0.25">
      <c r="A73" s="13">
        <v>45835</v>
      </c>
      <c r="B73" s="11" t="s">
        <v>56</v>
      </c>
      <c r="C73" s="11" t="s">
        <v>120</v>
      </c>
      <c r="D73" s="11" t="s">
        <v>100</v>
      </c>
      <c r="E73" s="11">
        <v>5.5</v>
      </c>
      <c r="F73" s="11" t="s">
        <v>103</v>
      </c>
      <c r="G73" s="11"/>
    </row>
    <row r="74" spans="1:7" x14ac:dyDescent="0.25">
      <c r="A74" s="13">
        <v>45835</v>
      </c>
      <c r="B74" s="11" t="s">
        <v>94</v>
      </c>
      <c r="C74" s="11" t="s">
        <v>132</v>
      </c>
      <c r="D74" s="11" t="s">
        <v>296</v>
      </c>
      <c r="E74" s="11">
        <v>4.5</v>
      </c>
      <c r="F74" s="11"/>
      <c r="G74" s="11"/>
    </row>
    <row r="75" spans="1:7" x14ac:dyDescent="0.25">
      <c r="A75" s="13">
        <v>45835</v>
      </c>
      <c r="B75" s="11" t="s">
        <v>49</v>
      </c>
      <c r="C75" s="11" t="s">
        <v>219</v>
      </c>
      <c r="D75" s="11" t="s">
        <v>255</v>
      </c>
      <c r="E75" s="11">
        <v>4.5</v>
      </c>
      <c r="F75" s="11"/>
      <c r="G75" s="11"/>
    </row>
    <row r="76" spans="1:7" x14ac:dyDescent="0.25">
      <c r="A76" s="13">
        <v>45835</v>
      </c>
      <c r="B76" s="11" t="s">
        <v>56</v>
      </c>
      <c r="C76" s="11" t="s">
        <v>219</v>
      </c>
      <c r="D76" s="11" t="s">
        <v>172</v>
      </c>
      <c r="E76" s="11">
        <v>5</v>
      </c>
      <c r="F76" s="11"/>
      <c r="G76" s="11"/>
    </row>
    <row r="77" spans="1:7" x14ac:dyDescent="0.25">
      <c r="A77" s="13">
        <v>45836</v>
      </c>
      <c r="B77" s="11" t="s">
        <v>56</v>
      </c>
      <c r="C77" s="11" t="s">
        <v>120</v>
      </c>
      <c r="D77" s="11" t="s">
        <v>100</v>
      </c>
      <c r="E77" s="11">
        <v>5.5</v>
      </c>
      <c r="F77" s="11" t="s">
        <v>103</v>
      </c>
      <c r="G77" s="11"/>
    </row>
    <row r="78" spans="1:7" x14ac:dyDescent="0.25">
      <c r="A78" s="13">
        <v>45836</v>
      </c>
      <c r="B78" s="11" t="s">
        <v>94</v>
      </c>
      <c r="C78" s="11" t="s">
        <v>132</v>
      </c>
      <c r="D78" s="11" t="s">
        <v>296</v>
      </c>
      <c r="E78" s="11">
        <v>4.5</v>
      </c>
      <c r="F78" s="11"/>
      <c r="G78" s="11"/>
    </row>
    <row r="79" spans="1:7" x14ac:dyDescent="0.25">
      <c r="A79" s="13">
        <v>45837</v>
      </c>
      <c r="B79" s="11" t="s">
        <v>56</v>
      </c>
      <c r="C79" s="11" t="s">
        <v>120</v>
      </c>
      <c r="D79" s="11" t="s">
        <v>301</v>
      </c>
      <c r="E79" s="11">
        <v>4.5</v>
      </c>
      <c r="F79" s="11"/>
      <c r="G79" s="11"/>
    </row>
    <row r="80" spans="1:7" x14ac:dyDescent="0.25">
      <c r="A80" s="13">
        <v>45837</v>
      </c>
      <c r="B80" s="11" t="s">
        <v>49</v>
      </c>
      <c r="C80" s="11" t="s">
        <v>120</v>
      </c>
      <c r="D80" s="11" t="s">
        <v>189</v>
      </c>
      <c r="E80" s="11">
        <v>15</v>
      </c>
      <c r="F80" s="11" t="s">
        <v>122</v>
      </c>
      <c r="G80" s="11"/>
    </row>
    <row r="81" spans="1:7" x14ac:dyDescent="0.25">
      <c r="A81" s="13">
        <v>45837</v>
      </c>
      <c r="B81" s="11" t="s">
        <v>48</v>
      </c>
      <c r="C81" s="11" t="s">
        <v>303</v>
      </c>
      <c r="D81" s="11" t="s">
        <v>296</v>
      </c>
      <c r="E81" s="11">
        <v>7.5</v>
      </c>
      <c r="F81" s="11" t="s">
        <v>103</v>
      </c>
      <c r="G81" s="11"/>
    </row>
    <row r="82" spans="1:7" x14ac:dyDescent="0.25">
      <c r="A82" s="13">
        <v>45837</v>
      </c>
      <c r="B82" s="11" t="s">
        <v>58</v>
      </c>
      <c r="C82" s="11" t="s">
        <v>126</v>
      </c>
      <c r="D82" s="11" t="s">
        <v>166</v>
      </c>
      <c r="E82" s="11">
        <v>6.5</v>
      </c>
      <c r="F82" s="11" t="s">
        <v>103</v>
      </c>
      <c r="G82" s="11"/>
    </row>
    <row r="83" spans="1:7" x14ac:dyDescent="0.25">
      <c r="A83" s="13">
        <v>45837</v>
      </c>
      <c r="B83" s="11" t="s">
        <v>46</v>
      </c>
      <c r="C83" s="11" t="s">
        <v>104</v>
      </c>
      <c r="D83" s="11" t="s">
        <v>166</v>
      </c>
      <c r="E83" s="11">
        <v>8</v>
      </c>
      <c r="F83" s="11" t="s">
        <v>122</v>
      </c>
      <c r="G83" s="11"/>
    </row>
    <row r="84" spans="1:7" x14ac:dyDescent="0.25">
      <c r="A84" s="13">
        <v>45815</v>
      </c>
      <c r="B84" s="11" t="s">
        <v>106</v>
      </c>
      <c r="C84" s="11" t="s">
        <v>105</v>
      </c>
      <c r="D84" s="11" t="s">
        <v>166</v>
      </c>
      <c r="E84" s="11">
        <v>5</v>
      </c>
      <c r="F84" s="11"/>
      <c r="G84" s="11"/>
    </row>
    <row r="85" spans="1:7" x14ac:dyDescent="0.25">
      <c r="A85" s="13">
        <v>45815</v>
      </c>
      <c r="B85" s="11" t="s">
        <v>167</v>
      </c>
      <c r="C85" s="11" t="s">
        <v>105</v>
      </c>
      <c r="D85" s="11" t="s">
        <v>166</v>
      </c>
      <c r="E85" s="11">
        <v>5</v>
      </c>
      <c r="F85" s="11"/>
      <c r="G85" s="11"/>
    </row>
    <row r="86" spans="1:7" x14ac:dyDescent="0.25">
      <c r="A86" s="13">
        <v>45815</v>
      </c>
      <c r="B86" s="11" t="s">
        <v>168</v>
      </c>
      <c r="C86" s="11" t="s">
        <v>105</v>
      </c>
      <c r="D86" s="11" t="s">
        <v>166</v>
      </c>
      <c r="E86" s="11">
        <v>5</v>
      </c>
      <c r="F86" s="11"/>
      <c r="G86" s="11"/>
    </row>
    <row r="87" spans="1:7" x14ac:dyDescent="0.25">
      <c r="A87" s="13">
        <v>45816</v>
      </c>
      <c r="B87" s="11" t="s">
        <v>169</v>
      </c>
      <c r="C87" s="11" t="s">
        <v>132</v>
      </c>
      <c r="D87" s="11" t="s">
        <v>102</v>
      </c>
      <c r="E87" s="11">
        <v>4</v>
      </c>
      <c r="F87" s="11"/>
      <c r="G87" s="11"/>
    </row>
    <row r="88" spans="1:7" x14ac:dyDescent="0.25">
      <c r="A88" s="13">
        <v>45816</v>
      </c>
      <c r="B88" s="11" t="s">
        <v>170</v>
      </c>
      <c r="C88" s="11" t="s">
        <v>132</v>
      </c>
      <c r="D88" s="11" t="s">
        <v>102</v>
      </c>
      <c r="E88" s="11">
        <v>4</v>
      </c>
      <c r="F88" s="11"/>
      <c r="G88" s="11"/>
    </row>
    <row r="89" spans="1:7" x14ac:dyDescent="0.25">
      <c r="A89" s="13">
        <v>45816</v>
      </c>
      <c r="B89" s="11" t="s">
        <v>171</v>
      </c>
      <c r="C89" s="11" t="s">
        <v>102</v>
      </c>
      <c r="D89" s="11" t="s">
        <v>172</v>
      </c>
      <c r="E89" s="11">
        <v>6.5</v>
      </c>
      <c r="F89" s="11" t="s">
        <v>103</v>
      </c>
      <c r="G89" s="11"/>
    </row>
    <row r="90" spans="1:7" x14ac:dyDescent="0.25">
      <c r="A90" s="13">
        <v>45816</v>
      </c>
      <c r="B90" s="11" t="s">
        <v>173</v>
      </c>
      <c r="C90" s="11" t="s">
        <v>102</v>
      </c>
      <c r="D90" s="11" t="s">
        <v>172</v>
      </c>
      <c r="E90" s="11">
        <v>6.5</v>
      </c>
      <c r="F90" s="11" t="s">
        <v>103</v>
      </c>
      <c r="G90" s="11"/>
    </row>
    <row r="91" spans="1:7" x14ac:dyDescent="0.25">
      <c r="A91" s="13">
        <v>45817</v>
      </c>
      <c r="B91" s="11" t="s">
        <v>174</v>
      </c>
      <c r="C91" s="11" t="s">
        <v>148</v>
      </c>
      <c r="D91" s="11" t="s">
        <v>126</v>
      </c>
      <c r="E91" s="11">
        <v>6.5</v>
      </c>
      <c r="F91" s="11" t="s">
        <v>103</v>
      </c>
      <c r="G91" s="11"/>
    </row>
    <row r="92" spans="1:7" x14ac:dyDescent="0.25">
      <c r="A92" s="13">
        <v>45817</v>
      </c>
      <c r="B92" s="11" t="s">
        <v>175</v>
      </c>
      <c r="C92" s="11" t="s">
        <v>148</v>
      </c>
      <c r="D92" s="11" t="s">
        <v>126</v>
      </c>
      <c r="E92" s="11">
        <v>6.5</v>
      </c>
      <c r="F92" s="11" t="s">
        <v>103</v>
      </c>
      <c r="G92" s="11"/>
    </row>
    <row r="93" spans="1:7" x14ac:dyDescent="0.25">
      <c r="A93" s="13">
        <v>45819</v>
      </c>
      <c r="B93" s="11" t="s">
        <v>176</v>
      </c>
      <c r="C93" s="11" t="s">
        <v>102</v>
      </c>
      <c r="D93" s="11" t="s">
        <v>177</v>
      </c>
      <c r="E93" s="11">
        <v>3.5</v>
      </c>
      <c r="F93" s="11"/>
      <c r="G93" s="11"/>
    </row>
    <row r="94" spans="1:7" x14ac:dyDescent="0.25">
      <c r="A94" s="13">
        <v>45822</v>
      </c>
      <c r="B94" s="11" t="s">
        <v>178</v>
      </c>
      <c r="C94" s="11" t="s">
        <v>104</v>
      </c>
      <c r="D94" s="11" t="s">
        <v>121</v>
      </c>
      <c r="E94" s="11">
        <v>5.5</v>
      </c>
      <c r="F94" s="11" t="s">
        <v>103</v>
      </c>
      <c r="G94" s="11"/>
    </row>
    <row r="95" spans="1:7" x14ac:dyDescent="0.25">
      <c r="A95" s="13">
        <v>45822</v>
      </c>
      <c r="B95" s="11" t="s">
        <v>179</v>
      </c>
      <c r="C95" s="11" t="s">
        <v>180</v>
      </c>
      <c r="D95" s="11" t="s">
        <v>181</v>
      </c>
      <c r="E95" s="11">
        <v>4</v>
      </c>
      <c r="F95" s="11"/>
      <c r="G95" s="11"/>
    </row>
    <row r="96" spans="1:7" x14ac:dyDescent="0.25">
      <c r="A96" s="13">
        <v>45822</v>
      </c>
      <c r="B96" s="11" t="s">
        <v>182</v>
      </c>
      <c r="C96" s="11" t="s">
        <v>121</v>
      </c>
      <c r="D96" s="11" t="s">
        <v>183</v>
      </c>
      <c r="E96" s="11">
        <v>6</v>
      </c>
      <c r="F96" s="11" t="s">
        <v>103</v>
      </c>
      <c r="G96" s="11"/>
    </row>
    <row r="97" spans="1:7" x14ac:dyDescent="0.25">
      <c r="A97" s="13">
        <v>45823</v>
      </c>
      <c r="B97" s="11" t="s">
        <v>106</v>
      </c>
      <c r="C97" s="11" t="s">
        <v>99</v>
      </c>
      <c r="D97" s="11" t="s">
        <v>100</v>
      </c>
      <c r="E97" s="11">
        <v>5</v>
      </c>
      <c r="F97" s="11"/>
      <c r="G97" s="11"/>
    </row>
    <row r="98" spans="1:7" x14ac:dyDescent="0.25">
      <c r="A98" s="13">
        <v>45823</v>
      </c>
      <c r="B98" s="11" t="s">
        <v>167</v>
      </c>
      <c r="C98" s="11" t="s">
        <v>99</v>
      </c>
      <c r="D98" s="11" t="s">
        <v>100</v>
      </c>
      <c r="E98" s="11">
        <v>5</v>
      </c>
      <c r="F98" s="11"/>
      <c r="G98" s="11"/>
    </row>
    <row r="99" spans="1:7" x14ac:dyDescent="0.25">
      <c r="A99" s="13">
        <v>45835</v>
      </c>
      <c r="B99" s="11" t="s">
        <v>184</v>
      </c>
      <c r="C99" s="11" t="s">
        <v>105</v>
      </c>
      <c r="D99" s="11" t="s">
        <v>185</v>
      </c>
      <c r="E99" s="11">
        <v>5.5</v>
      </c>
      <c r="F99" s="11"/>
      <c r="G99" s="11"/>
    </row>
    <row r="100" spans="1:7" x14ac:dyDescent="0.25">
      <c r="A100" s="13">
        <v>45835</v>
      </c>
      <c r="B100" s="11" t="s">
        <v>186</v>
      </c>
      <c r="C100" s="11" t="s">
        <v>105</v>
      </c>
      <c r="D100" s="11" t="s">
        <v>185</v>
      </c>
      <c r="E100" s="11">
        <v>5.5</v>
      </c>
      <c r="F100" s="11"/>
      <c r="G100" s="11"/>
    </row>
    <row r="101" spans="1:7" x14ac:dyDescent="0.25">
      <c r="A101" s="13">
        <v>45836</v>
      </c>
      <c r="B101" s="11" t="s">
        <v>187</v>
      </c>
      <c r="C101" s="11" t="s">
        <v>188</v>
      </c>
      <c r="D101" s="11" t="s">
        <v>189</v>
      </c>
      <c r="E101" s="11">
        <v>5.5</v>
      </c>
      <c r="F101" s="11"/>
      <c r="G101" s="11"/>
    </row>
    <row r="102" spans="1:7" x14ac:dyDescent="0.25">
      <c r="A102" s="13">
        <v>45836</v>
      </c>
      <c r="B102" s="11" t="s">
        <v>190</v>
      </c>
      <c r="C102" s="11" t="s">
        <v>177</v>
      </c>
      <c r="D102" s="11" t="s">
        <v>172</v>
      </c>
      <c r="E102" s="11">
        <v>3.5</v>
      </c>
      <c r="F102" s="11"/>
      <c r="G102" s="11"/>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14C53-28D6-4BBE-9724-20B5EADDC36A}">
  <sheetPr>
    <tabColor theme="9" tint="0.39997558519241921"/>
  </sheetPr>
  <dimension ref="A1:G106"/>
  <sheetViews>
    <sheetView workbookViewId="0">
      <selection activeCell="F39" sqref="F39"/>
    </sheetView>
  </sheetViews>
  <sheetFormatPr defaultRowHeight="15" x14ac:dyDescent="0.25"/>
  <cols>
    <col min="2" max="2" width="87" customWidth="1"/>
    <col min="5" max="5" width="18.140625" customWidth="1"/>
    <col min="6" max="6" width="27.28515625" customWidth="1"/>
    <col min="7" max="7" width="19.28515625" bestFit="1" customWidth="1"/>
  </cols>
  <sheetData>
    <row r="1" spans="1:7" x14ac:dyDescent="0.25">
      <c r="A1" s="9" t="s">
        <v>83</v>
      </c>
      <c r="B1" s="9" t="s">
        <v>84</v>
      </c>
      <c r="C1" s="9" t="s">
        <v>85</v>
      </c>
      <c r="D1" s="9" t="s">
        <v>86</v>
      </c>
      <c r="E1" s="9" t="s">
        <v>16</v>
      </c>
      <c r="F1" s="9" t="s">
        <v>87</v>
      </c>
      <c r="G1" s="9" t="s">
        <v>25</v>
      </c>
    </row>
    <row r="2" spans="1:7" x14ac:dyDescent="0.25">
      <c r="A2" s="13">
        <v>45839</v>
      </c>
      <c r="B2" s="11" t="s">
        <v>56</v>
      </c>
      <c r="C2" s="11" t="s">
        <v>120</v>
      </c>
      <c r="D2" s="11" t="s">
        <v>100</v>
      </c>
      <c r="E2" s="11">
        <v>5.5</v>
      </c>
      <c r="F2" s="11" t="s">
        <v>103</v>
      </c>
      <c r="G2" s="12">
        <f>SUM(E:E)</f>
        <v>686.25</v>
      </c>
    </row>
    <row r="3" spans="1:7" x14ac:dyDescent="0.25">
      <c r="A3" s="13">
        <v>45840</v>
      </c>
      <c r="B3" s="11" t="s">
        <v>56</v>
      </c>
      <c r="C3" s="11" t="s">
        <v>120</v>
      </c>
      <c r="D3" s="11" t="s">
        <v>100</v>
      </c>
      <c r="E3" s="11">
        <v>5.5</v>
      </c>
      <c r="F3" s="11" t="s">
        <v>103</v>
      </c>
      <c r="G3" s="11"/>
    </row>
    <row r="4" spans="1:7" x14ac:dyDescent="0.25">
      <c r="A4" s="13">
        <v>45841</v>
      </c>
      <c r="B4" s="11" t="s">
        <v>49</v>
      </c>
      <c r="C4" s="11" t="s">
        <v>102</v>
      </c>
      <c r="D4" s="11" t="s">
        <v>107</v>
      </c>
      <c r="E4" s="11">
        <v>5</v>
      </c>
      <c r="F4" s="11" t="s">
        <v>103</v>
      </c>
      <c r="G4" s="11"/>
    </row>
    <row r="5" spans="1:7" x14ac:dyDescent="0.25">
      <c r="A5" s="13">
        <v>45841</v>
      </c>
      <c r="B5" s="11" t="s">
        <v>56</v>
      </c>
      <c r="C5" s="11" t="s">
        <v>120</v>
      </c>
      <c r="D5" s="11" t="s">
        <v>100</v>
      </c>
      <c r="E5" s="11">
        <v>5.5</v>
      </c>
      <c r="F5" s="11" t="s">
        <v>103</v>
      </c>
      <c r="G5" s="11"/>
    </row>
    <row r="6" spans="1:7" s="7" customFormat="1" x14ac:dyDescent="0.25">
      <c r="A6" s="20">
        <v>45842</v>
      </c>
      <c r="B6" s="21"/>
      <c r="C6" s="21"/>
      <c r="D6" s="21"/>
      <c r="E6" s="21"/>
      <c r="F6" s="21"/>
      <c r="G6" s="21"/>
    </row>
    <row r="7" spans="1:7" x14ac:dyDescent="0.25">
      <c r="A7" s="13">
        <v>45843</v>
      </c>
      <c r="B7" s="11" t="s">
        <v>56</v>
      </c>
      <c r="C7" s="11" t="s">
        <v>308</v>
      </c>
      <c r="D7" s="11" t="s">
        <v>100</v>
      </c>
      <c r="E7" s="11">
        <v>5.5</v>
      </c>
      <c r="F7" s="11" t="s">
        <v>103</v>
      </c>
      <c r="G7" s="11"/>
    </row>
    <row r="8" spans="1:7" x14ac:dyDescent="0.25">
      <c r="A8" s="13">
        <v>45844</v>
      </c>
      <c r="B8" s="11" t="s">
        <v>53</v>
      </c>
      <c r="C8" s="11" t="s">
        <v>126</v>
      </c>
      <c r="D8" s="11" t="s">
        <v>219</v>
      </c>
      <c r="E8" s="11">
        <v>5</v>
      </c>
      <c r="F8" s="11"/>
      <c r="G8" s="11"/>
    </row>
    <row r="9" spans="1:7" x14ac:dyDescent="0.25">
      <c r="A9" s="13">
        <v>45844</v>
      </c>
      <c r="B9" s="11" t="s">
        <v>49</v>
      </c>
      <c r="C9" s="11" t="s">
        <v>295</v>
      </c>
      <c r="D9" s="11" t="s">
        <v>126</v>
      </c>
      <c r="E9" s="11">
        <v>4.45</v>
      </c>
      <c r="F9" s="11" t="s">
        <v>103</v>
      </c>
      <c r="G9" s="11"/>
    </row>
    <row r="10" spans="1:7" x14ac:dyDescent="0.25">
      <c r="A10" s="13">
        <v>45844</v>
      </c>
      <c r="B10" s="11" t="s">
        <v>56</v>
      </c>
      <c r="C10" s="11" t="s">
        <v>308</v>
      </c>
      <c r="D10" s="11" t="s">
        <v>126</v>
      </c>
      <c r="E10" s="11">
        <v>5</v>
      </c>
      <c r="F10" s="11"/>
      <c r="G10" s="11"/>
    </row>
    <row r="11" spans="1:7" x14ac:dyDescent="0.25">
      <c r="A11" s="13">
        <v>45844</v>
      </c>
      <c r="B11" s="11" t="s">
        <v>53</v>
      </c>
      <c r="C11" s="11" t="s">
        <v>219</v>
      </c>
      <c r="D11" s="11" t="s">
        <v>255</v>
      </c>
      <c r="E11" s="11">
        <v>4.5</v>
      </c>
      <c r="F11" s="11"/>
      <c r="G11" s="11"/>
    </row>
    <row r="12" spans="1:7" x14ac:dyDescent="0.25">
      <c r="A12" s="13">
        <v>45844</v>
      </c>
      <c r="B12" s="11" t="s">
        <v>58</v>
      </c>
      <c r="C12" s="11" t="s">
        <v>142</v>
      </c>
      <c r="D12" s="19" t="s">
        <v>183</v>
      </c>
      <c r="E12" s="11">
        <v>5.5</v>
      </c>
      <c r="F12" s="11" t="s">
        <v>103</v>
      </c>
      <c r="G12" s="11"/>
    </row>
    <row r="13" spans="1:7" x14ac:dyDescent="0.25">
      <c r="A13" s="13">
        <v>45845</v>
      </c>
      <c r="B13" s="11" t="s">
        <v>58</v>
      </c>
      <c r="C13" s="11" t="s">
        <v>132</v>
      </c>
      <c r="D13" s="19" t="s">
        <v>219</v>
      </c>
      <c r="E13" s="11">
        <v>5.5</v>
      </c>
      <c r="F13" s="11" t="s">
        <v>103</v>
      </c>
      <c r="G13" s="11"/>
    </row>
    <row r="14" spans="1:7" x14ac:dyDescent="0.25">
      <c r="A14" s="13">
        <v>45846</v>
      </c>
      <c r="B14" s="11" t="s">
        <v>56</v>
      </c>
      <c r="C14" s="11" t="s">
        <v>308</v>
      </c>
      <c r="D14" s="11" t="s">
        <v>100</v>
      </c>
      <c r="E14" s="11">
        <v>5.5</v>
      </c>
      <c r="F14" s="11" t="s">
        <v>103</v>
      </c>
      <c r="G14" s="11"/>
    </row>
    <row r="15" spans="1:7" x14ac:dyDescent="0.25">
      <c r="A15" s="13">
        <v>45846</v>
      </c>
      <c r="B15" s="11" t="s">
        <v>49</v>
      </c>
      <c r="C15" s="11" t="s">
        <v>308</v>
      </c>
      <c r="D15" s="11" t="s">
        <v>132</v>
      </c>
      <c r="E15" s="11">
        <v>4</v>
      </c>
      <c r="F15" s="11"/>
      <c r="G15" s="11"/>
    </row>
    <row r="16" spans="1:7" x14ac:dyDescent="0.25">
      <c r="A16" s="13">
        <v>45846</v>
      </c>
      <c r="B16" s="11" t="s">
        <v>47</v>
      </c>
      <c r="C16" s="11" t="s">
        <v>308</v>
      </c>
      <c r="D16" s="19" t="s">
        <v>296</v>
      </c>
      <c r="E16" s="11">
        <v>8</v>
      </c>
      <c r="F16" s="11" t="s">
        <v>103</v>
      </c>
      <c r="G16" s="11"/>
    </row>
    <row r="17" spans="1:7" x14ac:dyDescent="0.25">
      <c r="A17" s="13">
        <v>45847</v>
      </c>
      <c r="B17" s="11" t="s">
        <v>56</v>
      </c>
      <c r="C17" s="11" t="s">
        <v>308</v>
      </c>
      <c r="D17" s="11" t="s">
        <v>100</v>
      </c>
      <c r="E17" s="11">
        <v>5.5</v>
      </c>
      <c r="F17" s="11" t="s">
        <v>103</v>
      </c>
      <c r="G17" s="11"/>
    </row>
    <row r="18" spans="1:7" x14ac:dyDescent="0.25">
      <c r="A18" s="13">
        <v>45848</v>
      </c>
      <c r="B18" s="11" t="s">
        <v>49</v>
      </c>
      <c r="C18" s="11" t="s">
        <v>102</v>
      </c>
      <c r="D18" s="11" t="s">
        <v>107</v>
      </c>
      <c r="E18" s="11">
        <v>5</v>
      </c>
      <c r="F18" s="11" t="s">
        <v>103</v>
      </c>
      <c r="G18" s="11"/>
    </row>
    <row r="19" spans="1:7" x14ac:dyDescent="0.25">
      <c r="A19" s="13">
        <v>45848</v>
      </c>
      <c r="B19" s="11" t="s">
        <v>56</v>
      </c>
      <c r="C19" s="11" t="s">
        <v>308</v>
      </c>
      <c r="D19" s="11" t="s">
        <v>100</v>
      </c>
      <c r="E19" s="11">
        <v>5.5</v>
      </c>
      <c r="F19" s="11" t="s">
        <v>103</v>
      </c>
      <c r="G19" s="11"/>
    </row>
    <row r="20" spans="1:7" x14ac:dyDescent="0.25">
      <c r="A20" s="13">
        <v>45849</v>
      </c>
      <c r="B20" s="11" t="s">
        <v>56</v>
      </c>
      <c r="C20" s="11" t="s">
        <v>308</v>
      </c>
      <c r="D20" s="11" t="s">
        <v>100</v>
      </c>
      <c r="E20" s="11">
        <v>5.5</v>
      </c>
      <c r="F20" s="11" t="s">
        <v>103</v>
      </c>
      <c r="G20" s="11"/>
    </row>
    <row r="21" spans="1:7" x14ac:dyDescent="0.25">
      <c r="A21" s="13">
        <v>45849</v>
      </c>
      <c r="B21" s="11" t="s">
        <v>56</v>
      </c>
      <c r="C21" s="11" t="s">
        <v>219</v>
      </c>
      <c r="D21" s="11" t="s">
        <v>172</v>
      </c>
      <c r="E21" s="11">
        <v>5</v>
      </c>
      <c r="F21" s="11"/>
      <c r="G21" s="11"/>
    </row>
    <row r="22" spans="1:7" x14ac:dyDescent="0.25">
      <c r="A22" s="13">
        <v>45850</v>
      </c>
      <c r="B22" s="11" t="s">
        <v>56</v>
      </c>
      <c r="C22" s="11" t="s">
        <v>120</v>
      </c>
      <c r="D22" s="11" t="s">
        <v>100</v>
      </c>
      <c r="E22" s="11">
        <v>5.5</v>
      </c>
      <c r="F22" s="11" t="s">
        <v>103</v>
      </c>
      <c r="G22" s="11"/>
    </row>
    <row r="23" spans="1:7" x14ac:dyDescent="0.25">
      <c r="A23" s="13">
        <v>45851</v>
      </c>
      <c r="B23" s="11" t="s">
        <v>48</v>
      </c>
      <c r="C23" s="11" t="s">
        <v>126</v>
      </c>
      <c r="D23" s="11" t="s">
        <v>269</v>
      </c>
      <c r="E23" s="11">
        <v>7.5</v>
      </c>
      <c r="F23" s="11" t="s">
        <v>103</v>
      </c>
      <c r="G23" s="11"/>
    </row>
    <row r="24" spans="1:7" x14ac:dyDescent="0.25">
      <c r="A24" s="13">
        <v>45851</v>
      </c>
      <c r="B24" s="11" t="s">
        <v>49</v>
      </c>
      <c r="C24" s="11" t="s">
        <v>295</v>
      </c>
      <c r="D24" s="11" t="s">
        <v>181</v>
      </c>
      <c r="E24" s="11">
        <v>7.15</v>
      </c>
      <c r="F24" s="11" t="s">
        <v>103</v>
      </c>
      <c r="G24" s="11"/>
    </row>
    <row r="25" spans="1:7" x14ac:dyDescent="0.25">
      <c r="A25" s="13">
        <v>45851</v>
      </c>
      <c r="B25" s="11" t="s">
        <v>56</v>
      </c>
      <c r="C25" s="11" t="s">
        <v>308</v>
      </c>
      <c r="D25" s="11" t="s">
        <v>126</v>
      </c>
      <c r="E25" s="11">
        <v>5</v>
      </c>
      <c r="F25" s="11"/>
      <c r="G25" s="11"/>
    </row>
    <row r="26" spans="1:7" x14ac:dyDescent="0.25">
      <c r="A26" s="13">
        <v>45851</v>
      </c>
      <c r="B26" s="11" t="s">
        <v>53</v>
      </c>
      <c r="C26" s="11" t="s">
        <v>105</v>
      </c>
      <c r="D26" s="11" t="s">
        <v>155</v>
      </c>
      <c r="E26" s="11">
        <v>4</v>
      </c>
      <c r="F26" s="11"/>
      <c r="G26" s="11"/>
    </row>
    <row r="27" spans="1:7" x14ac:dyDescent="0.25">
      <c r="A27" s="13">
        <v>45851</v>
      </c>
      <c r="B27" s="11" t="s">
        <v>53</v>
      </c>
      <c r="C27" s="11" t="s">
        <v>155</v>
      </c>
      <c r="D27" s="11" t="s">
        <v>189</v>
      </c>
      <c r="E27" s="11">
        <v>5</v>
      </c>
      <c r="F27" s="11"/>
      <c r="G27" s="11"/>
    </row>
    <row r="28" spans="1:7" x14ac:dyDescent="0.25">
      <c r="A28" s="13">
        <v>45851</v>
      </c>
      <c r="B28" s="11" t="s">
        <v>46</v>
      </c>
      <c r="C28" s="11" t="s">
        <v>105</v>
      </c>
      <c r="D28" s="11" t="s">
        <v>111</v>
      </c>
      <c r="E28" s="11">
        <v>6.5</v>
      </c>
      <c r="F28" s="11" t="s">
        <v>103</v>
      </c>
      <c r="G28" s="11"/>
    </row>
    <row r="29" spans="1:7" x14ac:dyDescent="0.25">
      <c r="A29" s="13">
        <v>45851</v>
      </c>
      <c r="B29" s="11" t="s">
        <v>58</v>
      </c>
      <c r="C29" s="11" t="s">
        <v>126</v>
      </c>
      <c r="D29" s="11" t="s">
        <v>269</v>
      </c>
      <c r="E29" s="11">
        <v>7.5</v>
      </c>
      <c r="F29" s="11" t="s">
        <v>103</v>
      </c>
      <c r="G29" s="11"/>
    </row>
    <row r="30" spans="1:7" x14ac:dyDescent="0.25">
      <c r="A30" s="13">
        <v>45852</v>
      </c>
      <c r="B30" s="11" t="s">
        <v>53</v>
      </c>
      <c r="C30" s="11" t="s">
        <v>130</v>
      </c>
      <c r="D30" s="11" t="s">
        <v>104</v>
      </c>
      <c r="E30" s="11">
        <v>4</v>
      </c>
      <c r="F30" s="11"/>
      <c r="G30" s="11"/>
    </row>
    <row r="31" spans="1:7" x14ac:dyDescent="0.25">
      <c r="A31" s="13">
        <v>45852</v>
      </c>
      <c r="B31" s="11" t="s">
        <v>53</v>
      </c>
      <c r="C31" s="11" t="s">
        <v>104</v>
      </c>
      <c r="D31" s="11" t="s">
        <v>219</v>
      </c>
      <c r="E31" s="11">
        <v>6.5</v>
      </c>
      <c r="F31" s="11" t="s">
        <v>103</v>
      </c>
      <c r="G31" s="11"/>
    </row>
    <row r="32" spans="1:7" x14ac:dyDescent="0.25">
      <c r="A32" s="13">
        <v>45852</v>
      </c>
      <c r="B32" s="11" t="s">
        <v>46</v>
      </c>
      <c r="C32" s="11" t="s">
        <v>130</v>
      </c>
      <c r="D32" s="11" t="s">
        <v>102</v>
      </c>
      <c r="E32" s="11">
        <v>8</v>
      </c>
      <c r="F32" s="11" t="s">
        <v>122</v>
      </c>
      <c r="G32" s="11"/>
    </row>
    <row r="33" spans="1:7" x14ac:dyDescent="0.25">
      <c r="A33" s="13">
        <v>45853</v>
      </c>
      <c r="B33" s="11" t="s">
        <v>56</v>
      </c>
      <c r="C33" s="11" t="s">
        <v>308</v>
      </c>
      <c r="D33" s="11" t="s">
        <v>100</v>
      </c>
      <c r="E33" s="11">
        <v>5.5</v>
      </c>
      <c r="F33" s="11" t="s">
        <v>103</v>
      </c>
      <c r="G33" s="11"/>
    </row>
    <row r="34" spans="1:7" x14ac:dyDescent="0.25">
      <c r="A34" s="13">
        <v>45854</v>
      </c>
      <c r="B34" s="11" t="s">
        <v>58</v>
      </c>
      <c r="C34" s="11" t="s">
        <v>121</v>
      </c>
      <c r="D34" s="11" t="s">
        <v>111</v>
      </c>
      <c r="E34" s="11">
        <v>5</v>
      </c>
      <c r="F34" s="11"/>
      <c r="G34" s="11"/>
    </row>
    <row r="35" spans="1:7" x14ac:dyDescent="0.25">
      <c r="A35" s="13">
        <v>45854</v>
      </c>
      <c r="B35" s="11" t="s">
        <v>56</v>
      </c>
      <c r="C35" s="11" t="s">
        <v>308</v>
      </c>
      <c r="D35" s="11" t="s">
        <v>100</v>
      </c>
      <c r="E35" s="11">
        <v>5.5</v>
      </c>
      <c r="F35" s="11" t="s">
        <v>103</v>
      </c>
      <c r="G35" s="11"/>
    </row>
    <row r="36" spans="1:7" x14ac:dyDescent="0.25">
      <c r="A36" s="13">
        <v>45855</v>
      </c>
      <c r="B36" s="11" t="s">
        <v>56</v>
      </c>
      <c r="C36" s="11" t="s">
        <v>308</v>
      </c>
      <c r="D36" s="11" t="s">
        <v>100</v>
      </c>
      <c r="E36" s="11">
        <v>5.5</v>
      </c>
      <c r="F36" s="11" t="s">
        <v>103</v>
      </c>
      <c r="G36" s="11"/>
    </row>
    <row r="37" spans="1:7" x14ac:dyDescent="0.25">
      <c r="A37" s="13">
        <v>45855</v>
      </c>
      <c r="B37" s="11" t="s">
        <v>58</v>
      </c>
      <c r="C37" s="11" t="s">
        <v>121</v>
      </c>
      <c r="D37" s="11" t="s">
        <v>269</v>
      </c>
      <c r="E37" s="11">
        <v>4</v>
      </c>
      <c r="F37" s="11"/>
      <c r="G37" s="11"/>
    </row>
    <row r="38" spans="1:7" x14ac:dyDescent="0.25">
      <c r="A38" s="13">
        <v>45855</v>
      </c>
      <c r="B38" s="11" t="s">
        <v>49</v>
      </c>
      <c r="C38" s="11" t="s">
        <v>102</v>
      </c>
      <c r="D38" s="11" t="s">
        <v>107</v>
      </c>
      <c r="E38" s="11">
        <v>5</v>
      </c>
      <c r="F38" s="11" t="s">
        <v>103</v>
      </c>
      <c r="G38" s="11"/>
    </row>
    <row r="39" spans="1:7" x14ac:dyDescent="0.25">
      <c r="A39" s="13">
        <v>45856</v>
      </c>
      <c r="B39" s="11" t="s">
        <v>56</v>
      </c>
      <c r="C39" s="11" t="s">
        <v>219</v>
      </c>
      <c r="D39" s="11" t="s">
        <v>172</v>
      </c>
      <c r="E39" s="11">
        <v>5</v>
      </c>
      <c r="F39" s="11"/>
      <c r="G39" s="11"/>
    </row>
    <row r="40" spans="1:7" x14ac:dyDescent="0.25">
      <c r="A40" s="13">
        <v>45856</v>
      </c>
      <c r="B40" s="11" t="s">
        <v>56</v>
      </c>
      <c r="C40" s="11" t="s">
        <v>308</v>
      </c>
      <c r="D40" s="11" t="s">
        <v>100</v>
      </c>
      <c r="E40" s="11">
        <v>5.5</v>
      </c>
      <c r="F40" s="11" t="s">
        <v>103</v>
      </c>
      <c r="G40" s="11"/>
    </row>
    <row r="41" spans="1:7" x14ac:dyDescent="0.25">
      <c r="A41" s="13">
        <v>45857</v>
      </c>
      <c r="B41" s="11" t="s">
        <v>56</v>
      </c>
      <c r="C41" s="11" t="s">
        <v>308</v>
      </c>
      <c r="D41" s="11" t="s">
        <v>100</v>
      </c>
      <c r="E41" s="11">
        <v>5.5</v>
      </c>
      <c r="F41" s="11" t="s">
        <v>103</v>
      </c>
      <c r="G41" s="11"/>
    </row>
    <row r="42" spans="1:7" x14ac:dyDescent="0.25">
      <c r="A42" s="13">
        <v>45857</v>
      </c>
      <c r="B42" s="11" t="s">
        <v>58</v>
      </c>
      <c r="C42" s="11" t="s">
        <v>102</v>
      </c>
      <c r="D42" s="11" t="s">
        <v>172</v>
      </c>
      <c r="E42" s="11">
        <v>6.5</v>
      </c>
      <c r="F42" s="11" t="s">
        <v>103</v>
      </c>
      <c r="G42" s="11"/>
    </row>
    <row r="43" spans="1:7" x14ac:dyDescent="0.25">
      <c r="A43" s="13">
        <v>45858</v>
      </c>
      <c r="B43" s="11" t="s">
        <v>49</v>
      </c>
      <c r="C43" s="11" t="s">
        <v>309</v>
      </c>
      <c r="D43" s="19" t="s">
        <v>223</v>
      </c>
      <c r="E43" s="11">
        <v>7.15</v>
      </c>
      <c r="F43" s="11" t="s">
        <v>103</v>
      </c>
      <c r="G43" s="11"/>
    </row>
    <row r="44" spans="1:7" x14ac:dyDescent="0.25">
      <c r="A44" s="13">
        <v>45858</v>
      </c>
      <c r="B44" s="11" t="s">
        <v>56</v>
      </c>
      <c r="C44" s="11" t="s">
        <v>308</v>
      </c>
      <c r="D44" s="19" t="s">
        <v>126</v>
      </c>
      <c r="E44" s="11">
        <v>5</v>
      </c>
      <c r="F44" s="11"/>
      <c r="G44" s="11"/>
    </row>
    <row r="45" spans="1:7" x14ac:dyDescent="0.25">
      <c r="A45" s="13">
        <v>45858</v>
      </c>
      <c r="B45" s="11" t="s">
        <v>53</v>
      </c>
      <c r="C45" s="11" t="s">
        <v>223</v>
      </c>
      <c r="D45" s="19" t="s">
        <v>183</v>
      </c>
      <c r="E45" s="11">
        <v>8</v>
      </c>
      <c r="F45" s="11" t="s">
        <v>122</v>
      </c>
      <c r="G45" s="11"/>
    </row>
    <row r="46" spans="1:7" x14ac:dyDescent="0.25">
      <c r="A46" s="13">
        <v>45858</v>
      </c>
      <c r="B46" s="11" t="s">
        <v>58</v>
      </c>
      <c r="C46" s="11" t="s">
        <v>105</v>
      </c>
      <c r="D46" s="19" t="s">
        <v>172</v>
      </c>
      <c r="E46" s="11">
        <v>7.5</v>
      </c>
      <c r="F46" s="11" t="s">
        <v>103</v>
      </c>
      <c r="G46" s="11"/>
    </row>
    <row r="47" spans="1:7" x14ac:dyDescent="0.25">
      <c r="A47" s="13">
        <v>45858</v>
      </c>
      <c r="B47" s="11" t="s">
        <v>46</v>
      </c>
      <c r="C47" s="11" t="s">
        <v>104</v>
      </c>
      <c r="D47" s="19" t="s">
        <v>155</v>
      </c>
      <c r="E47" s="11">
        <v>7.5</v>
      </c>
      <c r="F47" s="11" t="s">
        <v>103</v>
      </c>
      <c r="G47" s="11"/>
    </row>
    <row r="48" spans="1:7" x14ac:dyDescent="0.25">
      <c r="A48" s="13">
        <v>45859</v>
      </c>
      <c r="B48" s="11" t="s">
        <v>53</v>
      </c>
      <c r="C48" s="11" t="s">
        <v>102</v>
      </c>
      <c r="D48" s="11" t="s">
        <v>269</v>
      </c>
      <c r="E48" s="11">
        <v>5</v>
      </c>
      <c r="F48" s="11"/>
      <c r="G48" s="11"/>
    </row>
    <row r="49" spans="1:7" x14ac:dyDescent="0.25">
      <c r="A49" s="13">
        <v>45859</v>
      </c>
      <c r="B49" s="11" t="s">
        <v>53</v>
      </c>
      <c r="C49" s="11" t="s">
        <v>308</v>
      </c>
      <c r="D49" s="11" t="s">
        <v>102</v>
      </c>
      <c r="E49" s="11">
        <v>7.5</v>
      </c>
      <c r="F49" s="11" t="s">
        <v>103</v>
      </c>
      <c r="G49" s="11"/>
    </row>
    <row r="50" spans="1:7" x14ac:dyDescent="0.25">
      <c r="A50" s="13">
        <v>45859</v>
      </c>
      <c r="B50" s="11" t="s">
        <v>58</v>
      </c>
      <c r="C50" s="11" t="s">
        <v>303</v>
      </c>
      <c r="D50" s="19">
        <v>0.125</v>
      </c>
      <c r="E50" s="11">
        <v>6</v>
      </c>
      <c r="F50" s="11" t="s">
        <v>103</v>
      </c>
      <c r="G50" s="11"/>
    </row>
    <row r="51" spans="1:7" x14ac:dyDescent="0.25">
      <c r="A51" s="13">
        <v>45860</v>
      </c>
      <c r="B51" s="11" t="s">
        <v>56</v>
      </c>
      <c r="C51" s="11" t="s">
        <v>308</v>
      </c>
      <c r="D51" s="11" t="s">
        <v>100</v>
      </c>
      <c r="E51" s="11">
        <v>5.5</v>
      </c>
      <c r="F51" s="11" t="s">
        <v>103</v>
      </c>
      <c r="G51" s="11"/>
    </row>
    <row r="52" spans="1:7" x14ac:dyDescent="0.25">
      <c r="A52" s="13">
        <v>45861</v>
      </c>
      <c r="B52" s="11" t="s">
        <v>56</v>
      </c>
      <c r="C52" s="11" t="s">
        <v>308</v>
      </c>
      <c r="D52" s="11" t="s">
        <v>100</v>
      </c>
      <c r="E52" s="11">
        <v>5.5</v>
      </c>
      <c r="F52" s="11" t="s">
        <v>103</v>
      </c>
      <c r="G52" s="11"/>
    </row>
    <row r="53" spans="1:7" x14ac:dyDescent="0.25">
      <c r="A53" s="13">
        <v>45862</v>
      </c>
      <c r="B53" s="11" t="s">
        <v>56</v>
      </c>
      <c r="C53" s="11" t="s">
        <v>308</v>
      </c>
      <c r="D53" s="11" t="s">
        <v>100</v>
      </c>
      <c r="E53" s="11">
        <v>5.5</v>
      </c>
      <c r="F53" s="11" t="s">
        <v>103</v>
      </c>
      <c r="G53" s="11"/>
    </row>
    <row r="54" spans="1:7" x14ac:dyDescent="0.25">
      <c r="A54" s="13">
        <v>45862</v>
      </c>
      <c r="B54" s="11" t="s">
        <v>49</v>
      </c>
      <c r="C54" s="11" t="s">
        <v>102</v>
      </c>
      <c r="D54" s="11" t="s">
        <v>255</v>
      </c>
      <c r="E54" s="11">
        <v>6</v>
      </c>
      <c r="F54" s="11" t="s">
        <v>103</v>
      </c>
      <c r="G54" s="11"/>
    </row>
    <row r="55" spans="1:7" x14ac:dyDescent="0.25">
      <c r="A55" s="13">
        <v>45863</v>
      </c>
      <c r="B55" s="11" t="s">
        <v>56</v>
      </c>
      <c r="C55" s="11" t="s">
        <v>308</v>
      </c>
      <c r="D55" s="11" t="s">
        <v>100</v>
      </c>
      <c r="E55" s="11">
        <v>5.5</v>
      </c>
      <c r="F55" s="11" t="s">
        <v>103</v>
      </c>
      <c r="G55" s="11"/>
    </row>
    <row r="56" spans="1:7" x14ac:dyDescent="0.25">
      <c r="A56" s="13">
        <v>45863</v>
      </c>
      <c r="B56" s="11" t="s">
        <v>56</v>
      </c>
      <c r="C56" s="11" t="s">
        <v>219</v>
      </c>
      <c r="D56" s="11" t="s">
        <v>172</v>
      </c>
      <c r="E56" s="11">
        <v>5</v>
      </c>
      <c r="F56" s="11"/>
      <c r="G56" s="11"/>
    </row>
    <row r="57" spans="1:7" x14ac:dyDescent="0.25">
      <c r="A57" s="13">
        <v>45864</v>
      </c>
      <c r="B57" s="11" t="s">
        <v>56</v>
      </c>
      <c r="C57" s="11" t="s">
        <v>308</v>
      </c>
      <c r="D57" s="11" t="s">
        <v>100</v>
      </c>
      <c r="E57" s="11">
        <v>5.5</v>
      </c>
      <c r="F57" s="11" t="s">
        <v>103</v>
      </c>
      <c r="G57" s="11"/>
    </row>
    <row r="58" spans="1:7" x14ac:dyDescent="0.25">
      <c r="A58" s="13">
        <v>45865</v>
      </c>
      <c r="B58" s="11" t="s">
        <v>49</v>
      </c>
      <c r="C58" s="11" t="s">
        <v>130</v>
      </c>
      <c r="D58" s="11" t="s">
        <v>181</v>
      </c>
      <c r="E58" s="11">
        <v>8</v>
      </c>
      <c r="F58" s="11" t="s">
        <v>103</v>
      </c>
      <c r="G58" s="11"/>
    </row>
    <row r="59" spans="1:7" x14ac:dyDescent="0.25">
      <c r="A59" s="13">
        <v>45865</v>
      </c>
      <c r="B59" s="11" t="s">
        <v>56</v>
      </c>
      <c r="C59" s="11" t="s">
        <v>308</v>
      </c>
      <c r="D59" s="11" t="s">
        <v>126</v>
      </c>
      <c r="E59" s="11">
        <v>5</v>
      </c>
      <c r="F59" s="11"/>
      <c r="G59" s="11"/>
    </row>
    <row r="60" spans="1:7" x14ac:dyDescent="0.25">
      <c r="A60" s="13">
        <v>45865</v>
      </c>
      <c r="B60" s="11" t="s">
        <v>46</v>
      </c>
      <c r="C60" s="11" t="s">
        <v>126</v>
      </c>
      <c r="D60" s="11" t="s">
        <v>219</v>
      </c>
      <c r="E60" s="11">
        <v>5.5</v>
      </c>
      <c r="F60" s="11" t="s">
        <v>103</v>
      </c>
      <c r="G60" s="11"/>
    </row>
    <row r="61" spans="1:7" x14ac:dyDescent="0.25">
      <c r="A61" s="13">
        <v>45865</v>
      </c>
      <c r="B61" s="11" t="s">
        <v>58</v>
      </c>
      <c r="C61" s="11" t="s">
        <v>181</v>
      </c>
      <c r="D61" s="11" t="s">
        <v>107</v>
      </c>
      <c r="E61" s="11">
        <v>5.5</v>
      </c>
      <c r="F61" s="11" t="s">
        <v>103</v>
      </c>
      <c r="G61" s="11"/>
    </row>
    <row r="62" spans="1:7" x14ac:dyDescent="0.25">
      <c r="A62" s="13">
        <v>45866</v>
      </c>
      <c r="B62" s="11" t="s">
        <v>53</v>
      </c>
      <c r="C62" s="11" t="s">
        <v>118</v>
      </c>
      <c r="D62" s="11" t="s">
        <v>105</v>
      </c>
      <c r="E62" s="11">
        <v>5</v>
      </c>
      <c r="F62" s="11"/>
      <c r="G62" s="11"/>
    </row>
    <row r="63" spans="1:7" x14ac:dyDescent="0.25">
      <c r="A63" s="13">
        <v>45867</v>
      </c>
      <c r="B63" s="11" t="s">
        <v>58</v>
      </c>
      <c r="C63" s="11" t="s">
        <v>296</v>
      </c>
      <c r="D63" s="11" t="s">
        <v>107</v>
      </c>
      <c r="E63" s="11">
        <v>5</v>
      </c>
      <c r="F63" s="11"/>
      <c r="G63" s="11"/>
    </row>
    <row r="64" spans="1:7" x14ac:dyDescent="0.25">
      <c r="A64" s="13">
        <v>45867</v>
      </c>
      <c r="B64" s="11" t="s">
        <v>56</v>
      </c>
      <c r="C64" s="11" t="s">
        <v>308</v>
      </c>
      <c r="D64" s="11" t="s">
        <v>100</v>
      </c>
      <c r="E64" s="11">
        <v>5.5</v>
      </c>
      <c r="F64" s="11" t="s">
        <v>103</v>
      </c>
      <c r="G64" s="11"/>
    </row>
    <row r="65" spans="1:7" x14ac:dyDescent="0.25">
      <c r="A65" s="13">
        <v>45868</v>
      </c>
      <c r="B65" s="11" t="s">
        <v>56</v>
      </c>
      <c r="C65" s="11" t="s">
        <v>308</v>
      </c>
      <c r="D65" s="11" t="s">
        <v>100</v>
      </c>
      <c r="E65" s="11">
        <v>5.5</v>
      </c>
      <c r="F65" s="11" t="s">
        <v>103</v>
      </c>
      <c r="G65" s="11"/>
    </row>
    <row r="66" spans="1:7" x14ac:dyDescent="0.25">
      <c r="A66" s="13">
        <v>45869</v>
      </c>
      <c r="B66" s="11" t="s">
        <v>56</v>
      </c>
      <c r="C66" s="11" t="s">
        <v>308</v>
      </c>
      <c r="D66" s="11" t="s">
        <v>100</v>
      </c>
      <c r="E66" s="11">
        <v>5.5</v>
      </c>
      <c r="F66" s="11" t="s">
        <v>103</v>
      </c>
      <c r="G66" s="11"/>
    </row>
    <row r="67" spans="1:7" x14ac:dyDescent="0.25">
      <c r="A67" s="13">
        <v>45869</v>
      </c>
      <c r="B67" s="11" t="s">
        <v>56</v>
      </c>
      <c r="C67" s="11" t="s">
        <v>102</v>
      </c>
      <c r="D67" s="11" t="s">
        <v>111</v>
      </c>
      <c r="E67" s="11">
        <v>5.5</v>
      </c>
      <c r="F67" s="11" t="s">
        <v>103</v>
      </c>
      <c r="G67" s="11"/>
    </row>
    <row r="68" spans="1:7" x14ac:dyDescent="0.25">
      <c r="A68" s="13">
        <v>45839</v>
      </c>
      <c r="B68" s="11" t="s">
        <v>191</v>
      </c>
      <c r="C68" s="11" t="s">
        <v>118</v>
      </c>
      <c r="D68" s="11" t="s">
        <v>102</v>
      </c>
      <c r="E68" s="11">
        <v>5.5</v>
      </c>
      <c r="F68" s="11" t="s">
        <v>103</v>
      </c>
      <c r="G68" s="11"/>
    </row>
    <row r="69" spans="1:7" x14ac:dyDescent="0.25">
      <c r="A69" s="13">
        <v>45839</v>
      </c>
      <c r="B69" s="11" t="s">
        <v>192</v>
      </c>
      <c r="C69" s="11" t="s">
        <v>118</v>
      </c>
      <c r="D69" s="11" t="s">
        <v>102</v>
      </c>
      <c r="E69" s="11">
        <v>5.5</v>
      </c>
      <c r="F69" s="11" t="s">
        <v>103</v>
      </c>
      <c r="G69" s="11"/>
    </row>
    <row r="70" spans="1:7" x14ac:dyDescent="0.25">
      <c r="A70" s="13">
        <v>45840</v>
      </c>
      <c r="B70" s="11" t="s">
        <v>191</v>
      </c>
      <c r="C70" s="11" t="s">
        <v>118</v>
      </c>
      <c r="D70" s="11" t="s">
        <v>102</v>
      </c>
      <c r="E70" s="11">
        <v>5.5</v>
      </c>
      <c r="F70" s="11" t="s">
        <v>103</v>
      </c>
      <c r="G70" s="11"/>
    </row>
    <row r="71" spans="1:7" x14ac:dyDescent="0.25">
      <c r="A71" s="13">
        <v>45840</v>
      </c>
      <c r="B71" s="11" t="s">
        <v>192</v>
      </c>
      <c r="C71" s="11" t="s">
        <v>118</v>
      </c>
      <c r="D71" s="11" t="s">
        <v>102</v>
      </c>
      <c r="E71" s="11">
        <v>5.5</v>
      </c>
      <c r="F71" s="11" t="s">
        <v>103</v>
      </c>
      <c r="G71" s="11"/>
    </row>
    <row r="72" spans="1:7" x14ac:dyDescent="0.25">
      <c r="A72" s="13">
        <v>45841</v>
      </c>
      <c r="B72" s="11" t="s">
        <v>191</v>
      </c>
      <c r="C72" s="11" t="s">
        <v>118</v>
      </c>
      <c r="D72" s="11" t="s">
        <v>102</v>
      </c>
      <c r="E72" s="11">
        <v>5.5</v>
      </c>
      <c r="F72" s="11" t="s">
        <v>103</v>
      </c>
      <c r="G72" s="11"/>
    </row>
    <row r="73" spans="1:7" x14ac:dyDescent="0.25">
      <c r="A73" s="13">
        <v>45841</v>
      </c>
      <c r="B73" s="11" t="s">
        <v>192</v>
      </c>
      <c r="C73" s="19" t="s">
        <v>118</v>
      </c>
      <c r="D73" s="11" t="s">
        <v>102</v>
      </c>
      <c r="E73" s="11">
        <v>5.5</v>
      </c>
      <c r="F73" s="11" t="s">
        <v>103</v>
      </c>
      <c r="G73" s="11"/>
    </row>
    <row r="74" spans="1:7" x14ac:dyDescent="0.25">
      <c r="A74" s="13">
        <v>45841</v>
      </c>
      <c r="B74" s="11" t="s">
        <v>193</v>
      </c>
      <c r="C74" s="11" t="s">
        <v>118</v>
      </c>
      <c r="D74" s="11" t="s">
        <v>102</v>
      </c>
      <c r="E74" s="11">
        <v>5.5</v>
      </c>
      <c r="F74" s="11" t="s">
        <v>103</v>
      </c>
      <c r="G74" s="11"/>
    </row>
    <row r="75" spans="1:7" x14ac:dyDescent="0.25">
      <c r="A75" s="13">
        <v>45841</v>
      </c>
      <c r="B75" s="11" t="s">
        <v>194</v>
      </c>
      <c r="C75" s="19" t="s">
        <v>118</v>
      </c>
      <c r="D75" s="11" t="s">
        <v>100</v>
      </c>
      <c r="E75" s="11">
        <v>4</v>
      </c>
      <c r="F75" s="11"/>
      <c r="G75" s="11"/>
    </row>
    <row r="76" spans="1:7" x14ac:dyDescent="0.25">
      <c r="A76" s="13">
        <v>45842</v>
      </c>
      <c r="B76" s="11" t="s">
        <v>195</v>
      </c>
      <c r="C76" s="11" t="s">
        <v>120</v>
      </c>
      <c r="D76" s="11" t="s">
        <v>166</v>
      </c>
      <c r="E76" s="11">
        <v>11</v>
      </c>
      <c r="F76" s="11" t="s">
        <v>122</v>
      </c>
      <c r="G76" s="11"/>
    </row>
    <row r="77" spans="1:7" x14ac:dyDescent="0.25">
      <c r="A77" s="13">
        <v>45842</v>
      </c>
      <c r="B77" s="11" t="s">
        <v>196</v>
      </c>
      <c r="C77" s="11" t="s">
        <v>120</v>
      </c>
      <c r="D77" s="11" t="s">
        <v>102</v>
      </c>
      <c r="E77" s="11">
        <v>7.5</v>
      </c>
      <c r="F77" s="11" t="s">
        <v>103</v>
      </c>
      <c r="G77" s="11"/>
    </row>
    <row r="78" spans="1:7" x14ac:dyDescent="0.25">
      <c r="A78" s="13">
        <v>45842</v>
      </c>
      <c r="B78" s="11" t="s">
        <v>197</v>
      </c>
      <c r="C78" s="11" t="s">
        <v>120</v>
      </c>
      <c r="D78" s="11" t="s">
        <v>189</v>
      </c>
      <c r="E78" s="11">
        <v>15</v>
      </c>
      <c r="F78" s="11" t="s">
        <v>122</v>
      </c>
      <c r="G78" s="11"/>
    </row>
    <row r="79" spans="1:7" x14ac:dyDescent="0.25">
      <c r="A79" s="13">
        <v>45842</v>
      </c>
      <c r="B79" s="11" t="s">
        <v>198</v>
      </c>
      <c r="C79" s="11" t="s">
        <v>120</v>
      </c>
      <c r="D79" s="11" t="s">
        <v>189</v>
      </c>
      <c r="E79" s="11">
        <v>15</v>
      </c>
      <c r="F79" s="11" t="s">
        <v>122</v>
      </c>
      <c r="G79" s="11"/>
    </row>
    <row r="80" spans="1:7" x14ac:dyDescent="0.25">
      <c r="A80" s="13">
        <v>45842</v>
      </c>
      <c r="B80" s="11" t="s">
        <v>199</v>
      </c>
      <c r="C80" s="11" t="s">
        <v>120</v>
      </c>
      <c r="D80" s="11" t="s">
        <v>189</v>
      </c>
      <c r="E80" s="11">
        <v>15</v>
      </c>
      <c r="F80" s="11" t="s">
        <v>122</v>
      </c>
      <c r="G80" s="11"/>
    </row>
    <row r="81" spans="1:7" x14ac:dyDescent="0.25">
      <c r="A81" s="13">
        <v>45842</v>
      </c>
      <c r="B81" s="11" t="s">
        <v>200</v>
      </c>
      <c r="C81" s="11" t="s">
        <v>120</v>
      </c>
      <c r="D81" s="11" t="s">
        <v>189</v>
      </c>
      <c r="E81" s="11">
        <v>15</v>
      </c>
      <c r="F81" s="11" t="s">
        <v>122</v>
      </c>
      <c r="G81" s="11"/>
    </row>
    <row r="82" spans="1:7" x14ac:dyDescent="0.25">
      <c r="A82" s="13">
        <v>45842</v>
      </c>
      <c r="B82" s="11" t="s">
        <v>201</v>
      </c>
      <c r="C82" s="11" t="s">
        <v>120</v>
      </c>
      <c r="D82" s="11" t="s">
        <v>189</v>
      </c>
      <c r="E82" s="11">
        <v>15</v>
      </c>
      <c r="F82" s="11" t="s">
        <v>122</v>
      </c>
      <c r="G82" s="11"/>
    </row>
    <row r="83" spans="1:7" x14ac:dyDescent="0.25">
      <c r="A83" s="13">
        <v>45842</v>
      </c>
      <c r="B83" s="11" t="s">
        <v>202</v>
      </c>
      <c r="C83" s="11" t="s">
        <v>120</v>
      </c>
      <c r="D83" s="11" t="s">
        <v>189</v>
      </c>
      <c r="E83" s="11">
        <v>15</v>
      </c>
      <c r="F83" s="11" t="s">
        <v>122</v>
      </c>
      <c r="G83" s="11"/>
    </row>
    <row r="84" spans="1:7" x14ac:dyDescent="0.25">
      <c r="A84" s="13">
        <v>45842</v>
      </c>
      <c r="B84" s="11" t="s">
        <v>203</v>
      </c>
      <c r="C84" s="11" t="s">
        <v>120</v>
      </c>
      <c r="D84" s="11" t="s">
        <v>189</v>
      </c>
      <c r="E84" s="11">
        <v>15</v>
      </c>
      <c r="F84" s="11" t="s">
        <v>122</v>
      </c>
      <c r="G84" s="11"/>
    </row>
    <row r="85" spans="1:7" x14ac:dyDescent="0.25">
      <c r="A85" s="13">
        <v>45842</v>
      </c>
      <c r="B85" s="11" t="s">
        <v>204</v>
      </c>
      <c r="C85" s="11" t="s">
        <v>120</v>
      </c>
      <c r="D85" s="11" t="s">
        <v>189</v>
      </c>
      <c r="E85" s="11">
        <v>15</v>
      </c>
      <c r="F85" s="11" t="s">
        <v>122</v>
      </c>
      <c r="G85" s="11"/>
    </row>
    <row r="86" spans="1:7" x14ac:dyDescent="0.25">
      <c r="A86" s="13">
        <v>45842</v>
      </c>
      <c r="B86" s="11" t="s">
        <v>205</v>
      </c>
      <c r="C86" s="11" t="s">
        <v>120</v>
      </c>
      <c r="D86" s="11" t="s">
        <v>189</v>
      </c>
      <c r="E86" s="11">
        <v>15</v>
      </c>
      <c r="F86" s="11" t="s">
        <v>122</v>
      </c>
      <c r="G86" s="11"/>
    </row>
    <row r="87" spans="1:7" x14ac:dyDescent="0.25">
      <c r="A87" s="13">
        <v>45842</v>
      </c>
      <c r="B87" s="11" t="s">
        <v>206</v>
      </c>
      <c r="C87" s="11" t="s">
        <v>120</v>
      </c>
      <c r="D87" s="11" t="s">
        <v>189</v>
      </c>
      <c r="E87" s="11">
        <v>15</v>
      </c>
      <c r="F87" s="11" t="s">
        <v>122</v>
      </c>
      <c r="G87" s="11"/>
    </row>
    <row r="88" spans="1:7" x14ac:dyDescent="0.25">
      <c r="A88" s="13">
        <v>45842</v>
      </c>
      <c r="B88" s="11" t="s">
        <v>207</v>
      </c>
      <c r="C88" s="11" t="s">
        <v>120</v>
      </c>
      <c r="D88" s="11" t="s">
        <v>189</v>
      </c>
      <c r="E88" s="11">
        <v>15</v>
      </c>
      <c r="F88" s="11" t="s">
        <v>122</v>
      </c>
      <c r="G88" s="11"/>
    </row>
    <row r="89" spans="1:7" x14ac:dyDescent="0.25">
      <c r="A89" s="13">
        <v>45843</v>
      </c>
      <c r="B89" s="11" t="s">
        <v>208</v>
      </c>
      <c r="C89" s="11" t="s">
        <v>118</v>
      </c>
      <c r="D89" s="11" t="s">
        <v>102</v>
      </c>
      <c r="E89" s="11">
        <v>5.5</v>
      </c>
      <c r="F89" s="11" t="s">
        <v>103</v>
      </c>
      <c r="G89" s="11"/>
    </row>
    <row r="90" spans="1:7" x14ac:dyDescent="0.25">
      <c r="A90" s="13">
        <v>45843</v>
      </c>
      <c r="B90" s="11" t="s">
        <v>209</v>
      </c>
      <c r="C90" s="11" t="s">
        <v>118</v>
      </c>
      <c r="D90" s="11" t="s">
        <v>100</v>
      </c>
      <c r="E90" s="11">
        <v>4</v>
      </c>
      <c r="F90" s="11"/>
      <c r="G90" s="11"/>
    </row>
    <row r="91" spans="1:7" x14ac:dyDescent="0.25">
      <c r="A91" s="13">
        <v>45843</v>
      </c>
      <c r="B91" s="11" t="s">
        <v>210</v>
      </c>
      <c r="C91" s="11" t="s">
        <v>118</v>
      </c>
      <c r="D91" s="11" t="s">
        <v>100</v>
      </c>
      <c r="E91" s="11">
        <v>4</v>
      </c>
      <c r="F91" s="11"/>
      <c r="G91" s="11"/>
    </row>
    <row r="92" spans="1:7" x14ac:dyDescent="0.25">
      <c r="A92" s="13">
        <v>45850</v>
      </c>
      <c r="B92" s="11" t="s">
        <v>211</v>
      </c>
      <c r="C92" s="11" t="s">
        <v>142</v>
      </c>
      <c r="D92" s="11" t="s">
        <v>189</v>
      </c>
      <c r="E92" s="11">
        <v>6</v>
      </c>
      <c r="F92" s="11" t="s">
        <v>103</v>
      </c>
      <c r="G92" s="11"/>
    </row>
    <row r="93" spans="1:7" x14ac:dyDescent="0.25">
      <c r="A93" s="13">
        <v>45850</v>
      </c>
      <c r="B93" s="11" t="s">
        <v>212</v>
      </c>
      <c r="C93" s="11" t="s">
        <v>142</v>
      </c>
      <c r="D93" s="11" t="s">
        <v>189</v>
      </c>
      <c r="E93" s="11">
        <v>6</v>
      </c>
      <c r="F93" s="11" t="s">
        <v>103</v>
      </c>
      <c r="G93" s="11"/>
    </row>
    <row r="94" spans="1:7" x14ac:dyDescent="0.25">
      <c r="A94" s="13">
        <v>45857</v>
      </c>
      <c r="B94" s="11" t="s">
        <v>213</v>
      </c>
      <c r="C94" s="11" t="s">
        <v>155</v>
      </c>
      <c r="D94" s="11" t="s">
        <v>172</v>
      </c>
      <c r="E94" s="11">
        <v>4</v>
      </c>
      <c r="F94" s="11"/>
      <c r="G94" s="11"/>
    </row>
    <row r="95" spans="1:7" x14ac:dyDescent="0.25">
      <c r="A95" s="13">
        <v>45857</v>
      </c>
      <c r="B95" s="11" t="s">
        <v>214</v>
      </c>
      <c r="C95" s="11" t="s">
        <v>121</v>
      </c>
      <c r="D95" s="11" t="s">
        <v>172</v>
      </c>
      <c r="E95" s="11">
        <v>5.5</v>
      </c>
      <c r="F95" s="11" t="s">
        <v>103</v>
      </c>
      <c r="G95" s="11"/>
    </row>
    <row r="96" spans="1:7" x14ac:dyDescent="0.25">
      <c r="A96" s="13">
        <v>45863</v>
      </c>
      <c r="B96" s="11" t="s">
        <v>215</v>
      </c>
      <c r="C96" s="11" t="s">
        <v>118</v>
      </c>
      <c r="D96" s="11" t="s">
        <v>102</v>
      </c>
      <c r="E96" s="11">
        <v>5.5</v>
      </c>
      <c r="F96" s="11" t="s">
        <v>103</v>
      </c>
      <c r="G96" s="11"/>
    </row>
    <row r="97" spans="1:7" x14ac:dyDescent="0.25">
      <c r="A97" s="13">
        <v>45863</v>
      </c>
      <c r="B97" s="11" t="s">
        <v>216</v>
      </c>
      <c r="C97" s="11" t="s">
        <v>118</v>
      </c>
      <c r="D97" s="11" t="s">
        <v>102</v>
      </c>
      <c r="E97" s="11">
        <v>5.5</v>
      </c>
      <c r="F97" s="11" t="s">
        <v>103</v>
      </c>
      <c r="G97" s="11"/>
    </row>
    <row r="98" spans="1:7" x14ac:dyDescent="0.25">
      <c r="A98" s="13">
        <v>45863</v>
      </c>
      <c r="B98" s="11" t="s">
        <v>217</v>
      </c>
      <c r="C98" s="11" t="s">
        <v>118</v>
      </c>
      <c r="D98" s="11" t="s">
        <v>102</v>
      </c>
      <c r="E98" s="11">
        <v>5.5</v>
      </c>
      <c r="F98" s="11" t="s">
        <v>103</v>
      </c>
      <c r="G98" s="11"/>
    </row>
    <row r="99" spans="1:7" x14ac:dyDescent="0.25">
      <c r="A99" s="13">
        <v>45863</v>
      </c>
      <c r="B99" s="11" t="s">
        <v>218</v>
      </c>
      <c r="C99" s="11" t="s">
        <v>118</v>
      </c>
      <c r="D99" s="11" t="s">
        <v>102</v>
      </c>
      <c r="E99" s="11">
        <v>5.5</v>
      </c>
      <c r="F99" s="11" t="s">
        <v>103</v>
      </c>
      <c r="G99" s="11"/>
    </row>
    <row r="100" spans="1:7" x14ac:dyDescent="0.25">
      <c r="A100" s="13">
        <v>45864</v>
      </c>
      <c r="B100" s="11" t="s">
        <v>211</v>
      </c>
      <c r="C100" s="11" t="s">
        <v>219</v>
      </c>
      <c r="D100" s="11" t="s">
        <v>189</v>
      </c>
      <c r="E100" s="11">
        <v>5.5</v>
      </c>
      <c r="F100" s="11" t="s">
        <v>103</v>
      </c>
      <c r="G100" s="11"/>
    </row>
    <row r="101" spans="1:7" x14ac:dyDescent="0.25">
      <c r="A101" s="13">
        <v>45864</v>
      </c>
      <c r="B101" s="11" t="s">
        <v>212</v>
      </c>
      <c r="C101" s="11" t="s">
        <v>219</v>
      </c>
      <c r="D101" s="11" t="s">
        <v>189</v>
      </c>
      <c r="E101" s="11">
        <v>5.5</v>
      </c>
      <c r="F101" s="11" t="s">
        <v>103</v>
      </c>
      <c r="G101" s="11"/>
    </row>
    <row r="102" spans="1:7" x14ac:dyDescent="0.25">
      <c r="A102" s="13">
        <v>45864</v>
      </c>
      <c r="B102" s="11" t="s">
        <v>220</v>
      </c>
      <c r="C102" s="11" t="s">
        <v>219</v>
      </c>
      <c r="D102" s="11" t="s">
        <v>189</v>
      </c>
      <c r="E102" s="11">
        <v>5.5</v>
      </c>
      <c r="F102" s="11" t="s">
        <v>103</v>
      </c>
      <c r="G102" s="11"/>
    </row>
    <row r="103" spans="1:7" x14ac:dyDescent="0.25">
      <c r="A103" s="13">
        <v>45864</v>
      </c>
      <c r="B103" s="11" t="s">
        <v>221</v>
      </c>
      <c r="C103" s="11" t="s">
        <v>219</v>
      </c>
      <c r="D103" s="11" t="s">
        <v>189</v>
      </c>
      <c r="E103" s="11">
        <v>5.5</v>
      </c>
      <c r="F103" s="11" t="s">
        <v>103</v>
      </c>
      <c r="G103" s="11"/>
    </row>
    <row r="104" spans="1:7" x14ac:dyDescent="0.25">
      <c r="A104" s="13">
        <v>45864</v>
      </c>
      <c r="B104" s="11" t="s">
        <v>215</v>
      </c>
      <c r="C104" s="11" t="s">
        <v>105</v>
      </c>
      <c r="D104" s="11" t="s">
        <v>142</v>
      </c>
      <c r="E104" s="11">
        <v>2.5</v>
      </c>
      <c r="F104" s="11"/>
      <c r="G104" s="11"/>
    </row>
    <row r="105" spans="1:7" x14ac:dyDescent="0.25">
      <c r="A105" s="13">
        <v>45865</v>
      </c>
      <c r="B105" s="11" t="s">
        <v>222</v>
      </c>
      <c r="C105" s="11" t="s">
        <v>99</v>
      </c>
      <c r="D105" s="11" t="s">
        <v>223</v>
      </c>
      <c r="E105" s="11">
        <v>5</v>
      </c>
      <c r="F105" s="11" t="s">
        <v>103</v>
      </c>
      <c r="G105" s="11"/>
    </row>
    <row r="106" spans="1:7" x14ac:dyDescent="0.25">
      <c r="A106" s="13">
        <v>45865</v>
      </c>
      <c r="B106" s="11" t="s">
        <v>224</v>
      </c>
      <c r="C106" s="11" t="s">
        <v>99</v>
      </c>
      <c r="D106" s="11" t="s">
        <v>223</v>
      </c>
      <c r="E106" s="11">
        <v>5</v>
      </c>
      <c r="F106" s="11" t="s">
        <v>103</v>
      </c>
      <c r="G106" s="11"/>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3804C-6635-418F-85D4-F63CF074783A}">
  <sheetPr>
    <tabColor theme="9" tint="0.39997558519241921"/>
  </sheetPr>
  <dimension ref="A1:G98"/>
  <sheetViews>
    <sheetView topLeftCell="A16" workbookViewId="0">
      <selection activeCell="A2" sqref="A1:B1048576"/>
    </sheetView>
  </sheetViews>
  <sheetFormatPr defaultRowHeight="15" x14ac:dyDescent="0.25"/>
  <cols>
    <col min="2" max="2" width="78.5703125" customWidth="1"/>
    <col min="3" max="3" width="13.5703125" customWidth="1"/>
    <col min="4" max="4" width="12.5703125" customWidth="1"/>
    <col min="5" max="5" width="15.7109375" customWidth="1"/>
    <col min="6" max="6" width="23.42578125" customWidth="1"/>
    <col min="7" max="7" width="19.28515625" bestFit="1" customWidth="1"/>
  </cols>
  <sheetData>
    <row r="1" spans="1:7" x14ac:dyDescent="0.25">
      <c r="A1" s="9" t="s">
        <v>83</v>
      </c>
      <c r="B1" s="9" t="s">
        <v>84</v>
      </c>
      <c r="C1" s="9" t="s">
        <v>85</v>
      </c>
      <c r="D1" s="9" t="s">
        <v>86</v>
      </c>
      <c r="E1" s="9" t="s">
        <v>16</v>
      </c>
      <c r="F1" s="9" t="s">
        <v>87</v>
      </c>
      <c r="G1" s="9" t="s">
        <v>25</v>
      </c>
    </row>
    <row r="2" spans="1:7" x14ac:dyDescent="0.25">
      <c r="A2" s="22">
        <v>45870</v>
      </c>
      <c r="B2" s="23" t="s">
        <v>56</v>
      </c>
      <c r="C2" s="23" t="s">
        <v>120</v>
      </c>
      <c r="D2" s="23" t="s">
        <v>100</v>
      </c>
      <c r="E2" s="24">
        <v>5.5</v>
      </c>
      <c r="F2" s="23" t="s">
        <v>103</v>
      </c>
      <c r="G2" s="12">
        <f>SUM(E:E)</f>
        <v>513.6</v>
      </c>
    </row>
    <row r="3" spans="1:7" x14ac:dyDescent="0.25">
      <c r="A3" s="13">
        <v>45870</v>
      </c>
      <c r="B3" s="25" t="s">
        <v>56</v>
      </c>
      <c r="C3" s="11" t="s">
        <v>219</v>
      </c>
      <c r="D3" s="11" t="s">
        <v>172</v>
      </c>
      <c r="E3" s="11">
        <v>5</v>
      </c>
      <c r="F3" s="11"/>
      <c r="G3" s="11"/>
    </row>
    <row r="4" spans="1:7" x14ac:dyDescent="0.25">
      <c r="A4" s="13">
        <v>45871</v>
      </c>
      <c r="B4" s="11" t="s">
        <v>56</v>
      </c>
      <c r="C4" s="11" t="s">
        <v>120</v>
      </c>
      <c r="D4" s="11" t="s">
        <v>100</v>
      </c>
      <c r="E4" s="11">
        <v>5</v>
      </c>
      <c r="F4" s="11" t="s">
        <v>103</v>
      </c>
      <c r="G4" s="11"/>
    </row>
    <row r="5" spans="1:7" x14ac:dyDescent="0.25">
      <c r="A5" s="13">
        <v>45872</v>
      </c>
      <c r="B5" s="11" t="s">
        <v>49</v>
      </c>
      <c r="C5" s="11" t="s">
        <v>297</v>
      </c>
      <c r="D5" s="11" t="s">
        <v>118</v>
      </c>
      <c r="E5" s="11">
        <v>2.5</v>
      </c>
      <c r="F5" s="11"/>
      <c r="G5" s="11"/>
    </row>
    <row r="6" spans="1:7" x14ac:dyDescent="0.25">
      <c r="A6" s="13">
        <v>45872</v>
      </c>
      <c r="B6" s="11" t="s">
        <v>56</v>
      </c>
      <c r="C6" s="11" t="s">
        <v>120</v>
      </c>
      <c r="D6" s="11" t="s">
        <v>126</v>
      </c>
      <c r="E6" s="11">
        <v>5</v>
      </c>
      <c r="F6" s="11"/>
      <c r="G6" s="11"/>
    </row>
    <row r="7" spans="1:7" x14ac:dyDescent="0.25">
      <c r="A7" s="13">
        <v>45872</v>
      </c>
      <c r="B7" s="11" t="s">
        <v>46</v>
      </c>
      <c r="C7" s="11" t="s">
        <v>105</v>
      </c>
      <c r="D7" s="11" t="s">
        <v>166</v>
      </c>
      <c r="E7" s="11">
        <v>5</v>
      </c>
      <c r="F7" s="11"/>
      <c r="G7" s="11"/>
    </row>
    <row r="8" spans="1:7" x14ac:dyDescent="0.25">
      <c r="A8" s="13">
        <v>45873</v>
      </c>
      <c r="B8" s="11"/>
      <c r="C8" s="11"/>
      <c r="D8" s="11"/>
      <c r="E8" s="11"/>
      <c r="F8" s="11"/>
      <c r="G8" s="11"/>
    </row>
    <row r="9" spans="1:7" x14ac:dyDescent="0.25">
      <c r="A9" s="13">
        <v>45874</v>
      </c>
      <c r="B9" s="11" t="s">
        <v>49</v>
      </c>
      <c r="C9" s="11" t="s">
        <v>99</v>
      </c>
      <c r="D9" s="11" t="s">
        <v>105</v>
      </c>
      <c r="E9" s="11">
        <v>5.5</v>
      </c>
      <c r="F9" s="11" t="s">
        <v>103</v>
      </c>
      <c r="G9" s="11"/>
    </row>
    <row r="10" spans="1:7" x14ac:dyDescent="0.25">
      <c r="A10" s="13">
        <v>45874</v>
      </c>
      <c r="B10" s="11" t="s">
        <v>56</v>
      </c>
      <c r="C10" s="11" t="s">
        <v>120</v>
      </c>
      <c r="D10" s="11" t="s">
        <v>100</v>
      </c>
      <c r="E10" s="11">
        <v>5.5</v>
      </c>
      <c r="F10" s="11" t="s">
        <v>103</v>
      </c>
      <c r="G10" s="11"/>
    </row>
    <row r="11" spans="1:7" x14ac:dyDescent="0.25">
      <c r="A11" s="13">
        <v>45875</v>
      </c>
      <c r="B11" s="11" t="s">
        <v>56</v>
      </c>
      <c r="C11" s="11" t="s">
        <v>120</v>
      </c>
      <c r="D11" s="11" t="s">
        <v>100</v>
      </c>
      <c r="E11" s="11">
        <v>5.5</v>
      </c>
      <c r="F11" s="11" t="s">
        <v>103</v>
      </c>
      <c r="G11" s="11"/>
    </row>
    <row r="12" spans="1:7" x14ac:dyDescent="0.25">
      <c r="A12" s="13">
        <v>45876</v>
      </c>
      <c r="B12" s="11" t="s">
        <v>56</v>
      </c>
      <c r="C12" s="11" t="s">
        <v>120</v>
      </c>
      <c r="D12" s="11" t="s">
        <v>100</v>
      </c>
      <c r="E12" s="11">
        <v>5.5</v>
      </c>
      <c r="F12" s="11" t="s">
        <v>103</v>
      </c>
      <c r="G12" s="11"/>
    </row>
    <row r="13" spans="1:7" x14ac:dyDescent="0.25">
      <c r="A13" s="13">
        <v>45876</v>
      </c>
      <c r="B13" s="11" t="s">
        <v>49</v>
      </c>
      <c r="C13" s="11" t="s">
        <v>219</v>
      </c>
      <c r="D13" s="11" t="s">
        <v>111</v>
      </c>
      <c r="E13" s="11">
        <v>4</v>
      </c>
      <c r="F13" s="11"/>
      <c r="G13" s="11"/>
    </row>
    <row r="14" spans="1:7" x14ac:dyDescent="0.25">
      <c r="A14" s="13">
        <v>45876</v>
      </c>
      <c r="B14" s="11" t="s">
        <v>56</v>
      </c>
      <c r="C14" s="11" t="s">
        <v>102</v>
      </c>
      <c r="D14" s="11" t="s">
        <v>269</v>
      </c>
      <c r="E14" s="11">
        <v>5</v>
      </c>
      <c r="F14" s="11"/>
      <c r="G14" s="11"/>
    </row>
    <row r="15" spans="1:7" x14ac:dyDescent="0.25">
      <c r="A15" s="13">
        <v>45877</v>
      </c>
      <c r="B15" s="11" t="s">
        <v>56</v>
      </c>
      <c r="C15" s="11" t="s">
        <v>120</v>
      </c>
      <c r="D15" s="11" t="s">
        <v>100</v>
      </c>
      <c r="E15" s="11">
        <v>5.5</v>
      </c>
      <c r="F15" s="11" t="s">
        <v>103</v>
      </c>
      <c r="G15" s="11"/>
    </row>
    <row r="16" spans="1:7" x14ac:dyDescent="0.25">
      <c r="A16" s="13">
        <v>45877</v>
      </c>
      <c r="B16" s="11" t="s">
        <v>53</v>
      </c>
      <c r="C16" s="11" t="s">
        <v>102</v>
      </c>
      <c r="D16" s="11" t="s">
        <v>111</v>
      </c>
      <c r="E16" s="11">
        <v>6.6</v>
      </c>
      <c r="F16" s="11" t="s">
        <v>103</v>
      </c>
      <c r="G16" s="11"/>
    </row>
    <row r="17" spans="1:7" x14ac:dyDescent="0.25">
      <c r="A17" s="13">
        <v>45878</v>
      </c>
      <c r="B17" s="11" t="s">
        <v>56</v>
      </c>
      <c r="C17" s="11" t="s">
        <v>99</v>
      </c>
      <c r="D17" s="11" t="s">
        <v>100</v>
      </c>
      <c r="E17" s="11">
        <v>5</v>
      </c>
      <c r="F17" s="11"/>
      <c r="G17" s="11"/>
    </row>
    <row r="18" spans="1:7" x14ac:dyDescent="0.25">
      <c r="A18" s="13">
        <v>45878</v>
      </c>
      <c r="B18" s="11" t="s">
        <v>53</v>
      </c>
      <c r="C18" s="11" t="s">
        <v>102</v>
      </c>
      <c r="D18" s="11" t="s">
        <v>172</v>
      </c>
      <c r="E18" s="11">
        <v>6.5</v>
      </c>
      <c r="F18" s="11" t="s">
        <v>103</v>
      </c>
      <c r="G18" s="11"/>
    </row>
    <row r="19" spans="1:7" x14ac:dyDescent="0.25">
      <c r="A19" s="13">
        <v>45879</v>
      </c>
      <c r="B19" s="11" t="s">
        <v>56</v>
      </c>
      <c r="C19" s="11" t="s">
        <v>120</v>
      </c>
      <c r="D19" s="11" t="s">
        <v>126</v>
      </c>
      <c r="E19" s="11">
        <v>5</v>
      </c>
      <c r="F19" s="11"/>
      <c r="G19" s="11"/>
    </row>
    <row r="20" spans="1:7" x14ac:dyDescent="0.25">
      <c r="A20" s="13">
        <v>45879</v>
      </c>
      <c r="B20" s="11" t="s">
        <v>58</v>
      </c>
      <c r="C20" s="11" t="s">
        <v>188</v>
      </c>
      <c r="D20" s="11" t="s">
        <v>226</v>
      </c>
      <c r="E20" s="11">
        <v>6</v>
      </c>
      <c r="F20" s="11" t="s">
        <v>103</v>
      </c>
      <c r="G20" s="11"/>
    </row>
    <row r="21" spans="1:7" x14ac:dyDescent="0.25">
      <c r="A21" s="13">
        <v>45879</v>
      </c>
      <c r="B21" s="11" t="s">
        <v>49</v>
      </c>
      <c r="C21" s="11" t="s">
        <v>144</v>
      </c>
      <c r="D21" s="11" t="s">
        <v>302</v>
      </c>
      <c r="E21" s="11">
        <v>5.5</v>
      </c>
      <c r="F21" s="11" t="s">
        <v>103</v>
      </c>
      <c r="G21" s="11"/>
    </row>
    <row r="22" spans="1:7" x14ac:dyDescent="0.25">
      <c r="A22" s="13">
        <v>45879</v>
      </c>
      <c r="B22" s="11" t="s">
        <v>46</v>
      </c>
      <c r="C22" s="11" t="s">
        <v>180</v>
      </c>
      <c r="D22" s="11" t="s">
        <v>188</v>
      </c>
      <c r="E22" s="11">
        <v>6.5</v>
      </c>
      <c r="F22" s="11" t="s">
        <v>103</v>
      </c>
      <c r="G22" s="11"/>
    </row>
    <row r="23" spans="1:7" x14ac:dyDescent="0.25">
      <c r="A23" s="13">
        <v>45879</v>
      </c>
      <c r="B23" s="11" t="s">
        <v>58</v>
      </c>
      <c r="C23" s="11" t="s">
        <v>126</v>
      </c>
      <c r="D23" s="11" t="s">
        <v>188</v>
      </c>
      <c r="E23" s="11">
        <v>5</v>
      </c>
      <c r="F23" s="11" t="s">
        <v>103</v>
      </c>
      <c r="G23" s="11"/>
    </row>
    <row r="24" spans="1:7" x14ac:dyDescent="0.25">
      <c r="A24" s="13">
        <v>45880</v>
      </c>
      <c r="B24" s="11"/>
      <c r="C24" s="11"/>
      <c r="D24" s="11"/>
      <c r="E24" s="11"/>
      <c r="F24" s="11"/>
      <c r="G24" s="11"/>
    </row>
    <row r="25" spans="1:7" x14ac:dyDescent="0.25">
      <c r="A25" s="13">
        <v>45881</v>
      </c>
      <c r="B25" s="11" t="s">
        <v>56</v>
      </c>
      <c r="C25" s="11" t="s">
        <v>120</v>
      </c>
      <c r="D25" s="11" t="s">
        <v>100</v>
      </c>
      <c r="E25" s="11">
        <v>5.5</v>
      </c>
      <c r="F25" s="11" t="s">
        <v>103</v>
      </c>
      <c r="G25" s="11"/>
    </row>
    <row r="26" spans="1:7" x14ac:dyDescent="0.25">
      <c r="A26" s="13">
        <v>45882</v>
      </c>
      <c r="B26" s="11" t="s">
        <v>56</v>
      </c>
      <c r="C26" s="11" t="s">
        <v>120</v>
      </c>
      <c r="D26" s="11" t="s">
        <v>100</v>
      </c>
      <c r="E26" s="11">
        <v>5.5</v>
      </c>
      <c r="F26" s="11" t="s">
        <v>103</v>
      </c>
      <c r="G26" s="11"/>
    </row>
    <row r="27" spans="1:7" x14ac:dyDescent="0.25">
      <c r="A27" s="13">
        <v>45883</v>
      </c>
      <c r="B27" s="11" t="s">
        <v>56</v>
      </c>
      <c r="C27" s="11" t="s">
        <v>120</v>
      </c>
      <c r="D27" s="11" t="s">
        <v>100</v>
      </c>
      <c r="E27" s="11">
        <v>5.5</v>
      </c>
      <c r="F27" s="11" t="s">
        <v>103</v>
      </c>
      <c r="G27" s="11"/>
    </row>
    <row r="28" spans="1:7" x14ac:dyDescent="0.25">
      <c r="A28" s="13">
        <v>45883</v>
      </c>
      <c r="B28" s="11" t="s">
        <v>49</v>
      </c>
      <c r="C28" s="11" t="s">
        <v>102</v>
      </c>
      <c r="D28" s="11" t="s">
        <v>107</v>
      </c>
      <c r="E28" s="11">
        <v>5</v>
      </c>
      <c r="F28" s="11" t="s">
        <v>103</v>
      </c>
      <c r="G28" s="11"/>
    </row>
    <row r="29" spans="1:7" x14ac:dyDescent="0.25">
      <c r="A29" s="13">
        <v>45884</v>
      </c>
      <c r="B29" s="11" t="s">
        <v>56</v>
      </c>
      <c r="C29" s="11" t="s">
        <v>188</v>
      </c>
      <c r="D29" s="11" t="s">
        <v>172</v>
      </c>
      <c r="E29" s="11">
        <v>4.5</v>
      </c>
      <c r="F29" s="11"/>
      <c r="G29" s="11"/>
    </row>
    <row r="30" spans="1:7" x14ac:dyDescent="0.25">
      <c r="A30" s="13">
        <v>45884</v>
      </c>
      <c r="B30" s="11" t="s">
        <v>56</v>
      </c>
      <c r="C30" s="11" t="s">
        <v>120</v>
      </c>
      <c r="D30" s="11" t="s">
        <v>100</v>
      </c>
      <c r="E30" s="11">
        <v>5.5</v>
      </c>
      <c r="F30" s="11" t="s">
        <v>103</v>
      </c>
      <c r="G30" s="11"/>
    </row>
    <row r="31" spans="1:7" x14ac:dyDescent="0.25">
      <c r="A31" s="13">
        <v>45885</v>
      </c>
      <c r="B31" s="11" t="s">
        <v>53</v>
      </c>
      <c r="C31" s="11" t="s">
        <v>296</v>
      </c>
      <c r="D31" s="11" t="s">
        <v>172</v>
      </c>
      <c r="E31" s="11">
        <v>6</v>
      </c>
      <c r="F31" s="11" t="s">
        <v>103</v>
      </c>
      <c r="G31" s="11"/>
    </row>
    <row r="32" spans="1:7" x14ac:dyDescent="0.25">
      <c r="A32" s="13">
        <v>45885</v>
      </c>
      <c r="B32" s="11" t="s">
        <v>44</v>
      </c>
      <c r="C32" s="11" t="s">
        <v>120</v>
      </c>
      <c r="D32" s="11" t="s">
        <v>102</v>
      </c>
      <c r="E32" s="11">
        <v>7.5</v>
      </c>
      <c r="F32" s="11" t="s">
        <v>103</v>
      </c>
      <c r="G32" s="11"/>
    </row>
    <row r="33" spans="1:7" x14ac:dyDescent="0.25">
      <c r="A33" s="13">
        <v>45885</v>
      </c>
      <c r="B33" s="11" t="s">
        <v>56</v>
      </c>
      <c r="C33" s="11" t="s">
        <v>120</v>
      </c>
      <c r="D33" s="11" t="s">
        <v>100</v>
      </c>
      <c r="E33" s="11">
        <v>5.5</v>
      </c>
      <c r="F33" s="11" t="s">
        <v>103</v>
      </c>
      <c r="G33" s="11"/>
    </row>
    <row r="34" spans="1:7" x14ac:dyDescent="0.25">
      <c r="A34" s="13">
        <v>45886</v>
      </c>
      <c r="B34" s="11" t="s">
        <v>95</v>
      </c>
      <c r="C34" s="11" t="s">
        <v>118</v>
      </c>
      <c r="D34" s="11" t="s">
        <v>121</v>
      </c>
      <c r="E34" s="11">
        <v>6.5</v>
      </c>
      <c r="F34" s="11" t="s">
        <v>103</v>
      </c>
      <c r="G34" s="11"/>
    </row>
    <row r="35" spans="1:7" x14ac:dyDescent="0.25">
      <c r="A35" s="13">
        <v>45886</v>
      </c>
      <c r="B35" s="11" t="s">
        <v>49</v>
      </c>
      <c r="C35" s="11" t="s">
        <v>144</v>
      </c>
      <c r="D35" s="11" t="s">
        <v>301</v>
      </c>
      <c r="E35" s="11">
        <v>5.5</v>
      </c>
      <c r="F35" s="11" t="s">
        <v>103</v>
      </c>
      <c r="G35" s="11"/>
    </row>
    <row r="36" spans="1:7" x14ac:dyDescent="0.25">
      <c r="A36" s="13">
        <v>45886</v>
      </c>
      <c r="B36" s="11" t="s">
        <v>56</v>
      </c>
      <c r="C36" s="11" t="s">
        <v>120</v>
      </c>
      <c r="D36" s="19" t="s">
        <v>301</v>
      </c>
      <c r="E36" s="11">
        <v>4.5</v>
      </c>
      <c r="F36" s="11"/>
      <c r="G36" s="11"/>
    </row>
    <row r="37" spans="1:7" x14ac:dyDescent="0.25">
      <c r="A37" s="13">
        <v>45886</v>
      </c>
      <c r="B37" s="11" t="s">
        <v>58</v>
      </c>
      <c r="C37" s="11" t="s">
        <v>301</v>
      </c>
      <c r="D37" s="19" t="s">
        <v>177</v>
      </c>
      <c r="E37" s="11">
        <v>6.5</v>
      </c>
      <c r="F37" s="11" t="s">
        <v>103</v>
      </c>
      <c r="G37" s="11"/>
    </row>
    <row r="38" spans="1:7" x14ac:dyDescent="0.25">
      <c r="A38" s="13">
        <v>45886</v>
      </c>
      <c r="B38" s="11" t="s">
        <v>46</v>
      </c>
      <c r="C38" s="11" t="s">
        <v>132</v>
      </c>
      <c r="D38" s="19" t="s">
        <v>155</v>
      </c>
      <c r="E38" s="11">
        <v>6.5</v>
      </c>
      <c r="F38" s="11" t="s">
        <v>103</v>
      </c>
      <c r="G38" s="11"/>
    </row>
    <row r="39" spans="1:7" x14ac:dyDescent="0.25">
      <c r="A39" s="13">
        <v>45887</v>
      </c>
      <c r="B39" s="11" t="s">
        <v>58</v>
      </c>
      <c r="C39" s="11" t="s">
        <v>298</v>
      </c>
      <c r="D39" s="11" t="s">
        <v>296</v>
      </c>
      <c r="E39" s="11">
        <v>6.5</v>
      </c>
      <c r="F39" s="11" t="s">
        <v>103</v>
      </c>
      <c r="G39" s="11"/>
    </row>
    <row r="40" spans="1:7" x14ac:dyDescent="0.25">
      <c r="A40" s="13">
        <v>45887</v>
      </c>
      <c r="B40" s="11" t="s">
        <v>95</v>
      </c>
      <c r="C40" s="11" t="s">
        <v>118</v>
      </c>
      <c r="D40" s="11" t="s">
        <v>296</v>
      </c>
      <c r="E40" s="11">
        <v>6</v>
      </c>
      <c r="F40" s="11" t="s">
        <v>103</v>
      </c>
      <c r="G40" s="11"/>
    </row>
    <row r="41" spans="1:7" x14ac:dyDescent="0.25">
      <c r="A41" s="13">
        <v>45887</v>
      </c>
      <c r="B41" s="11" t="s">
        <v>53</v>
      </c>
      <c r="C41" s="11" t="s">
        <v>126</v>
      </c>
      <c r="D41" s="11" t="s">
        <v>155</v>
      </c>
      <c r="E41" s="11">
        <v>5.5</v>
      </c>
      <c r="F41" s="11" t="s">
        <v>103</v>
      </c>
      <c r="G41" s="11"/>
    </row>
    <row r="42" spans="1:7" x14ac:dyDescent="0.25">
      <c r="A42" s="13">
        <v>45887</v>
      </c>
      <c r="B42" s="11" t="s">
        <v>53</v>
      </c>
      <c r="C42" s="11" t="s">
        <v>120</v>
      </c>
      <c r="D42" s="11" t="s">
        <v>126</v>
      </c>
      <c r="E42" s="11">
        <v>5</v>
      </c>
      <c r="F42" s="11"/>
      <c r="G42" s="11"/>
    </row>
    <row r="43" spans="1:7" x14ac:dyDescent="0.25">
      <c r="A43" s="13">
        <v>45888</v>
      </c>
      <c r="B43" s="11" t="s">
        <v>56</v>
      </c>
      <c r="C43" s="11" t="s">
        <v>120</v>
      </c>
      <c r="D43" s="11" t="s">
        <v>100</v>
      </c>
      <c r="E43" s="11">
        <v>5.5</v>
      </c>
      <c r="F43" s="11" t="s">
        <v>103</v>
      </c>
      <c r="G43" s="11"/>
    </row>
    <row r="44" spans="1:7" x14ac:dyDescent="0.25">
      <c r="A44" s="13">
        <v>45889</v>
      </c>
      <c r="B44" s="11" t="s">
        <v>56</v>
      </c>
      <c r="C44" s="11" t="s">
        <v>120</v>
      </c>
      <c r="D44" s="11" t="s">
        <v>100</v>
      </c>
      <c r="E44" s="11">
        <v>5.5</v>
      </c>
      <c r="F44" s="11" t="s">
        <v>103</v>
      </c>
      <c r="G44" s="11"/>
    </row>
    <row r="45" spans="1:7" x14ac:dyDescent="0.25">
      <c r="A45" s="13">
        <v>45889</v>
      </c>
      <c r="B45" s="11" t="s">
        <v>51</v>
      </c>
      <c r="C45" s="11" t="s">
        <v>100</v>
      </c>
      <c r="D45" s="11" t="s">
        <v>166</v>
      </c>
      <c r="E45" s="11">
        <v>5.5</v>
      </c>
      <c r="F45" s="11" t="s">
        <v>103</v>
      </c>
      <c r="G45" s="11"/>
    </row>
    <row r="46" spans="1:7" x14ac:dyDescent="0.25">
      <c r="A46" s="13">
        <v>45889</v>
      </c>
      <c r="B46" s="11" t="s">
        <v>51</v>
      </c>
      <c r="C46" s="11" t="s">
        <v>166</v>
      </c>
      <c r="D46" s="11" t="s">
        <v>189</v>
      </c>
      <c r="E46" s="11">
        <v>4</v>
      </c>
      <c r="F46" s="11"/>
      <c r="G46" s="11"/>
    </row>
    <row r="47" spans="1:7" x14ac:dyDescent="0.25">
      <c r="A47" s="13">
        <v>45890</v>
      </c>
      <c r="B47" s="11" t="s">
        <v>56</v>
      </c>
      <c r="C47" s="11" t="s">
        <v>120</v>
      </c>
      <c r="D47" s="11" t="s">
        <v>100</v>
      </c>
      <c r="E47" s="11">
        <v>5.5</v>
      </c>
      <c r="F47" s="11" t="s">
        <v>103</v>
      </c>
      <c r="G47" s="11"/>
    </row>
    <row r="48" spans="1:7" x14ac:dyDescent="0.25">
      <c r="A48" s="13">
        <v>45890</v>
      </c>
      <c r="B48" s="11" t="s">
        <v>49</v>
      </c>
      <c r="C48" s="11" t="s">
        <v>102</v>
      </c>
      <c r="D48" s="11" t="s">
        <v>107</v>
      </c>
      <c r="E48" s="11">
        <v>5</v>
      </c>
      <c r="F48" s="11" t="s">
        <v>103</v>
      </c>
      <c r="G48" s="11"/>
    </row>
    <row r="49" spans="1:7" x14ac:dyDescent="0.25">
      <c r="A49" s="13">
        <v>45891</v>
      </c>
      <c r="B49" s="11" t="s">
        <v>53</v>
      </c>
      <c r="C49" s="11" t="s">
        <v>126</v>
      </c>
      <c r="D49" s="11" t="s">
        <v>188</v>
      </c>
      <c r="E49" s="11">
        <v>5</v>
      </c>
      <c r="F49" s="11" t="s">
        <v>103</v>
      </c>
      <c r="G49" s="11"/>
    </row>
    <row r="50" spans="1:7" x14ac:dyDescent="0.25">
      <c r="A50" s="13">
        <v>45891</v>
      </c>
      <c r="B50" s="11" t="s">
        <v>53</v>
      </c>
      <c r="C50" s="11" t="s">
        <v>188</v>
      </c>
      <c r="D50" s="11" t="s">
        <v>183</v>
      </c>
      <c r="E50" s="11">
        <v>5</v>
      </c>
      <c r="F50" s="11"/>
      <c r="G50" s="11"/>
    </row>
    <row r="51" spans="1:7" x14ac:dyDescent="0.25">
      <c r="A51" s="13">
        <v>45891</v>
      </c>
      <c r="B51" s="11" t="s">
        <v>56</v>
      </c>
      <c r="C51" s="11" t="s">
        <v>120</v>
      </c>
      <c r="D51" s="11" t="s">
        <v>100</v>
      </c>
      <c r="E51" s="11">
        <v>5.5</v>
      </c>
      <c r="F51" s="11" t="s">
        <v>103</v>
      </c>
      <c r="G51" s="11"/>
    </row>
    <row r="52" spans="1:7" x14ac:dyDescent="0.25">
      <c r="A52" s="13">
        <v>45891</v>
      </c>
      <c r="B52" s="11" t="s">
        <v>56</v>
      </c>
      <c r="C52" s="11" t="s">
        <v>121</v>
      </c>
      <c r="D52" s="11" t="s">
        <v>172</v>
      </c>
      <c r="E52" s="11">
        <v>5.5</v>
      </c>
      <c r="F52" s="11" t="s">
        <v>103</v>
      </c>
      <c r="G52" s="11"/>
    </row>
    <row r="53" spans="1:7" x14ac:dyDescent="0.25">
      <c r="A53" s="13">
        <v>45892</v>
      </c>
      <c r="B53" s="11" t="s">
        <v>56</v>
      </c>
      <c r="C53" s="11" t="s">
        <v>120</v>
      </c>
      <c r="D53" s="11" t="s">
        <v>100</v>
      </c>
      <c r="E53" s="11">
        <v>5.5</v>
      </c>
      <c r="F53" s="11" t="s">
        <v>103</v>
      </c>
      <c r="G53" s="11"/>
    </row>
    <row r="54" spans="1:7" x14ac:dyDescent="0.25">
      <c r="A54" s="13">
        <v>45893</v>
      </c>
      <c r="B54" s="11" t="s">
        <v>49</v>
      </c>
      <c r="C54" s="11" t="s">
        <v>144</v>
      </c>
      <c r="D54" s="11" t="s">
        <v>301</v>
      </c>
      <c r="E54" s="11">
        <v>5.5</v>
      </c>
      <c r="F54" s="11" t="s">
        <v>103</v>
      </c>
      <c r="G54" s="11"/>
    </row>
    <row r="55" spans="1:7" x14ac:dyDescent="0.25">
      <c r="A55" s="13">
        <v>45893</v>
      </c>
      <c r="B55" s="11" t="s">
        <v>53</v>
      </c>
      <c r="C55" s="11" t="s">
        <v>157</v>
      </c>
      <c r="D55" s="11" t="s">
        <v>177</v>
      </c>
      <c r="E55" s="11">
        <v>5.5</v>
      </c>
      <c r="F55" s="11" t="s">
        <v>103</v>
      </c>
      <c r="G55" s="11"/>
    </row>
    <row r="56" spans="1:7" x14ac:dyDescent="0.25">
      <c r="A56" s="13">
        <v>45893</v>
      </c>
      <c r="B56" s="11" t="s">
        <v>56</v>
      </c>
      <c r="C56" s="11" t="s">
        <v>120</v>
      </c>
      <c r="D56" s="11" t="s">
        <v>105</v>
      </c>
      <c r="E56" s="11">
        <v>6.5</v>
      </c>
      <c r="F56" s="11" t="s">
        <v>103</v>
      </c>
      <c r="G56" s="11"/>
    </row>
    <row r="57" spans="1:7" x14ac:dyDescent="0.25">
      <c r="A57" s="13">
        <v>45894</v>
      </c>
      <c r="B57" s="11" t="s">
        <v>56</v>
      </c>
      <c r="C57" s="11" t="s">
        <v>157</v>
      </c>
      <c r="D57" s="11" t="s">
        <v>155</v>
      </c>
      <c r="E57" s="11">
        <v>5</v>
      </c>
      <c r="F57" s="11" t="s">
        <v>103</v>
      </c>
      <c r="G57" s="11"/>
    </row>
    <row r="58" spans="1:7" x14ac:dyDescent="0.25">
      <c r="A58" s="13">
        <v>45894</v>
      </c>
      <c r="B58" s="11" t="s">
        <v>58</v>
      </c>
      <c r="C58" s="11" t="s">
        <v>120</v>
      </c>
      <c r="D58" s="11" t="s">
        <v>157</v>
      </c>
      <c r="E58" s="11">
        <v>5</v>
      </c>
      <c r="F58" s="11" t="s">
        <v>103</v>
      </c>
      <c r="G58" s="11"/>
    </row>
    <row r="59" spans="1:7" x14ac:dyDescent="0.25">
      <c r="A59" s="13">
        <v>45894</v>
      </c>
      <c r="B59" s="11" t="s">
        <v>58</v>
      </c>
      <c r="C59" s="11" t="s">
        <v>155</v>
      </c>
      <c r="D59" s="11" t="s">
        <v>189</v>
      </c>
      <c r="E59" s="11">
        <v>5</v>
      </c>
      <c r="F59" s="11"/>
      <c r="G59" s="11"/>
    </row>
    <row r="60" spans="1:7" x14ac:dyDescent="0.25">
      <c r="A60" s="13">
        <v>45895</v>
      </c>
      <c r="B60" s="11" t="s">
        <v>56</v>
      </c>
      <c r="C60" s="11" t="s">
        <v>120</v>
      </c>
      <c r="D60" s="11" t="s">
        <v>100</v>
      </c>
      <c r="E60" s="11">
        <v>5.5</v>
      </c>
      <c r="F60" s="11" t="s">
        <v>103</v>
      </c>
      <c r="G60" s="11"/>
    </row>
    <row r="61" spans="1:7" x14ac:dyDescent="0.25">
      <c r="A61" s="13">
        <v>45895</v>
      </c>
      <c r="B61" s="11" t="s">
        <v>56</v>
      </c>
      <c r="C61" s="11" t="s">
        <v>102</v>
      </c>
      <c r="D61" s="11" t="s">
        <v>269</v>
      </c>
      <c r="E61" s="11">
        <v>5</v>
      </c>
      <c r="F61" s="11"/>
      <c r="G61" s="11"/>
    </row>
    <row r="62" spans="1:7" x14ac:dyDescent="0.25">
      <c r="A62" s="13">
        <v>45896</v>
      </c>
      <c r="B62" s="11" t="s">
        <v>56</v>
      </c>
      <c r="C62" s="11" t="s">
        <v>120</v>
      </c>
      <c r="D62" s="11" t="s">
        <v>100</v>
      </c>
      <c r="E62" s="11">
        <v>5.5</v>
      </c>
      <c r="F62" s="11" t="s">
        <v>103</v>
      </c>
      <c r="G62" s="11"/>
    </row>
    <row r="63" spans="1:7" x14ac:dyDescent="0.25">
      <c r="A63" s="13">
        <v>45897</v>
      </c>
      <c r="B63" s="11" t="s">
        <v>56</v>
      </c>
      <c r="C63" s="11" t="s">
        <v>120</v>
      </c>
      <c r="D63" s="11" t="s">
        <v>100</v>
      </c>
      <c r="E63" s="11">
        <v>5.5</v>
      </c>
      <c r="F63" s="11" t="s">
        <v>103</v>
      </c>
      <c r="G63" s="11"/>
    </row>
    <row r="64" spans="1:7" x14ac:dyDescent="0.25">
      <c r="A64" s="13">
        <v>45897</v>
      </c>
      <c r="B64" s="11" t="s">
        <v>49</v>
      </c>
      <c r="C64" s="19" t="s">
        <v>102</v>
      </c>
      <c r="D64" s="11" t="s">
        <v>107</v>
      </c>
      <c r="E64" s="11">
        <v>5</v>
      </c>
      <c r="F64" s="11" t="s">
        <v>103</v>
      </c>
      <c r="G64" s="11"/>
    </row>
    <row r="65" spans="1:7" x14ac:dyDescent="0.25">
      <c r="A65" s="13">
        <v>45898</v>
      </c>
      <c r="B65" s="11" t="s">
        <v>56</v>
      </c>
      <c r="C65" s="11" t="s">
        <v>120</v>
      </c>
      <c r="D65" s="11" t="s">
        <v>100</v>
      </c>
      <c r="E65" s="11">
        <v>5.5</v>
      </c>
      <c r="F65" s="11" t="s">
        <v>103</v>
      </c>
      <c r="G65" s="11"/>
    </row>
    <row r="66" spans="1:7" x14ac:dyDescent="0.25">
      <c r="A66" s="13">
        <v>45898</v>
      </c>
      <c r="B66" s="11" t="s">
        <v>56</v>
      </c>
      <c r="C66" s="11" t="s">
        <v>188</v>
      </c>
      <c r="D66" s="11" t="s">
        <v>172</v>
      </c>
      <c r="E66" s="11">
        <v>4.5</v>
      </c>
      <c r="F66" s="11"/>
      <c r="G66" s="11"/>
    </row>
    <row r="67" spans="1:7" x14ac:dyDescent="0.25">
      <c r="A67" s="13">
        <v>45899</v>
      </c>
      <c r="B67" s="11" t="s">
        <v>56</v>
      </c>
      <c r="C67" s="11" t="s">
        <v>120</v>
      </c>
      <c r="D67" s="11" t="s">
        <v>100</v>
      </c>
      <c r="E67" s="11">
        <v>5.5</v>
      </c>
      <c r="F67" s="11" t="s">
        <v>103</v>
      </c>
      <c r="G67" s="11"/>
    </row>
    <row r="68" spans="1:7" x14ac:dyDescent="0.25">
      <c r="A68" s="13">
        <v>45900</v>
      </c>
      <c r="B68" s="11" t="s">
        <v>56</v>
      </c>
      <c r="C68" s="11" t="s">
        <v>120</v>
      </c>
      <c r="D68" s="11" t="s">
        <v>126</v>
      </c>
      <c r="E68" s="11">
        <v>5</v>
      </c>
      <c r="F68" s="11"/>
      <c r="G68" s="11"/>
    </row>
    <row r="69" spans="1:7" x14ac:dyDescent="0.25">
      <c r="A69" s="13">
        <v>45900</v>
      </c>
      <c r="B69" s="11" t="s">
        <v>53</v>
      </c>
      <c r="C69" s="11" t="s">
        <v>100</v>
      </c>
      <c r="D69" s="11" t="s">
        <v>177</v>
      </c>
      <c r="E69" s="11">
        <v>5</v>
      </c>
      <c r="F69" s="11" t="s">
        <v>103</v>
      </c>
      <c r="G69" s="11"/>
    </row>
    <row r="70" spans="1:7" x14ac:dyDescent="0.25">
      <c r="A70" s="13">
        <v>45900</v>
      </c>
      <c r="B70" s="11" t="s">
        <v>58</v>
      </c>
      <c r="C70" s="11" t="s">
        <v>166</v>
      </c>
      <c r="D70" s="11" t="s">
        <v>226</v>
      </c>
      <c r="E70" s="11">
        <v>5</v>
      </c>
      <c r="F70" s="11"/>
      <c r="G70" s="11"/>
    </row>
    <row r="71" spans="1:7" x14ac:dyDescent="0.25">
      <c r="A71" s="13">
        <v>45900</v>
      </c>
      <c r="B71" s="11" t="s">
        <v>58</v>
      </c>
      <c r="C71" s="11" t="s">
        <v>100</v>
      </c>
      <c r="D71" s="11" t="s">
        <v>166</v>
      </c>
      <c r="E71" s="11">
        <v>5.5</v>
      </c>
      <c r="F71" s="11" t="s">
        <v>103</v>
      </c>
      <c r="G71" s="11"/>
    </row>
    <row r="72" spans="1:7" x14ac:dyDescent="0.25">
      <c r="A72" s="13">
        <v>45900</v>
      </c>
      <c r="B72" s="11" t="s">
        <v>49</v>
      </c>
      <c r="C72" s="11" t="s">
        <v>120</v>
      </c>
      <c r="D72" s="19" t="s">
        <v>301</v>
      </c>
      <c r="E72" s="11">
        <v>4.5</v>
      </c>
      <c r="F72" s="11"/>
      <c r="G72" s="11"/>
    </row>
    <row r="73" spans="1:7" x14ac:dyDescent="0.25">
      <c r="A73" s="13">
        <v>45900</v>
      </c>
      <c r="B73" s="11" t="s">
        <v>53</v>
      </c>
      <c r="C73" s="11" t="s">
        <v>177</v>
      </c>
      <c r="D73" s="11" t="s">
        <v>189</v>
      </c>
      <c r="E73" s="11">
        <v>4.5</v>
      </c>
      <c r="F73" s="11"/>
      <c r="G73" s="11"/>
    </row>
    <row r="74" spans="1:7" x14ac:dyDescent="0.25">
      <c r="A74" s="13">
        <v>45873</v>
      </c>
      <c r="B74" s="11" t="s">
        <v>225</v>
      </c>
      <c r="C74" s="11" t="s">
        <v>219</v>
      </c>
      <c r="D74" s="11" t="s">
        <v>226</v>
      </c>
      <c r="E74" s="11">
        <v>6.5</v>
      </c>
      <c r="F74" s="11" t="s">
        <v>103</v>
      </c>
      <c r="G74" s="11"/>
    </row>
    <row r="75" spans="1:7" x14ac:dyDescent="0.25">
      <c r="A75" s="13">
        <v>45873</v>
      </c>
      <c r="B75" s="11" t="s">
        <v>227</v>
      </c>
      <c r="C75" s="11" t="s">
        <v>219</v>
      </c>
      <c r="D75" s="11" t="s">
        <v>226</v>
      </c>
      <c r="E75" s="11">
        <v>6.5</v>
      </c>
      <c r="F75" s="11" t="s">
        <v>103</v>
      </c>
      <c r="G75" s="11"/>
    </row>
    <row r="76" spans="1:7" x14ac:dyDescent="0.25">
      <c r="A76" s="13">
        <v>45873</v>
      </c>
      <c r="B76" s="11" t="s">
        <v>228</v>
      </c>
      <c r="C76" s="11" t="s">
        <v>219</v>
      </c>
      <c r="D76" s="11" t="s">
        <v>226</v>
      </c>
      <c r="E76" s="11">
        <v>6.5</v>
      </c>
      <c r="F76" s="11" t="s">
        <v>103</v>
      </c>
      <c r="G76" s="11"/>
    </row>
    <row r="77" spans="1:7" x14ac:dyDescent="0.25">
      <c r="A77" s="13">
        <v>45873</v>
      </c>
      <c r="B77" s="11" t="s">
        <v>229</v>
      </c>
      <c r="C77" s="11" t="s">
        <v>219</v>
      </c>
      <c r="D77" s="11" t="s">
        <v>226</v>
      </c>
      <c r="E77" s="11">
        <v>6.5</v>
      </c>
      <c r="F77" s="11" t="s">
        <v>103</v>
      </c>
      <c r="G77" s="11"/>
    </row>
    <row r="78" spans="1:7" x14ac:dyDescent="0.25">
      <c r="A78" s="13">
        <v>45873</v>
      </c>
      <c r="B78" s="11" t="s">
        <v>230</v>
      </c>
      <c r="C78" s="11" t="s">
        <v>219</v>
      </c>
      <c r="D78" s="11" t="s">
        <v>226</v>
      </c>
      <c r="E78" s="11">
        <v>6.5</v>
      </c>
      <c r="F78" s="11" t="s">
        <v>103</v>
      </c>
      <c r="G78" s="11"/>
    </row>
    <row r="79" spans="1:7" x14ac:dyDescent="0.25">
      <c r="A79" s="13">
        <v>45878</v>
      </c>
      <c r="B79" s="11" t="s">
        <v>211</v>
      </c>
      <c r="C79" s="11" t="s">
        <v>219</v>
      </c>
      <c r="D79" s="11" t="s">
        <v>189</v>
      </c>
      <c r="E79" s="11">
        <v>5.5</v>
      </c>
      <c r="F79" s="11" t="s">
        <v>103</v>
      </c>
      <c r="G79" s="11"/>
    </row>
    <row r="80" spans="1:7" x14ac:dyDescent="0.25">
      <c r="A80" s="13">
        <v>45878</v>
      </c>
      <c r="B80" s="11" t="s">
        <v>231</v>
      </c>
      <c r="C80" s="11" t="s">
        <v>219</v>
      </c>
      <c r="D80" s="11" t="s">
        <v>189</v>
      </c>
      <c r="E80" s="11">
        <v>5.5</v>
      </c>
      <c r="F80" s="11" t="s">
        <v>103</v>
      </c>
      <c r="G80" s="11"/>
    </row>
    <row r="81" spans="1:7" x14ac:dyDescent="0.25">
      <c r="A81" s="13">
        <v>45878</v>
      </c>
      <c r="B81" s="11" t="s">
        <v>220</v>
      </c>
      <c r="C81" s="11" t="s">
        <v>219</v>
      </c>
      <c r="D81" s="11" t="s">
        <v>189</v>
      </c>
      <c r="E81" s="11">
        <v>5.5</v>
      </c>
      <c r="F81" s="11" t="s">
        <v>103</v>
      </c>
      <c r="G81" s="11"/>
    </row>
    <row r="82" spans="1:7" x14ac:dyDescent="0.25">
      <c r="A82" s="13">
        <v>45884</v>
      </c>
      <c r="B82" s="11" t="s">
        <v>106</v>
      </c>
      <c r="C82" s="11" t="s">
        <v>102</v>
      </c>
      <c r="D82" s="11" t="s">
        <v>185</v>
      </c>
      <c r="E82" s="11">
        <v>4.5</v>
      </c>
      <c r="F82" s="11"/>
      <c r="G82" s="11"/>
    </row>
    <row r="83" spans="1:7" x14ac:dyDescent="0.25">
      <c r="A83" s="13">
        <v>45884</v>
      </c>
      <c r="B83" s="11" t="s">
        <v>167</v>
      </c>
      <c r="C83" s="11" t="s">
        <v>102</v>
      </c>
      <c r="D83" s="11" t="s">
        <v>185</v>
      </c>
      <c r="E83" s="11">
        <v>4.5</v>
      </c>
      <c r="F83" s="11"/>
      <c r="G83" s="11"/>
    </row>
    <row r="84" spans="1:7" x14ac:dyDescent="0.25">
      <c r="A84" s="13">
        <v>45884</v>
      </c>
      <c r="B84" s="11" t="s">
        <v>168</v>
      </c>
      <c r="C84" s="11" t="s">
        <v>102</v>
      </c>
      <c r="D84" s="11" t="s">
        <v>185</v>
      </c>
      <c r="E84" s="11">
        <v>4.5</v>
      </c>
      <c r="F84" s="11"/>
      <c r="G84" s="11"/>
    </row>
    <row r="85" spans="1:7" x14ac:dyDescent="0.25">
      <c r="A85" s="13">
        <v>45885</v>
      </c>
      <c r="B85" s="11" t="s">
        <v>211</v>
      </c>
      <c r="C85" s="11" t="s">
        <v>142</v>
      </c>
      <c r="D85" s="11" t="s">
        <v>189</v>
      </c>
      <c r="E85" s="11">
        <v>6</v>
      </c>
      <c r="F85" s="11" t="s">
        <v>103</v>
      </c>
      <c r="G85" s="11"/>
    </row>
    <row r="86" spans="1:7" x14ac:dyDescent="0.25">
      <c r="A86" s="13">
        <v>45885</v>
      </c>
      <c r="B86" s="11" t="s">
        <v>212</v>
      </c>
      <c r="C86" s="11" t="s">
        <v>142</v>
      </c>
      <c r="D86" s="11" t="s">
        <v>189</v>
      </c>
      <c r="E86" s="11">
        <v>6</v>
      </c>
      <c r="F86" s="11" t="s">
        <v>103</v>
      </c>
      <c r="G86" s="11"/>
    </row>
    <row r="87" spans="1:7" x14ac:dyDescent="0.25">
      <c r="A87" s="13">
        <v>45888</v>
      </c>
      <c r="B87" s="11" t="s">
        <v>232</v>
      </c>
      <c r="C87" s="11" t="s">
        <v>233</v>
      </c>
      <c r="D87" s="11" t="s">
        <v>100</v>
      </c>
      <c r="E87" s="11">
        <v>4</v>
      </c>
      <c r="F87" s="11"/>
      <c r="G87" s="11"/>
    </row>
    <row r="88" spans="1:7" x14ac:dyDescent="0.25">
      <c r="A88" s="13">
        <v>45888</v>
      </c>
      <c r="B88" s="11" t="s">
        <v>234</v>
      </c>
      <c r="C88" s="11" t="s">
        <v>233</v>
      </c>
      <c r="D88" s="11" t="s">
        <v>105</v>
      </c>
      <c r="E88" s="11">
        <v>5</v>
      </c>
      <c r="F88" s="11"/>
      <c r="G88" s="11"/>
    </row>
    <row r="89" spans="1:7" x14ac:dyDescent="0.25">
      <c r="A89" s="13">
        <v>45888</v>
      </c>
      <c r="B89" s="11" t="s">
        <v>235</v>
      </c>
      <c r="C89" s="11" t="s">
        <v>233</v>
      </c>
      <c r="D89" s="11" t="s">
        <v>105</v>
      </c>
      <c r="E89" s="11">
        <v>5</v>
      </c>
      <c r="F89" s="11"/>
      <c r="G89" s="11"/>
    </row>
    <row r="90" spans="1:7" x14ac:dyDescent="0.25">
      <c r="A90" s="13">
        <v>45889</v>
      </c>
      <c r="B90" s="11" t="s">
        <v>236</v>
      </c>
      <c r="C90" s="11" t="s">
        <v>105</v>
      </c>
      <c r="D90" s="11" t="s">
        <v>172</v>
      </c>
      <c r="E90" s="11">
        <v>7.5</v>
      </c>
      <c r="F90" s="11" t="s">
        <v>103</v>
      </c>
      <c r="G90" s="11"/>
    </row>
    <row r="91" spans="1:7" x14ac:dyDescent="0.25">
      <c r="A91" s="13">
        <v>45889</v>
      </c>
      <c r="B91" s="11" t="s">
        <v>237</v>
      </c>
      <c r="C91" s="11" t="s">
        <v>105</v>
      </c>
      <c r="D91" s="11" t="s">
        <v>172</v>
      </c>
      <c r="E91" s="11">
        <v>7.5</v>
      </c>
      <c r="F91" s="11" t="s">
        <v>103</v>
      </c>
      <c r="G91" s="11"/>
    </row>
    <row r="92" spans="1:7" x14ac:dyDescent="0.25">
      <c r="A92" s="13">
        <v>45889</v>
      </c>
      <c r="B92" s="11" t="s">
        <v>238</v>
      </c>
      <c r="C92" s="11" t="s">
        <v>105</v>
      </c>
      <c r="D92" s="11" t="s">
        <v>172</v>
      </c>
      <c r="E92" s="11">
        <v>7.5</v>
      </c>
      <c r="F92" s="11" t="s">
        <v>103</v>
      </c>
      <c r="G92" s="11"/>
    </row>
    <row r="93" spans="1:7" x14ac:dyDescent="0.25">
      <c r="A93" s="13">
        <v>45889</v>
      </c>
      <c r="B93" s="11" t="s">
        <v>239</v>
      </c>
      <c r="C93" s="11" t="s">
        <v>105</v>
      </c>
      <c r="D93" s="11" t="s">
        <v>172</v>
      </c>
      <c r="E93" s="11">
        <v>7.5</v>
      </c>
      <c r="F93" s="11" t="s">
        <v>103</v>
      </c>
      <c r="G93" s="11"/>
    </row>
    <row r="94" spans="1:7" x14ac:dyDescent="0.25">
      <c r="A94" s="13">
        <v>45889</v>
      </c>
      <c r="B94" s="11" t="s">
        <v>240</v>
      </c>
      <c r="C94" s="11" t="s">
        <v>105</v>
      </c>
      <c r="D94" s="11" t="s">
        <v>172</v>
      </c>
      <c r="E94" s="11">
        <v>7.5</v>
      </c>
      <c r="F94" s="11" t="s">
        <v>103</v>
      </c>
      <c r="G94" s="11"/>
    </row>
    <row r="95" spans="1:7" x14ac:dyDescent="0.25">
      <c r="A95" s="13">
        <v>45889</v>
      </c>
      <c r="B95" s="11" t="s">
        <v>241</v>
      </c>
      <c r="C95" s="11" t="s">
        <v>105</v>
      </c>
      <c r="D95" s="11" t="s">
        <v>121</v>
      </c>
      <c r="E95" s="11">
        <v>2</v>
      </c>
      <c r="F95" s="11"/>
      <c r="G95" s="11"/>
    </row>
    <row r="96" spans="1:7" x14ac:dyDescent="0.25">
      <c r="A96" s="13">
        <v>45895</v>
      </c>
      <c r="B96" s="11" t="s">
        <v>106</v>
      </c>
      <c r="C96" s="11" t="s">
        <v>181</v>
      </c>
      <c r="D96" s="11" t="s">
        <v>121</v>
      </c>
      <c r="E96" s="11">
        <v>1.5</v>
      </c>
      <c r="F96" s="11"/>
      <c r="G96" s="11"/>
    </row>
    <row r="97" spans="1:7" x14ac:dyDescent="0.25">
      <c r="A97" s="13">
        <v>45895</v>
      </c>
      <c r="B97" s="11" t="s">
        <v>167</v>
      </c>
      <c r="C97" s="11" t="s">
        <v>181</v>
      </c>
      <c r="D97" s="11" t="s">
        <v>166</v>
      </c>
      <c r="E97" s="11">
        <v>4.5</v>
      </c>
      <c r="F97" s="11"/>
      <c r="G97" s="11"/>
    </row>
    <row r="98" spans="1:7" x14ac:dyDescent="0.25">
      <c r="A98" s="13">
        <v>45895</v>
      </c>
      <c r="B98" s="11" t="s">
        <v>168</v>
      </c>
      <c r="C98" s="11" t="s">
        <v>181</v>
      </c>
      <c r="D98" s="11" t="s">
        <v>166</v>
      </c>
      <c r="E98" s="11">
        <v>4.5</v>
      </c>
      <c r="F98" s="11"/>
      <c r="G98" s="11"/>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F4F63-7ED6-4389-B0E2-9D7842F12AF8}">
  <sheetPr>
    <tabColor theme="9" tint="0.39997558519241921"/>
  </sheetPr>
  <dimension ref="A1:G110"/>
  <sheetViews>
    <sheetView workbookViewId="0">
      <selection activeCell="A2" sqref="A1:B1048576"/>
    </sheetView>
  </sheetViews>
  <sheetFormatPr defaultRowHeight="15" x14ac:dyDescent="0.25"/>
  <cols>
    <col min="1" max="1" width="12" customWidth="1"/>
    <col min="2" max="2" width="79.7109375" customWidth="1"/>
    <col min="3" max="3" width="13.140625" customWidth="1"/>
    <col min="4" max="4" width="10.7109375" customWidth="1"/>
    <col min="5" max="5" width="14.28515625" customWidth="1"/>
    <col min="6" max="6" width="26.7109375" customWidth="1"/>
    <col min="7" max="7" width="19.28515625" bestFit="1" customWidth="1"/>
  </cols>
  <sheetData>
    <row r="1" spans="1:7" x14ac:dyDescent="0.25">
      <c r="A1" s="9" t="s">
        <v>83</v>
      </c>
      <c r="B1" s="9" t="s">
        <v>84</v>
      </c>
      <c r="C1" s="9" t="s">
        <v>85</v>
      </c>
      <c r="D1" s="9" t="s">
        <v>86</v>
      </c>
      <c r="E1" s="9" t="s">
        <v>16</v>
      </c>
      <c r="F1" s="9" t="s">
        <v>87</v>
      </c>
      <c r="G1" s="9" t="s">
        <v>25</v>
      </c>
    </row>
    <row r="2" spans="1:7" x14ac:dyDescent="0.25">
      <c r="A2" s="13">
        <v>45931</v>
      </c>
      <c r="B2" s="11" t="s">
        <v>56</v>
      </c>
      <c r="C2" s="11" t="s">
        <v>120</v>
      </c>
      <c r="D2" s="11" t="s">
        <v>100</v>
      </c>
      <c r="E2" s="11">
        <v>5.5</v>
      </c>
      <c r="F2" s="11" t="s">
        <v>103</v>
      </c>
      <c r="G2" s="12">
        <f>SUM(E:E)</f>
        <v>572.5</v>
      </c>
    </row>
    <row r="3" spans="1:7" x14ac:dyDescent="0.25">
      <c r="A3" s="13">
        <v>45932</v>
      </c>
      <c r="B3" s="11" t="s">
        <v>56</v>
      </c>
      <c r="C3" s="11" t="s">
        <v>297</v>
      </c>
      <c r="D3" s="11" t="s">
        <v>100</v>
      </c>
      <c r="E3" s="11">
        <v>6</v>
      </c>
      <c r="F3" s="11" t="s">
        <v>103</v>
      </c>
      <c r="G3" s="11"/>
    </row>
    <row r="4" spans="1:7" x14ac:dyDescent="0.25">
      <c r="A4" s="13">
        <v>45932</v>
      </c>
      <c r="B4" s="11" t="s">
        <v>49</v>
      </c>
      <c r="C4" s="11" t="s">
        <v>121</v>
      </c>
      <c r="D4" s="11" t="s">
        <v>269</v>
      </c>
      <c r="E4" s="11">
        <v>4</v>
      </c>
      <c r="F4" s="11"/>
      <c r="G4" s="11"/>
    </row>
    <row r="5" spans="1:7" x14ac:dyDescent="0.25">
      <c r="A5" s="13">
        <v>45932</v>
      </c>
      <c r="B5" s="11" t="s">
        <v>56</v>
      </c>
      <c r="C5" s="11" t="s">
        <v>102</v>
      </c>
      <c r="D5" s="11" t="s">
        <v>269</v>
      </c>
      <c r="E5" s="11">
        <v>5</v>
      </c>
      <c r="F5" s="11"/>
      <c r="G5" s="11"/>
    </row>
    <row r="6" spans="1:7" x14ac:dyDescent="0.25">
      <c r="A6" s="13">
        <v>45933</v>
      </c>
      <c r="B6" s="11" t="s">
        <v>56</v>
      </c>
      <c r="C6" s="11" t="s">
        <v>120</v>
      </c>
      <c r="D6" s="11" t="s">
        <v>100</v>
      </c>
      <c r="E6" s="11">
        <v>5.5</v>
      </c>
      <c r="F6" s="11" t="s">
        <v>103</v>
      </c>
      <c r="G6" s="11"/>
    </row>
    <row r="7" spans="1:7" x14ac:dyDescent="0.25">
      <c r="A7" s="13">
        <v>45933</v>
      </c>
      <c r="B7" s="11" t="s">
        <v>56</v>
      </c>
      <c r="C7" s="11" t="s">
        <v>296</v>
      </c>
      <c r="D7" s="11" t="s">
        <v>172</v>
      </c>
      <c r="E7" s="11">
        <v>6</v>
      </c>
      <c r="F7" s="11" t="s">
        <v>103</v>
      </c>
      <c r="G7" s="11"/>
    </row>
    <row r="8" spans="1:7" x14ac:dyDescent="0.25">
      <c r="A8" s="13">
        <v>45934</v>
      </c>
      <c r="B8" s="11" t="s">
        <v>56</v>
      </c>
      <c r="C8" s="11" t="s">
        <v>105</v>
      </c>
      <c r="D8" s="11" t="s">
        <v>155</v>
      </c>
      <c r="E8" s="11">
        <v>4</v>
      </c>
      <c r="F8" s="11"/>
      <c r="G8" s="11"/>
    </row>
    <row r="9" spans="1:7" x14ac:dyDescent="0.25">
      <c r="A9" s="13">
        <v>45934</v>
      </c>
      <c r="B9" s="11" t="s">
        <v>56</v>
      </c>
      <c r="C9" s="11" t="s">
        <v>120</v>
      </c>
      <c r="D9" s="11" t="s">
        <v>100</v>
      </c>
      <c r="E9" s="11">
        <v>5.5</v>
      </c>
      <c r="F9" s="11" t="s">
        <v>103</v>
      </c>
      <c r="G9" s="11"/>
    </row>
    <row r="10" spans="1:7" x14ac:dyDescent="0.25">
      <c r="A10" s="13">
        <v>45935</v>
      </c>
      <c r="B10" s="11" t="s">
        <v>58</v>
      </c>
      <c r="C10" s="11" t="s">
        <v>142</v>
      </c>
      <c r="D10" s="11" t="s">
        <v>111</v>
      </c>
      <c r="E10" s="11">
        <v>4.5</v>
      </c>
      <c r="F10" s="11"/>
      <c r="G10" s="11"/>
    </row>
    <row r="11" spans="1:7" x14ac:dyDescent="0.25">
      <c r="A11" s="13">
        <v>45935</v>
      </c>
      <c r="B11" s="11" t="s">
        <v>53</v>
      </c>
      <c r="C11" s="11" t="s">
        <v>105</v>
      </c>
      <c r="D11" s="11" t="s">
        <v>269</v>
      </c>
      <c r="E11" s="11">
        <v>5.5</v>
      </c>
      <c r="F11" s="11" t="s">
        <v>103</v>
      </c>
      <c r="G11" s="11"/>
    </row>
    <row r="12" spans="1:7" x14ac:dyDescent="0.25">
      <c r="A12" s="13">
        <v>45935</v>
      </c>
      <c r="B12" s="11" t="s">
        <v>56</v>
      </c>
      <c r="C12" s="11" t="s">
        <v>120</v>
      </c>
      <c r="D12" s="11" t="s">
        <v>126</v>
      </c>
      <c r="E12" s="11">
        <v>5</v>
      </c>
      <c r="F12" s="11"/>
      <c r="G12" s="11"/>
    </row>
    <row r="13" spans="1:7" x14ac:dyDescent="0.25">
      <c r="A13" s="13">
        <v>45935</v>
      </c>
      <c r="B13" s="11" t="s">
        <v>58</v>
      </c>
      <c r="C13" s="11" t="s">
        <v>144</v>
      </c>
      <c r="D13" s="11" t="s">
        <v>118</v>
      </c>
      <c r="E13" s="11">
        <v>3.5</v>
      </c>
      <c r="F13" s="11"/>
      <c r="G13" s="11"/>
    </row>
    <row r="14" spans="1:7" x14ac:dyDescent="0.25">
      <c r="A14" s="13">
        <v>45935</v>
      </c>
      <c r="B14" s="11" t="s">
        <v>49</v>
      </c>
      <c r="C14" s="11" t="s">
        <v>99</v>
      </c>
      <c r="D14" s="19" t="s">
        <v>132</v>
      </c>
      <c r="E14" s="11">
        <v>3</v>
      </c>
      <c r="F14" s="11"/>
      <c r="G14" s="11"/>
    </row>
    <row r="15" spans="1:7" x14ac:dyDescent="0.25">
      <c r="A15" s="13">
        <v>45935</v>
      </c>
      <c r="B15" s="11" t="s">
        <v>48</v>
      </c>
      <c r="C15" s="11" t="s">
        <v>120</v>
      </c>
      <c r="D15" s="11" t="s">
        <v>157</v>
      </c>
      <c r="E15" s="11">
        <v>5</v>
      </c>
      <c r="F15" s="11" t="s">
        <v>103</v>
      </c>
      <c r="G15" s="11"/>
    </row>
    <row r="16" spans="1:7" x14ac:dyDescent="0.25">
      <c r="A16" s="13">
        <v>45935</v>
      </c>
      <c r="B16" s="11" t="s">
        <v>48</v>
      </c>
      <c r="C16" s="11" t="s">
        <v>157</v>
      </c>
      <c r="D16" s="19" t="s">
        <v>142</v>
      </c>
      <c r="E16" s="11">
        <v>4</v>
      </c>
      <c r="F16" s="11"/>
      <c r="G16" s="11"/>
    </row>
    <row r="17" spans="1:7" x14ac:dyDescent="0.25">
      <c r="A17" s="13">
        <v>45935</v>
      </c>
      <c r="B17" s="11" t="s">
        <v>58</v>
      </c>
      <c r="C17" s="11" t="s">
        <v>126</v>
      </c>
      <c r="D17" s="19" t="s">
        <v>142</v>
      </c>
      <c r="E17" s="11">
        <v>4.5</v>
      </c>
      <c r="F17" s="11"/>
      <c r="G17" s="11"/>
    </row>
    <row r="18" spans="1:7" x14ac:dyDescent="0.25">
      <c r="A18" s="13">
        <v>45936</v>
      </c>
      <c r="B18" s="11" t="s">
        <v>58</v>
      </c>
      <c r="C18" s="11" t="s">
        <v>104</v>
      </c>
      <c r="D18" s="19" t="s">
        <v>219</v>
      </c>
      <c r="E18" s="11">
        <v>6.5</v>
      </c>
      <c r="F18" s="11" t="s">
        <v>103</v>
      </c>
      <c r="G18" s="11"/>
    </row>
    <row r="19" spans="1:7" x14ac:dyDescent="0.25">
      <c r="A19" s="13">
        <v>45936</v>
      </c>
      <c r="B19" s="11" t="s">
        <v>58</v>
      </c>
      <c r="C19" s="11" t="s">
        <v>219</v>
      </c>
      <c r="D19" s="11" t="s">
        <v>226</v>
      </c>
      <c r="E19" s="11">
        <v>6.5</v>
      </c>
      <c r="F19" s="11" t="s">
        <v>103</v>
      </c>
      <c r="G19" s="11"/>
    </row>
    <row r="20" spans="1:7" x14ac:dyDescent="0.25">
      <c r="A20" s="13">
        <v>45936</v>
      </c>
      <c r="B20" s="11" t="s">
        <v>49</v>
      </c>
      <c r="C20" s="11" t="s">
        <v>132</v>
      </c>
      <c r="D20" s="11" t="s">
        <v>166</v>
      </c>
      <c r="E20" s="11">
        <v>7.5</v>
      </c>
      <c r="F20" s="11" t="s">
        <v>103</v>
      </c>
      <c r="G20" s="11"/>
    </row>
    <row r="21" spans="1:7" x14ac:dyDescent="0.25">
      <c r="A21" s="13">
        <v>45937</v>
      </c>
      <c r="B21" s="11" t="s">
        <v>56</v>
      </c>
      <c r="C21" s="11" t="s">
        <v>120</v>
      </c>
      <c r="D21" s="11" t="s">
        <v>100</v>
      </c>
      <c r="E21" s="11">
        <v>5.5</v>
      </c>
      <c r="F21" s="11" t="s">
        <v>103</v>
      </c>
      <c r="G21" s="11"/>
    </row>
    <row r="22" spans="1:7" x14ac:dyDescent="0.25">
      <c r="A22" s="13">
        <v>45937</v>
      </c>
      <c r="B22" s="11" t="s">
        <v>49</v>
      </c>
      <c r="C22" s="11" t="s">
        <v>121</v>
      </c>
      <c r="D22" s="11" t="s">
        <v>111</v>
      </c>
      <c r="E22" s="11">
        <v>5</v>
      </c>
      <c r="F22" s="11"/>
      <c r="G22" s="11"/>
    </row>
    <row r="23" spans="1:7" x14ac:dyDescent="0.25">
      <c r="A23" s="13">
        <v>45938</v>
      </c>
      <c r="B23" s="11" t="s">
        <v>56</v>
      </c>
      <c r="C23" s="11" t="s">
        <v>120</v>
      </c>
      <c r="D23" s="11" t="s">
        <v>100</v>
      </c>
      <c r="E23" s="11">
        <v>5.5</v>
      </c>
      <c r="F23" s="11" t="s">
        <v>103</v>
      </c>
      <c r="G23" s="11"/>
    </row>
    <row r="24" spans="1:7" x14ac:dyDescent="0.25">
      <c r="A24" s="13">
        <v>45938</v>
      </c>
      <c r="B24" s="11" t="s">
        <v>56</v>
      </c>
      <c r="C24" s="11" t="s">
        <v>105</v>
      </c>
      <c r="D24" s="11" t="s">
        <v>219</v>
      </c>
      <c r="E24" s="11">
        <v>3</v>
      </c>
      <c r="F24" s="11"/>
      <c r="G24" s="11"/>
    </row>
    <row r="25" spans="1:7" x14ac:dyDescent="0.25">
      <c r="A25" s="13">
        <v>45939</v>
      </c>
      <c r="B25" s="11" t="s">
        <v>56</v>
      </c>
      <c r="C25" s="11" t="s">
        <v>120</v>
      </c>
      <c r="D25" s="11" t="s">
        <v>100</v>
      </c>
      <c r="E25" s="11">
        <v>5.5</v>
      </c>
      <c r="F25" s="11" t="s">
        <v>103</v>
      </c>
      <c r="G25" s="11"/>
    </row>
    <row r="26" spans="1:7" x14ac:dyDescent="0.25">
      <c r="A26" s="13">
        <v>45939</v>
      </c>
      <c r="B26" s="11" t="s">
        <v>49</v>
      </c>
      <c r="C26" s="19" t="s">
        <v>142</v>
      </c>
      <c r="D26" s="11" t="s">
        <v>107</v>
      </c>
      <c r="E26" s="11">
        <v>4</v>
      </c>
      <c r="F26" s="11"/>
      <c r="G26" s="11"/>
    </row>
    <row r="27" spans="1:7" x14ac:dyDescent="0.25">
      <c r="A27" s="13">
        <v>45940</v>
      </c>
      <c r="B27" s="11" t="s">
        <v>56</v>
      </c>
      <c r="C27" s="11" t="s">
        <v>121</v>
      </c>
      <c r="D27" s="11" t="s">
        <v>172</v>
      </c>
      <c r="E27" s="11">
        <v>5.5</v>
      </c>
      <c r="F27" s="11" t="s">
        <v>103</v>
      </c>
      <c r="G27" s="11"/>
    </row>
    <row r="28" spans="1:7" x14ac:dyDescent="0.25">
      <c r="A28" s="13">
        <v>45940</v>
      </c>
      <c r="B28" s="11" t="s">
        <v>49</v>
      </c>
      <c r="C28" s="11" t="s">
        <v>121</v>
      </c>
      <c r="D28" s="11" t="s">
        <v>185</v>
      </c>
      <c r="E28" s="11">
        <v>3.5</v>
      </c>
      <c r="F28" s="11"/>
      <c r="G28" s="11"/>
    </row>
    <row r="29" spans="1:7" x14ac:dyDescent="0.25">
      <c r="A29" s="13">
        <v>45940</v>
      </c>
      <c r="B29" s="11" t="s">
        <v>56</v>
      </c>
      <c r="C29" s="11" t="s">
        <v>120</v>
      </c>
      <c r="D29" s="11" t="s">
        <v>100</v>
      </c>
      <c r="E29" s="11">
        <v>5.5</v>
      </c>
      <c r="F29" s="11" t="s">
        <v>103</v>
      </c>
      <c r="G29" s="11"/>
    </row>
    <row r="30" spans="1:7" x14ac:dyDescent="0.25">
      <c r="A30" s="13">
        <v>45941</v>
      </c>
      <c r="B30" s="11" t="s">
        <v>56</v>
      </c>
      <c r="C30" s="11" t="s">
        <v>120</v>
      </c>
      <c r="D30" s="11" t="s">
        <v>100</v>
      </c>
      <c r="E30" s="11">
        <v>5.5</v>
      </c>
      <c r="F30" s="11" t="s">
        <v>103</v>
      </c>
      <c r="G30" s="11"/>
    </row>
    <row r="31" spans="1:7" x14ac:dyDescent="0.25">
      <c r="A31" s="13">
        <v>45941</v>
      </c>
      <c r="B31" s="11" t="s">
        <v>46</v>
      </c>
      <c r="C31" s="11" t="s">
        <v>104</v>
      </c>
      <c r="D31" s="11" t="s">
        <v>155</v>
      </c>
      <c r="E31" s="11">
        <v>7.5</v>
      </c>
      <c r="F31" s="11" t="s">
        <v>103</v>
      </c>
      <c r="G31" s="11"/>
    </row>
    <row r="32" spans="1:7" x14ac:dyDescent="0.25">
      <c r="A32" s="13">
        <v>45942</v>
      </c>
      <c r="B32" s="11" t="s">
        <v>53</v>
      </c>
      <c r="C32" s="11" t="s">
        <v>105</v>
      </c>
      <c r="D32" s="11" t="s">
        <v>126</v>
      </c>
      <c r="E32" s="11">
        <v>9</v>
      </c>
      <c r="F32" s="11" t="s">
        <v>122</v>
      </c>
      <c r="G32" s="11"/>
    </row>
    <row r="33" spans="1:7" x14ac:dyDescent="0.25">
      <c r="A33" s="13">
        <v>45942</v>
      </c>
      <c r="B33" s="11" t="s">
        <v>49</v>
      </c>
      <c r="C33" s="11" t="s">
        <v>99</v>
      </c>
      <c r="D33" s="11" t="s">
        <v>132</v>
      </c>
      <c r="E33" s="11">
        <v>3</v>
      </c>
      <c r="F33" s="11"/>
      <c r="G33" s="11"/>
    </row>
    <row r="34" spans="1:7" x14ac:dyDescent="0.25">
      <c r="A34" s="13">
        <v>45942</v>
      </c>
      <c r="B34" s="11" t="s">
        <v>56</v>
      </c>
      <c r="C34" s="11" t="s">
        <v>144</v>
      </c>
      <c r="D34" s="11" t="s">
        <v>126</v>
      </c>
      <c r="E34" s="11">
        <v>6</v>
      </c>
      <c r="F34" s="11" t="s">
        <v>103</v>
      </c>
      <c r="G34" s="11"/>
    </row>
    <row r="35" spans="1:7" x14ac:dyDescent="0.25">
      <c r="A35" s="13">
        <v>45943</v>
      </c>
      <c r="B35" s="11" t="s">
        <v>49</v>
      </c>
      <c r="C35" s="11" t="s">
        <v>223</v>
      </c>
      <c r="D35" s="11" t="s">
        <v>142</v>
      </c>
      <c r="E35" s="11">
        <v>3</v>
      </c>
      <c r="F35" s="11"/>
      <c r="G35" s="11"/>
    </row>
    <row r="36" spans="1:7" x14ac:dyDescent="0.25">
      <c r="A36" s="13">
        <v>45944</v>
      </c>
      <c r="B36" s="11" t="s">
        <v>56</v>
      </c>
      <c r="C36" s="11" t="s">
        <v>120</v>
      </c>
      <c r="D36" s="11" t="s">
        <v>100</v>
      </c>
      <c r="E36" s="11">
        <v>5.5</v>
      </c>
      <c r="F36" s="11" t="s">
        <v>103</v>
      </c>
      <c r="G36" s="11"/>
    </row>
    <row r="37" spans="1:7" x14ac:dyDescent="0.25">
      <c r="A37" s="13">
        <v>45945</v>
      </c>
      <c r="B37" s="11" t="s">
        <v>56</v>
      </c>
      <c r="C37" s="11" t="s">
        <v>120</v>
      </c>
      <c r="D37" s="11" t="s">
        <v>100</v>
      </c>
      <c r="E37" s="11">
        <v>5.5</v>
      </c>
      <c r="F37" s="11" t="s">
        <v>103</v>
      </c>
      <c r="G37" s="11"/>
    </row>
    <row r="38" spans="1:7" x14ac:dyDescent="0.25">
      <c r="A38" s="13">
        <v>45946</v>
      </c>
      <c r="B38" s="11" t="s">
        <v>56</v>
      </c>
      <c r="C38" s="11" t="s">
        <v>120</v>
      </c>
      <c r="D38" s="11" t="s">
        <v>104</v>
      </c>
      <c r="E38" s="11">
        <v>3</v>
      </c>
      <c r="F38" s="11"/>
      <c r="G38" s="11"/>
    </row>
    <row r="39" spans="1:7" x14ac:dyDescent="0.25">
      <c r="A39" s="13">
        <v>45946</v>
      </c>
      <c r="B39" s="11" t="s">
        <v>56</v>
      </c>
      <c r="C39" s="11" t="s">
        <v>104</v>
      </c>
      <c r="D39" s="11" t="s">
        <v>100</v>
      </c>
      <c r="E39" s="11">
        <v>3</v>
      </c>
      <c r="F39" s="11"/>
      <c r="G39" s="11"/>
    </row>
    <row r="40" spans="1:7" x14ac:dyDescent="0.25">
      <c r="A40" s="13">
        <v>45946</v>
      </c>
      <c r="B40" s="11" t="s">
        <v>56</v>
      </c>
      <c r="C40" s="11" t="s">
        <v>296</v>
      </c>
      <c r="D40" s="11" t="s">
        <v>107</v>
      </c>
      <c r="E40" s="11">
        <v>5</v>
      </c>
      <c r="F40" s="11"/>
      <c r="G40" s="11"/>
    </row>
    <row r="41" spans="1:7" x14ac:dyDescent="0.25">
      <c r="A41" s="13">
        <v>45947</v>
      </c>
      <c r="B41" s="11" t="s">
        <v>56</v>
      </c>
      <c r="C41" s="11" t="s">
        <v>120</v>
      </c>
      <c r="D41" s="11" t="s">
        <v>100</v>
      </c>
      <c r="E41" s="11">
        <v>5.5</v>
      </c>
      <c r="F41" s="11" t="s">
        <v>103</v>
      </c>
      <c r="G41" s="11"/>
    </row>
    <row r="42" spans="1:7" x14ac:dyDescent="0.25">
      <c r="A42" s="13">
        <v>45947</v>
      </c>
      <c r="B42" s="11" t="s">
        <v>56</v>
      </c>
      <c r="C42" s="11" t="s">
        <v>121</v>
      </c>
      <c r="D42" s="11" t="s">
        <v>172</v>
      </c>
      <c r="E42" s="11">
        <v>5.5</v>
      </c>
      <c r="F42" s="11" t="s">
        <v>103</v>
      </c>
      <c r="G42" s="11"/>
    </row>
    <row r="43" spans="1:7" x14ac:dyDescent="0.25">
      <c r="A43" s="13">
        <v>45948</v>
      </c>
      <c r="B43" s="11" t="s">
        <v>56</v>
      </c>
      <c r="C43" s="11" t="s">
        <v>120</v>
      </c>
      <c r="D43" s="11" t="s">
        <v>100</v>
      </c>
      <c r="E43" s="11">
        <v>5.5</v>
      </c>
      <c r="F43" s="11" t="s">
        <v>103</v>
      </c>
      <c r="G43" s="11"/>
    </row>
    <row r="44" spans="1:7" x14ac:dyDescent="0.25">
      <c r="A44" s="13">
        <v>45948</v>
      </c>
      <c r="B44" s="11" t="s">
        <v>56</v>
      </c>
      <c r="C44" s="11" t="s">
        <v>105</v>
      </c>
      <c r="D44" s="11" t="s">
        <v>166</v>
      </c>
      <c r="E44" s="11">
        <v>5</v>
      </c>
      <c r="F44" s="11"/>
      <c r="G44" s="11"/>
    </row>
    <row r="45" spans="1:7" x14ac:dyDescent="0.25">
      <c r="A45" s="13">
        <v>45949</v>
      </c>
      <c r="B45" s="11" t="s">
        <v>48</v>
      </c>
      <c r="C45" s="11" t="s">
        <v>132</v>
      </c>
      <c r="D45" s="11" t="s">
        <v>219</v>
      </c>
      <c r="E45" s="11">
        <v>5.5</v>
      </c>
      <c r="F45" s="11" t="s">
        <v>103</v>
      </c>
      <c r="G45" s="11"/>
    </row>
    <row r="46" spans="1:7" x14ac:dyDescent="0.25">
      <c r="A46" s="13">
        <v>45949</v>
      </c>
      <c r="B46" s="11" t="s">
        <v>49</v>
      </c>
      <c r="C46" s="11" t="s">
        <v>99</v>
      </c>
      <c r="D46" s="11" t="s">
        <v>132</v>
      </c>
      <c r="E46" s="11">
        <v>3</v>
      </c>
      <c r="F46" s="11"/>
      <c r="G46" s="11"/>
    </row>
    <row r="47" spans="1:7" x14ac:dyDescent="0.25">
      <c r="A47" s="13">
        <v>45949</v>
      </c>
      <c r="B47" s="11" t="s">
        <v>58</v>
      </c>
      <c r="C47" s="11" t="s">
        <v>126</v>
      </c>
      <c r="D47" s="11" t="s">
        <v>188</v>
      </c>
      <c r="E47" s="11">
        <v>5</v>
      </c>
      <c r="F47" s="11" t="s">
        <v>103</v>
      </c>
      <c r="G47" s="11"/>
    </row>
    <row r="48" spans="1:7" x14ac:dyDescent="0.25">
      <c r="A48" s="13">
        <v>45949</v>
      </c>
      <c r="B48" s="11" t="s">
        <v>58</v>
      </c>
      <c r="C48" s="11" t="s">
        <v>310</v>
      </c>
      <c r="D48" s="11" t="s">
        <v>189</v>
      </c>
      <c r="E48" s="11">
        <v>5</v>
      </c>
      <c r="F48" s="11" t="s">
        <v>103</v>
      </c>
      <c r="G48" s="11"/>
    </row>
    <row r="49" spans="1:7" x14ac:dyDescent="0.25">
      <c r="A49" s="13">
        <v>45949</v>
      </c>
      <c r="B49" s="11" t="s">
        <v>56</v>
      </c>
      <c r="C49" s="11" t="s">
        <v>144</v>
      </c>
      <c r="D49" s="11" t="s">
        <v>118</v>
      </c>
      <c r="E49" s="11">
        <v>3.5</v>
      </c>
      <c r="F49" s="11"/>
      <c r="G49" s="11"/>
    </row>
    <row r="50" spans="1:7" x14ac:dyDescent="0.25">
      <c r="A50" s="13">
        <v>45949</v>
      </c>
      <c r="B50" s="11" t="s">
        <v>56</v>
      </c>
      <c r="C50" s="11" t="s">
        <v>120</v>
      </c>
      <c r="D50" s="11" t="s">
        <v>126</v>
      </c>
      <c r="E50" s="11">
        <v>5</v>
      </c>
      <c r="F50" s="11"/>
      <c r="G50" s="11"/>
    </row>
    <row r="51" spans="1:7" x14ac:dyDescent="0.25">
      <c r="A51" s="13">
        <v>45950</v>
      </c>
      <c r="B51" s="11" t="s">
        <v>58</v>
      </c>
      <c r="C51" s="11" t="s">
        <v>118</v>
      </c>
      <c r="D51" s="11" t="s">
        <v>155</v>
      </c>
      <c r="E51" s="11">
        <v>8</v>
      </c>
      <c r="F51" s="11" t="s">
        <v>122</v>
      </c>
      <c r="G51" s="11"/>
    </row>
    <row r="52" spans="1:7" x14ac:dyDescent="0.25">
      <c r="A52" s="13">
        <v>45950</v>
      </c>
      <c r="B52" s="11" t="s">
        <v>49</v>
      </c>
      <c r="C52" s="11" t="s">
        <v>223</v>
      </c>
      <c r="D52" s="19" t="s">
        <v>142</v>
      </c>
      <c r="E52" s="11">
        <v>3</v>
      </c>
      <c r="F52" s="11"/>
      <c r="G52" s="11"/>
    </row>
    <row r="53" spans="1:7" x14ac:dyDescent="0.25">
      <c r="A53" s="13">
        <v>45951</v>
      </c>
      <c r="B53" s="11" t="s">
        <v>56</v>
      </c>
      <c r="C53" s="11" t="s">
        <v>120</v>
      </c>
      <c r="D53" s="11" t="s">
        <v>100</v>
      </c>
      <c r="E53" s="11">
        <v>5.5</v>
      </c>
      <c r="F53" s="11" t="s">
        <v>103</v>
      </c>
      <c r="G53" s="11"/>
    </row>
    <row r="54" spans="1:7" x14ac:dyDescent="0.25">
      <c r="A54" s="13">
        <v>45952</v>
      </c>
      <c r="B54" s="11" t="s">
        <v>56</v>
      </c>
      <c r="C54" s="11" t="s">
        <v>120</v>
      </c>
      <c r="D54" s="11" t="s">
        <v>100</v>
      </c>
      <c r="E54" s="11">
        <v>5.5</v>
      </c>
      <c r="F54" s="11" t="s">
        <v>103</v>
      </c>
      <c r="G54" s="11"/>
    </row>
    <row r="55" spans="1:7" x14ac:dyDescent="0.25">
      <c r="A55" s="13">
        <v>45953</v>
      </c>
      <c r="B55" s="11" t="s">
        <v>49</v>
      </c>
      <c r="C55" s="11" t="s">
        <v>121</v>
      </c>
      <c r="D55" s="11" t="s">
        <v>107</v>
      </c>
      <c r="E55" s="11">
        <v>4.5</v>
      </c>
      <c r="F55" s="11"/>
      <c r="G55" s="11"/>
    </row>
    <row r="56" spans="1:7" x14ac:dyDescent="0.25">
      <c r="A56" s="13">
        <v>45953</v>
      </c>
      <c r="B56" s="11" t="s">
        <v>56</v>
      </c>
      <c r="C56" s="11" t="s">
        <v>120</v>
      </c>
      <c r="D56" s="11" t="s">
        <v>100</v>
      </c>
      <c r="E56" s="11">
        <v>5.5</v>
      </c>
      <c r="F56" s="11" t="s">
        <v>103</v>
      </c>
      <c r="G56" s="11"/>
    </row>
    <row r="57" spans="1:7" x14ac:dyDescent="0.25">
      <c r="A57" s="13">
        <v>45954</v>
      </c>
      <c r="B57" s="11" t="s">
        <v>49</v>
      </c>
      <c r="C57" s="11" t="s">
        <v>219</v>
      </c>
      <c r="D57" s="11" t="s">
        <v>183</v>
      </c>
      <c r="E57" s="11">
        <v>5</v>
      </c>
      <c r="F57" s="11" t="s">
        <v>103</v>
      </c>
      <c r="G57" s="11"/>
    </row>
    <row r="58" spans="1:7" x14ac:dyDescent="0.25">
      <c r="A58" s="13">
        <v>45954</v>
      </c>
      <c r="B58" s="11" t="s">
        <v>56</v>
      </c>
      <c r="C58" s="11" t="s">
        <v>120</v>
      </c>
      <c r="D58" s="11" t="s">
        <v>100</v>
      </c>
      <c r="E58" s="11">
        <v>5.5</v>
      </c>
      <c r="F58" s="11" t="s">
        <v>103</v>
      </c>
      <c r="G58" s="11"/>
    </row>
    <row r="59" spans="1:7" x14ac:dyDescent="0.25">
      <c r="A59" s="13">
        <v>45954</v>
      </c>
      <c r="B59" s="11" t="s">
        <v>56</v>
      </c>
      <c r="C59" s="11" t="s">
        <v>121</v>
      </c>
      <c r="D59" s="11" t="s">
        <v>172</v>
      </c>
      <c r="E59" s="11">
        <v>5.5</v>
      </c>
      <c r="F59" s="11" t="s">
        <v>103</v>
      </c>
      <c r="G59" s="11"/>
    </row>
    <row r="60" spans="1:7" x14ac:dyDescent="0.25">
      <c r="A60" s="13">
        <v>45954</v>
      </c>
      <c r="B60" s="11" t="s">
        <v>53</v>
      </c>
      <c r="C60" s="11" t="s">
        <v>180</v>
      </c>
      <c r="D60" s="11" t="s">
        <v>142</v>
      </c>
      <c r="E60" s="11">
        <v>5.5</v>
      </c>
      <c r="F60" s="11" t="s">
        <v>103</v>
      </c>
      <c r="G60" s="11"/>
    </row>
    <row r="61" spans="1:7" x14ac:dyDescent="0.25">
      <c r="A61" s="13">
        <v>45955</v>
      </c>
      <c r="B61" s="11" t="s">
        <v>49</v>
      </c>
      <c r="C61" s="19" t="s">
        <v>180</v>
      </c>
      <c r="D61" s="11" t="s">
        <v>142</v>
      </c>
      <c r="E61" s="11">
        <v>5.5</v>
      </c>
      <c r="F61" s="11" t="s">
        <v>103</v>
      </c>
      <c r="G61" s="11"/>
    </row>
    <row r="62" spans="1:7" x14ac:dyDescent="0.25">
      <c r="A62" s="13">
        <v>45955</v>
      </c>
      <c r="B62" s="11" t="s">
        <v>56</v>
      </c>
      <c r="C62" s="11" t="s">
        <v>120</v>
      </c>
      <c r="D62" s="11" t="s">
        <v>100</v>
      </c>
      <c r="E62" s="11">
        <v>5.5</v>
      </c>
      <c r="F62" s="11" t="s">
        <v>103</v>
      </c>
      <c r="G62" s="11"/>
    </row>
    <row r="63" spans="1:7" x14ac:dyDescent="0.25">
      <c r="A63" s="13">
        <v>45956</v>
      </c>
      <c r="B63" s="11" t="s">
        <v>58</v>
      </c>
      <c r="C63" s="11" t="s">
        <v>144</v>
      </c>
      <c r="D63" s="11" t="s">
        <v>223</v>
      </c>
      <c r="E63" s="11">
        <v>7.5</v>
      </c>
      <c r="F63" s="11" t="s">
        <v>103</v>
      </c>
      <c r="G63" s="11"/>
    </row>
    <row r="64" spans="1:7" x14ac:dyDescent="0.25">
      <c r="A64" s="13">
        <v>45956</v>
      </c>
      <c r="B64" s="11" t="s">
        <v>53</v>
      </c>
      <c r="C64" s="11" t="s">
        <v>120</v>
      </c>
      <c r="D64" s="11" t="s">
        <v>100</v>
      </c>
      <c r="E64" s="11">
        <v>5.5</v>
      </c>
      <c r="F64" s="11" t="s">
        <v>103</v>
      </c>
      <c r="G64" s="11"/>
    </row>
    <row r="65" spans="1:7" x14ac:dyDescent="0.25">
      <c r="A65" s="13">
        <v>45956</v>
      </c>
      <c r="B65" s="11" t="s">
        <v>53</v>
      </c>
      <c r="C65" s="11" t="s">
        <v>100</v>
      </c>
      <c r="D65" s="11" t="s">
        <v>188</v>
      </c>
      <c r="E65" s="11">
        <v>4.5</v>
      </c>
      <c r="F65" s="11"/>
      <c r="G65" s="11"/>
    </row>
    <row r="66" spans="1:7" x14ac:dyDescent="0.25">
      <c r="A66" s="13">
        <v>45956</v>
      </c>
      <c r="B66" s="11" t="s">
        <v>58</v>
      </c>
      <c r="C66" s="11" t="s">
        <v>100</v>
      </c>
      <c r="D66" s="11" t="s">
        <v>226</v>
      </c>
      <c r="E66" s="11">
        <v>10</v>
      </c>
      <c r="F66" s="11" t="s">
        <v>122</v>
      </c>
      <c r="G66" s="11"/>
    </row>
    <row r="67" spans="1:7" x14ac:dyDescent="0.25">
      <c r="A67" s="13">
        <v>45956</v>
      </c>
      <c r="B67" s="11" t="s">
        <v>46</v>
      </c>
      <c r="C67" s="11" t="s">
        <v>223</v>
      </c>
      <c r="D67" s="11" t="s">
        <v>185</v>
      </c>
      <c r="E67" s="11">
        <v>5.5</v>
      </c>
      <c r="F67" s="11" t="s">
        <v>103</v>
      </c>
      <c r="G67" s="11"/>
    </row>
    <row r="68" spans="1:7" x14ac:dyDescent="0.25">
      <c r="A68" s="13">
        <v>45956</v>
      </c>
      <c r="B68" s="11" t="s">
        <v>55</v>
      </c>
      <c r="C68" s="11" t="s">
        <v>142</v>
      </c>
      <c r="D68" s="11" t="s">
        <v>107</v>
      </c>
      <c r="E68" s="11">
        <v>4</v>
      </c>
      <c r="F68" s="11"/>
      <c r="G68" s="11"/>
    </row>
    <row r="69" spans="1:7" x14ac:dyDescent="0.25">
      <c r="A69" s="13">
        <v>45957</v>
      </c>
      <c r="B69" s="11" t="s">
        <v>53</v>
      </c>
      <c r="C69" s="11" t="s">
        <v>132</v>
      </c>
      <c r="D69" s="11" t="s">
        <v>219</v>
      </c>
      <c r="E69" s="11">
        <v>5.5</v>
      </c>
      <c r="F69" s="11" t="s">
        <v>103</v>
      </c>
      <c r="G69" s="11"/>
    </row>
    <row r="70" spans="1:7" x14ac:dyDescent="0.25">
      <c r="A70" s="13">
        <v>45957</v>
      </c>
      <c r="B70" s="11" t="s">
        <v>58</v>
      </c>
      <c r="C70" s="11" t="s">
        <v>157</v>
      </c>
      <c r="D70" s="11" t="s">
        <v>188</v>
      </c>
      <c r="E70" s="11">
        <v>5</v>
      </c>
      <c r="F70" s="11"/>
      <c r="G70" s="11"/>
    </row>
    <row r="71" spans="1:7" x14ac:dyDescent="0.25">
      <c r="A71" s="13">
        <v>45958</v>
      </c>
      <c r="B71" s="11" t="s">
        <v>56</v>
      </c>
      <c r="C71" s="11" t="s">
        <v>120</v>
      </c>
      <c r="D71" s="11" t="s">
        <v>100</v>
      </c>
      <c r="E71" s="11">
        <v>5.5</v>
      </c>
      <c r="F71" s="11" t="s">
        <v>103</v>
      </c>
      <c r="G71" s="11"/>
    </row>
    <row r="72" spans="1:7" x14ac:dyDescent="0.25">
      <c r="A72" s="13">
        <v>45959</v>
      </c>
      <c r="B72" s="11" t="s">
        <v>56</v>
      </c>
      <c r="C72" s="11" t="s">
        <v>120</v>
      </c>
      <c r="D72" s="11" t="s">
        <v>100</v>
      </c>
      <c r="E72" s="11">
        <v>5.5</v>
      </c>
      <c r="F72" s="11" t="s">
        <v>103</v>
      </c>
      <c r="G72" s="11"/>
    </row>
    <row r="73" spans="1:7" x14ac:dyDescent="0.25">
      <c r="A73" s="13">
        <v>45960</v>
      </c>
      <c r="B73" s="11" t="s">
        <v>49</v>
      </c>
      <c r="C73" s="11" t="s">
        <v>121</v>
      </c>
      <c r="D73" s="11" t="s">
        <v>107</v>
      </c>
      <c r="E73" s="11">
        <v>4.5</v>
      </c>
      <c r="F73" s="11"/>
      <c r="G73" s="11"/>
    </row>
    <row r="74" spans="1:7" x14ac:dyDescent="0.25">
      <c r="A74" s="13">
        <v>45960</v>
      </c>
      <c r="B74" s="11" t="s">
        <v>56</v>
      </c>
      <c r="C74" s="11" t="s">
        <v>120</v>
      </c>
      <c r="D74" s="11" t="s">
        <v>100</v>
      </c>
      <c r="E74" s="11">
        <v>5.5</v>
      </c>
      <c r="F74" s="11" t="s">
        <v>103</v>
      </c>
      <c r="G74" s="11"/>
    </row>
    <row r="75" spans="1:7" x14ac:dyDescent="0.25">
      <c r="A75" s="13">
        <v>45961</v>
      </c>
      <c r="B75" s="11" t="s">
        <v>56</v>
      </c>
      <c r="C75" s="11" t="s">
        <v>310</v>
      </c>
      <c r="D75" s="11" t="s">
        <v>111</v>
      </c>
      <c r="E75" s="11">
        <v>3.5</v>
      </c>
      <c r="F75" s="11"/>
      <c r="G75" s="11"/>
    </row>
    <row r="76" spans="1:7" x14ac:dyDescent="0.25">
      <c r="A76" s="18">
        <v>45961</v>
      </c>
      <c r="B76" s="16" t="s">
        <v>56</v>
      </c>
      <c r="C76" s="16" t="s">
        <v>120</v>
      </c>
      <c r="D76" s="16" t="s">
        <v>100</v>
      </c>
      <c r="E76" s="16">
        <v>5.5</v>
      </c>
      <c r="F76" s="16" t="s">
        <v>103</v>
      </c>
      <c r="G76" s="16"/>
    </row>
    <row r="77" spans="1:7" x14ac:dyDescent="0.25">
      <c r="A77" s="13">
        <v>45939</v>
      </c>
      <c r="B77" s="11" t="s">
        <v>242</v>
      </c>
      <c r="C77" s="11" t="s">
        <v>233</v>
      </c>
      <c r="D77" s="11" t="s">
        <v>100</v>
      </c>
      <c r="E77" s="11">
        <v>4</v>
      </c>
      <c r="F77" s="11"/>
      <c r="G77" s="11"/>
    </row>
    <row r="78" spans="1:7" x14ac:dyDescent="0.25">
      <c r="A78" s="13">
        <v>45942</v>
      </c>
      <c r="B78" s="11" t="s">
        <v>243</v>
      </c>
      <c r="C78" s="11" t="s">
        <v>233</v>
      </c>
      <c r="D78" s="11" t="s">
        <v>132</v>
      </c>
      <c r="E78" s="11">
        <v>3</v>
      </c>
      <c r="F78" s="11"/>
      <c r="G78" s="11"/>
    </row>
    <row r="79" spans="1:7" x14ac:dyDescent="0.25">
      <c r="A79" s="13">
        <v>45942</v>
      </c>
      <c r="B79" s="11" t="s">
        <v>244</v>
      </c>
      <c r="C79" s="11" t="s">
        <v>99</v>
      </c>
      <c r="D79" s="11" t="s">
        <v>102</v>
      </c>
      <c r="E79" s="11">
        <v>6.5</v>
      </c>
      <c r="F79" s="11" t="s">
        <v>103</v>
      </c>
      <c r="G79" s="11"/>
    </row>
    <row r="80" spans="1:7" x14ac:dyDescent="0.25">
      <c r="A80" s="13">
        <v>45942</v>
      </c>
      <c r="B80" s="11" t="s">
        <v>245</v>
      </c>
      <c r="C80" s="11" t="s">
        <v>99</v>
      </c>
      <c r="D80" s="11" t="s">
        <v>102</v>
      </c>
      <c r="E80" s="11">
        <v>6.5</v>
      </c>
      <c r="F80" s="11" t="s">
        <v>103</v>
      </c>
      <c r="G80" s="11"/>
    </row>
    <row r="81" spans="1:7" x14ac:dyDescent="0.25">
      <c r="A81" s="13">
        <v>45943</v>
      </c>
      <c r="B81" s="11" t="s">
        <v>246</v>
      </c>
      <c r="C81" s="11" t="s">
        <v>233</v>
      </c>
      <c r="D81" s="11" t="s">
        <v>102</v>
      </c>
      <c r="E81" s="11">
        <v>5.5</v>
      </c>
      <c r="F81" s="11" t="s">
        <v>103</v>
      </c>
      <c r="G81" s="11"/>
    </row>
    <row r="82" spans="1:7" x14ac:dyDescent="0.25">
      <c r="A82" s="13">
        <v>45943</v>
      </c>
      <c r="B82" s="11" t="s">
        <v>247</v>
      </c>
      <c r="C82" s="11" t="s">
        <v>233</v>
      </c>
      <c r="D82" s="11" t="s">
        <v>102</v>
      </c>
      <c r="E82" s="11">
        <v>5.5</v>
      </c>
      <c r="F82" s="11" t="s">
        <v>103</v>
      </c>
      <c r="G82" s="11"/>
    </row>
    <row r="83" spans="1:7" x14ac:dyDescent="0.25">
      <c r="A83" s="13">
        <v>45943</v>
      </c>
      <c r="B83" s="11" t="s">
        <v>248</v>
      </c>
      <c r="C83" s="11" t="s">
        <v>233</v>
      </c>
      <c r="D83" s="11" t="s">
        <v>102</v>
      </c>
      <c r="E83" s="11">
        <v>5.5</v>
      </c>
      <c r="F83" s="11" t="s">
        <v>103</v>
      </c>
      <c r="G83" s="11"/>
    </row>
    <row r="84" spans="1:7" x14ac:dyDescent="0.25">
      <c r="A84" s="13">
        <v>45944</v>
      </c>
      <c r="B84" s="11" t="s">
        <v>249</v>
      </c>
      <c r="C84" s="11" t="s">
        <v>99</v>
      </c>
      <c r="D84" s="11" t="s">
        <v>105</v>
      </c>
      <c r="E84" s="11">
        <v>5.5</v>
      </c>
      <c r="F84" s="11" t="s">
        <v>103</v>
      </c>
      <c r="G84" s="11"/>
    </row>
    <row r="85" spans="1:7" x14ac:dyDescent="0.25">
      <c r="A85" s="13">
        <v>45944</v>
      </c>
      <c r="B85" s="11" t="s">
        <v>250</v>
      </c>
      <c r="C85" s="11" t="s">
        <v>99</v>
      </c>
      <c r="D85" s="11" t="s">
        <v>105</v>
      </c>
      <c r="E85" s="11">
        <v>5.5</v>
      </c>
      <c r="F85" s="11" t="s">
        <v>103</v>
      </c>
      <c r="G85" s="11"/>
    </row>
    <row r="86" spans="1:7" x14ac:dyDescent="0.25">
      <c r="A86" s="13">
        <v>45944</v>
      </c>
      <c r="B86" s="11" t="s">
        <v>251</v>
      </c>
      <c r="C86" s="11" t="s">
        <v>99</v>
      </c>
      <c r="D86" s="11" t="s">
        <v>105</v>
      </c>
      <c r="E86" s="11">
        <v>5.5</v>
      </c>
      <c r="F86" s="11" t="s">
        <v>103</v>
      </c>
      <c r="G86" s="11"/>
    </row>
    <row r="87" spans="1:7" x14ac:dyDescent="0.25">
      <c r="A87" s="13">
        <v>45944</v>
      </c>
      <c r="B87" s="11" t="s">
        <v>252</v>
      </c>
      <c r="C87" s="11" t="s">
        <v>99</v>
      </c>
      <c r="D87" s="11" t="s">
        <v>105</v>
      </c>
      <c r="E87" s="11">
        <v>5.5</v>
      </c>
      <c r="F87" s="11" t="s">
        <v>103</v>
      </c>
      <c r="G87" s="11"/>
    </row>
    <row r="88" spans="1:7" x14ac:dyDescent="0.25">
      <c r="A88" s="13">
        <v>45944</v>
      </c>
      <c r="B88" s="11" t="s">
        <v>253</v>
      </c>
      <c r="C88" s="11" t="s">
        <v>99</v>
      </c>
      <c r="D88" s="11" t="s">
        <v>105</v>
      </c>
      <c r="E88" s="11">
        <v>5.5</v>
      </c>
      <c r="F88" s="11" t="s">
        <v>103</v>
      </c>
      <c r="G88" s="11"/>
    </row>
    <row r="89" spans="1:7" x14ac:dyDescent="0.25">
      <c r="A89" s="13">
        <v>45945</v>
      </c>
      <c r="B89" s="11" t="s">
        <v>249</v>
      </c>
      <c r="C89" s="11" t="s">
        <v>233</v>
      </c>
      <c r="D89" s="11" t="s">
        <v>105</v>
      </c>
      <c r="E89" s="11">
        <v>5</v>
      </c>
      <c r="F89" s="11"/>
      <c r="G89" s="11"/>
    </row>
    <row r="90" spans="1:7" x14ac:dyDescent="0.25">
      <c r="A90" s="13">
        <v>45945</v>
      </c>
      <c r="B90" s="11" t="s">
        <v>250</v>
      </c>
      <c r="C90" s="11" t="s">
        <v>233</v>
      </c>
      <c r="D90" s="11" t="s">
        <v>105</v>
      </c>
      <c r="E90" s="11">
        <v>5</v>
      </c>
      <c r="F90" s="11"/>
      <c r="G90" s="11"/>
    </row>
    <row r="91" spans="1:7" x14ac:dyDescent="0.25">
      <c r="A91" s="13">
        <v>45945</v>
      </c>
      <c r="B91" s="11" t="s">
        <v>251</v>
      </c>
      <c r="C91" s="11" t="s">
        <v>233</v>
      </c>
      <c r="D91" s="11" t="s">
        <v>105</v>
      </c>
      <c r="E91" s="11">
        <v>5</v>
      </c>
      <c r="F91" s="11"/>
      <c r="G91" s="11"/>
    </row>
    <row r="92" spans="1:7" x14ac:dyDescent="0.25">
      <c r="A92" s="13">
        <v>45950</v>
      </c>
      <c r="B92" s="11" t="s">
        <v>254</v>
      </c>
      <c r="C92" s="11" t="s">
        <v>188</v>
      </c>
      <c r="D92" s="11" t="s">
        <v>255</v>
      </c>
      <c r="E92" s="11">
        <v>4</v>
      </c>
      <c r="F92" s="11"/>
      <c r="G92" s="11"/>
    </row>
    <row r="93" spans="1:7" x14ac:dyDescent="0.25">
      <c r="A93" s="13">
        <v>45950</v>
      </c>
      <c r="B93" s="11" t="s">
        <v>256</v>
      </c>
      <c r="C93" s="11" t="s">
        <v>188</v>
      </c>
      <c r="D93" s="11" t="s">
        <v>255</v>
      </c>
      <c r="E93" s="11">
        <v>4</v>
      </c>
      <c r="F93" s="11"/>
      <c r="G93" s="11"/>
    </row>
    <row r="94" spans="1:7" x14ac:dyDescent="0.25">
      <c r="A94" s="13">
        <v>45951</v>
      </c>
      <c r="B94" s="11" t="s">
        <v>257</v>
      </c>
      <c r="C94" s="11" t="s">
        <v>99</v>
      </c>
      <c r="D94" s="11" t="s">
        <v>105</v>
      </c>
      <c r="E94" s="11">
        <v>5.5</v>
      </c>
      <c r="F94" s="11" t="s">
        <v>103</v>
      </c>
      <c r="G94" s="11"/>
    </row>
    <row r="95" spans="1:7" x14ac:dyDescent="0.25">
      <c r="A95" s="13">
        <v>45951</v>
      </c>
      <c r="B95" s="11" t="s">
        <v>258</v>
      </c>
      <c r="C95" s="11" t="s">
        <v>99</v>
      </c>
      <c r="D95" s="11" t="s">
        <v>105</v>
      </c>
      <c r="E95" s="11">
        <v>5.5</v>
      </c>
      <c r="F95" s="11" t="s">
        <v>103</v>
      </c>
      <c r="G95" s="11"/>
    </row>
    <row r="96" spans="1:7" x14ac:dyDescent="0.25">
      <c r="A96" s="13">
        <v>45951</v>
      </c>
      <c r="B96" s="11" t="s">
        <v>259</v>
      </c>
      <c r="C96" s="11" t="s">
        <v>99</v>
      </c>
      <c r="D96" s="11" t="s">
        <v>105</v>
      </c>
      <c r="E96" s="11">
        <v>5.5</v>
      </c>
      <c r="F96" s="11" t="s">
        <v>103</v>
      </c>
      <c r="G96" s="11"/>
    </row>
    <row r="97" spans="1:7" x14ac:dyDescent="0.25">
      <c r="A97" s="13">
        <v>45951</v>
      </c>
      <c r="B97" s="11" t="s">
        <v>260</v>
      </c>
      <c r="C97" s="11" t="s">
        <v>99</v>
      </c>
      <c r="D97" s="11" t="s">
        <v>105</v>
      </c>
      <c r="E97" s="11">
        <v>5.5</v>
      </c>
      <c r="F97" s="11" t="s">
        <v>103</v>
      </c>
      <c r="G97" s="11"/>
    </row>
    <row r="98" spans="1:7" x14ac:dyDescent="0.25">
      <c r="A98" s="13">
        <v>45952</v>
      </c>
      <c r="B98" s="11" t="s">
        <v>257</v>
      </c>
      <c r="C98" s="11" t="s">
        <v>99</v>
      </c>
      <c r="D98" s="11" t="s">
        <v>105</v>
      </c>
      <c r="E98" s="11">
        <v>5.5</v>
      </c>
      <c r="F98" s="11" t="s">
        <v>103</v>
      </c>
      <c r="G98" s="11"/>
    </row>
    <row r="99" spans="1:7" x14ac:dyDescent="0.25">
      <c r="A99" s="13">
        <v>45952</v>
      </c>
      <c r="B99" s="11" t="s">
        <v>258</v>
      </c>
      <c r="C99" s="11" t="s">
        <v>99</v>
      </c>
      <c r="D99" s="11" t="s">
        <v>105</v>
      </c>
      <c r="E99" s="11">
        <v>5.5</v>
      </c>
      <c r="F99" s="11" t="s">
        <v>103</v>
      </c>
      <c r="G99" s="11"/>
    </row>
    <row r="100" spans="1:7" x14ac:dyDescent="0.25">
      <c r="A100" s="13">
        <v>45956</v>
      </c>
      <c r="B100" s="11" t="s">
        <v>261</v>
      </c>
      <c r="C100" s="11" t="s">
        <v>130</v>
      </c>
      <c r="D100" s="11" t="s">
        <v>102</v>
      </c>
      <c r="E100" s="11">
        <v>8</v>
      </c>
      <c r="F100" s="11" t="s">
        <v>122</v>
      </c>
      <c r="G100" s="11"/>
    </row>
    <row r="101" spans="1:7" x14ac:dyDescent="0.25">
      <c r="A101" s="13">
        <v>45956</v>
      </c>
      <c r="B101" s="11" t="s">
        <v>262</v>
      </c>
      <c r="C101" s="11" t="s">
        <v>130</v>
      </c>
      <c r="D101" s="11" t="s">
        <v>102</v>
      </c>
      <c r="E101" s="11">
        <v>8</v>
      </c>
      <c r="F101" s="11" t="s">
        <v>122</v>
      </c>
      <c r="G101" s="11"/>
    </row>
    <row r="102" spans="1:7" x14ac:dyDescent="0.25">
      <c r="A102" s="13">
        <v>45956</v>
      </c>
      <c r="B102" s="11" t="s">
        <v>263</v>
      </c>
      <c r="C102" s="11" t="s">
        <v>130</v>
      </c>
      <c r="D102" s="11" t="s">
        <v>102</v>
      </c>
      <c r="E102" s="11">
        <v>8</v>
      </c>
      <c r="F102" s="11" t="s">
        <v>122</v>
      </c>
      <c r="G102" s="11"/>
    </row>
    <row r="103" spans="1:7" x14ac:dyDescent="0.25">
      <c r="A103" s="13">
        <v>45956</v>
      </c>
      <c r="B103" s="11" t="s">
        <v>264</v>
      </c>
      <c r="C103" s="11" t="s">
        <v>130</v>
      </c>
      <c r="D103" s="11" t="s">
        <v>102</v>
      </c>
      <c r="E103" s="11">
        <v>8</v>
      </c>
      <c r="F103" s="11" t="s">
        <v>122</v>
      </c>
      <c r="G103" s="11"/>
    </row>
    <row r="104" spans="1:7" x14ac:dyDescent="0.25">
      <c r="A104" s="13">
        <v>45956</v>
      </c>
      <c r="B104" s="11" t="s">
        <v>265</v>
      </c>
      <c r="C104" s="11" t="s">
        <v>130</v>
      </c>
      <c r="D104" s="11" t="s">
        <v>102</v>
      </c>
      <c r="E104" s="11">
        <v>8</v>
      </c>
      <c r="F104" s="11" t="s">
        <v>122</v>
      </c>
      <c r="G104" s="11"/>
    </row>
    <row r="105" spans="1:7" x14ac:dyDescent="0.25">
      <c r="A105" s="13">
        <v>45958</v>
      </c>
      <c r="B105" s="11" t="s">
        <v>266</v>
      </c>
      <c r="C105" s="11" t="s">
        <v>102</v>
      </c>
      <c r="D105" s="11" t="s">
        <v>166</v>
      </c>
      <c r="E105" s="11">
        <v>4</v>
      </c>
      <c r="F105" s="11"/>
      <c r="G105" s="11"/>
    </row>
    <row r="106" spans="1:7" x14ac:dyDescent="0.25">
      <c r="A106" s="13">
        <v>45959</v>
      </c>
      <c r="B106" s="11" t="s">
        <v>267</v>
      </c>
      <c r="C106" s="11" t="s">
        <v>102</v>
      </c>
      <c r="D106" s="11" t="s">
        <v>166</v>
      </c>
      <c r="E106" s="11">
        <v>4</v>
      </c>
      <c r="F106" s="11"/>
      <c r="G106" s="11"/>
    </row>
    <row r="107" spans="1:7" x14ac:dyDescent="0.25">
      <c r="A107" s="13">
        <v>45959</v>
      </c>
      <c r="B107" s="11" t="s">
        <v>268</v>
      </c>
      <c r="C107" s="11" t="s">
        <v>102</v>
      </c>
      <c r="D107" s="11" t="s">
        <v>166</v>
      </c>
      <c r="E107" s="11">
        <v>4</v>
      </c>
      <c r="F107" s="11"/>
      <c r="G107" s="11"/>
    </row>
    <row r="108" spans="1:7" x14ac:dyDescent="0.25">
      <c r="A108" s="13">
        <v>45960</v>
      </c>
      <c r="B108" s="11" t="s">
        <v>266</v>
      </c>
      <c r="C108" s="11" t="s">
        <v>102</v>
      </c>
      <c r="D108" s="11" t="s">
        <v>166</v>
      </c>
      <c r="E108" s="11">
        <v>4</v>
      </c>
      <c r="F108" s="11"/>
      <c r="G108" s="11"/>
    </row>
    <row r="109" spans="1:7" x14ac:dyDescent="0.25">
      <c r="A109" s="13">
        <v>45961</v>
      </c>
      <c r="B109" s="11" t="s">
        <v>267</v>
      </c>
      <c r="C109" s="11" t="s">
        <v>102</v>
      </c>
      <c r="D109" s="11" t="s">
        <v>107</v>
      </c>
      <c r="E109" s="11">
        <v>5</v>
      </c>
      <c r="F109" s="11" t="s">
        <v>103</v>
      </c>
      <c r="G109" s="11"/>
    </row>
    <row r="110" spans="1:7" x14ac:dyDescent="0.25">
      <c r="A110" s="13">
        <v>45961</v>
      </c>
      <c r="B110" s="11" t="s">
        <v>268</v>
      </c>
      <c r="C110" s="11" t="s">
        <v>102</v>
      </c>
      <c r="D110" s="11" t="s">
        <v>107</v>
      </c>
      <c r="E110" s="11">
        <v>5</v>
      </c>
      <c r="F110" s="11" t="s">
        <v>103</v>
      </c>
      <c r="G110" s="11"/>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1122-57D5-4ABC-80A9-848FB69611B5}">
  <sheetPr>
    <tabColor theme="9" tint="0.39997558519241921"/>
  </sheetPr>
  <dimension ref="A1:G97"/>
  <sheetViews>
    <sheetView workbookViewId="0">
      <selection activeCell="A2" sqref="A1:B1048576"/>
    </sheetView>
  </sheetViews>
  <sheetFormatPr defaultRowHeight="15" x14ac:dyDescent="0.25"/>
  <cols>
    <col min="1" max="1" width="13.85546875" customWidth="1"/>
    <col min="2" max="2" width="86.7109375" customWidth="1"/>
    <col min="3" max="3" width="11.140625" customWidth="1"/>
    <col min="4" max="4" width="11.5703125" customWidth="1"/>
    <col min="5" max="5" width="15.42578125" customWidth="1"/>
    <col min="6" max="6" width="24.42578125" customWidth="1"/>
    <col min="7" max="7" width="19.28515625" bestFit="1" customWidth="1"/>
  </cols>
  <sheetData>
    <row r="1" spans="1:7" x14ac:dyDescent="0.25">
      <c r="A1" s="9" t="s">
        <v>83</v>
      </c>
      <c r="B1" s="9" t="s">
        <v>84</v>
      </c>
      <c r="C1" s="9" t="s">
        <v>85</v>
      </c>
      <c r="D1" s="9" t="s">
        <v>86</v>
      </c>
      <c r="E1" s="9" t="s">
        <v>16</v>
      </c>
      <c r="F1" s="9" t="s">
        <v>87</v>
      </c>
      <c r="G1" s="9" t="s">
        <v>25</v>
      </c>
    </row>
    <row r="2" spans="1:7" x14ac:dyDescent="0.25">
      <c r="A2" s="13">
        <v>45962</v>
      </c>
      <c r="B2" s="11" t="s">
        <v>56</v>
      </c>
      <c r="C2" s="11" t="s">
        <v>120</v>
      </c>
      <c r="D2" s="11" t="s">
        <v>100</v>
      </c>
      <c r="E2" s="11">
        <v>5.5</v>
      </c>
      <c r="F2" s="11" t="s">
        <v>103</v>
      </c>
      <c r="G2" s="12">
        <f>SUM(E:E)</f>
        <v>491.5</v>
      </c>
    </row>
    <row r="3" spans="1:7" x14ac:dyDescent="0.25">
      <c r="A3" s="13">
        <v>45962</v>
      </c>
      <c r="B3" s="11" t="s">
        <v>53</v>
      </c>
      <c r="C3" s="11" t="s">
        <v>219</v>
      </c>
      <c r="D3" s="11" t="s">
        <v>172</v>
      </c>
      <c r="E3" s="11">
        <v>5</v>
      </c>
      <c r="F3" s="11"/>
      <c r="G3" s="11"/>
    </row>
    <row r="4" spans="1:7" x14ac:dyDescent="0.25">
      <c r="A4" s="13">
        <v>45962</v>
      </c>
      <c r="B4" s="11" t="s">
        <v>53</v>
      </c>
      <c r="C4" s="11" t="s">
        <v>104</v>
      </c>
      <c r="D4" s="11" t="s">
        <v>102</v>
      </c>
      <c r="E4" s="11">
        <v>5</v>
      </c>
      <c r="F4" s="11"/>
      <c r="G4" s="11"/>
    </row>
    <row r="5" spans="1:7" x14ac:dyDescent="0.25">
      <c r="A5" s="13">
        <v>45963</v>
      </c>
      <c r="B5" s="11" t="s">
        <v>48</v>
      </c>
      <c r="C5" s="11" t="s">
        <v>233</v>
      </c>
      <c r="D5" s="11" t="s">
        <v>126</v>
      </c>
      <c r="E5" s="11">
        <v>3</v>
      </c>
      <c r="F5" s="11"/>
      <c r="G5" s="11"/>
    </row>
    <row r="6" spans="1:7" x14ac:dyDescent="0.25">
      <c r="A6" s="13">
        <v>45963</v>
      </c>
      <c r="B6" s="11" t="s">
        <v>49</v>
      </c>
      <c r="C6" s="11" t="s">
        <v>99</v>
      </c>
      <c r="D6" s="11" t="s">
        <v>172</v>
      </c>
      <c r="E6" s="11">
        <v>4</v>
      </c>
      <c r="F6" s="11"/>
      <c r="G6" s="11"/>
    </row>
    <row r="7" spans="1:7" x14ac:dyDescent="0.25">
      <c r="A7" s="13">
        <v>45963</v>
      </c>
      <c r="B7" s="11" t="s">
        <v>58</v>
      </c>
      <c r="C7" s="11" t="s">
        <v>144</v>
      </c>
      <c r="D7" s="11" t="s">
        <v>126</v>
      </c>
      <c r="E7" s="11">
        <v>6</v>
      </c>
      <c r="F7" s="11" t="s">
        <v>103</v>
      </c>
      <c r="G7" s="11"/>
    </row>
    <row r="8" spans="1:7" x14ac:dyDescent="0.25">
      <c r="A8" s="13">
        <v>45963</v>
      </c>
      <c r="B8" s="11" t="s">
        <v>53</v>
      </c>
      <c r="C8" s="11" t="s">
        <v>126</v>
      </c>
      <c r="D8" s="11" t="s">
        <v>306</v>
      </c>
      <c r="E8" s="11">
        <v>11.5</v>
      </c>
      <c r="F8" s="11" t="s">
        <v>122</v>
      </c>
      <c r="G8" s="11"/>
    </row>
    <row r="9" spans="1:7" x14ac:dyDescent="0.25">
      <c r="A9" s="13">
        <v>45963</v>
      </c>
      <c r="B9" s="11" t="s">
        <v>58</v>
      </c>
      <c r="C9" s="11" t="s">
        <v>126</v>
      </c>
      <c r="D9" s="11" t="s">
        <v>111</v>
      </c>
      <c r="E9" s="11">
        <v>8</v>
      </c>
      <c r="F9" s="11" t="s">
        <v>122</v>
      </c>
      <c r="G9" s="11"/>
    </row>
    <row r="10" spans="1:7" x14ac:dyDescent="0.25">
      <c r="A10" s="13">
        <v>45963</v>
      </c>
      <c r="B10" s="11" t="s">
        <v>48</v>
      </c>
      <c r="C10" s="11" t="s">
        <v>126</v>
      </c>
      <c r="D10" s="11" t="s">
        <v>121</v>
      </c>
      <c r="E10" s="11">
        <v>4</v>
      </c>
      <c r="F10" s="11"/>
      <c r="G10" s="11"/>
    </row>
    <row r="11" spans="1:7" x14ac:dyDescent="0.25">
      <c r="A11" s="13">
        <v>45963</v>
      </c>
      <c r="B11" s="11" t="s">
        <v>46</v>
      </c>
      <c r="C11" s="11" t="s">
        <v>104</v>
      </c>
      <c r="D11" s="11" t="s">
        <v>155</v>
      </c>
      <c r="E11" s="11">
        <v>7.5</v>
      </c>
      <c r="F11" s="11" t="s">
        <v>103</v>
      </c>
      <c r="G11" s="11"/>
    </row>
    <row r="12" spans="1:7" x14ac:dyDescent="0.25">
      <c r="A12" s="13">
        <v>45964</v>
      </c>
      <c r="B12" s="11" t="s">
        <v>49</v>
      </c>
      <c r="C12" s="11" t="s">
        <v>105</v>
      </c>
      <c r="D12" s="11" t="s">
        <v>121</v>
      </c>
      <c r="E12" s="11">
        <v>2</v>
      </c>
      <c r="F12" s="11"/>
      <c r="G12" s="11"/>
    </row>
    <row r="13" spans="1:7" x14ac:dyDescent="0.25">
      <c r="A13" s="13">
        <v>45965</v>
      </c>
      <c r="B13" s="13" t="s">
        <v>56</v>
      </c>
      <c r="C13" s="11" t="s">
        <v>219</v>
      </c>
      <c r="D13" s="11" t="s">
        <v>172</v>
      </c>
      <c r="E13" s="11">
        <v>5</v>
      </c>
      <c r="F13" s="11"/>
      <c r="G13" s="11"/>
    </row>
    <row r="14" spans="1:7" x14ac:dyDescent="0.25">
      <c r="A14" s="13">
        <v>45965</v>
      </c>
      <c r="B14" s="13" t="s">
        <v>56</v>
      </c>
      <c r="C14" s="11" t="s">
        <v>120</v>
      </c>
      <c r="D14" s="11" t="s">
        <v>100</v>
      </c>
      <c r="E14" s="11">
        <v>5.5</v>
      </c>
      <c r="F14" s="11" t="s">
        <v>103</v>
      </c>
      <c r="G14" s="11"/>
    </row>
    <row r="15" spans="1:7" x14ac:dyDescent="0.25">
      <c r="A15" s="13">
        <v>45966</v>
      </c>
      <c r="B15" s="11" t="s">
        <v>56</v>
      </c>
      <c r="C15" s="11" t="s">
        <v>120</v>
      </c>
      <c r="D15" s="11" t="s">
        <v>100</v>
      </c>
      <c r="E15" s="11">
        <v>5.5</v>
      </c>
      <c r="F15" s="11" t="s">
        <v>311</v>
      </c>
      <c r="G15" s="11"/>
    </row>
    <row r="16" spans="1:7" x14ac:dyDescent="0.25">
      <c r="A16" s="13">
        <v>45966</v>
      </c>
      <c r="B16" s="11" t="s">
        <v>53</v>
      </c>
      <c r="C16" s="19" t="s">
        <v>121</v>
      </c>
      <c r="D16" s="11" t="s">
        <v>255</v>
      </c>
      <c r="E16" s="11">
        <v>5</v>
      </c>
      <c r="F16" s="11" t="s">
        <v>103</v>
      </c>
      <c r="G16" s="11"/>
    </row>
    <row r="17" spans="1:7" x14ac:dyDescent="0.25">
      <c r="A17" s="13">
        <v>45967</v>
      </c>
      <c r="B17" s="11" t="s">
        <v>49</v>
      </c>
      <c r="C17" s="19" t="s">
        <v>105</v>
      </c>
      <c r="D17" s="11" t="s">
        <v>107</v>
      </c>
      <c r="E17" s="11">
        <v>6</v>
      </c>
      <c r="F17" s="11" t="s">
        <v>103</v>
      </c>
      <c r="G17" s="11"/>
    </row>
    <row r="18" spans="1:7" x14ac:dyDescent="0.25">
      <c r="A18" s="13">
        <v>45967</v>
      </c>
      <c r="B18" s="11" t="s">
        <v>56</v>
      </c>
      <c r="C18" s="11" t="s">
        <v>120</v>
      </c>
      <c r="D18" s="11" t="s">
        <v>100</v>
      </c>
      <c r="E18" s="11">
        <v>5.5</v>
      </c>
      <c r="F18" s="11" t="s">
        <v>103</v>
      </c>
      <c r="G18" s="11"/>
    </row>
    <row r="19" spans="1:7" x14ac:dyDescent="0.25">
      <c r="A19" s="13">
        <v>45968</v>
      </c>
      <c r="B19" s="11" t="s">
        <v>56</v>
      </c>
      <c r="C19" s="11" t="s">
        <v>188</v>
      </c>
      <c r="D19" s="11" t="s">
        <v>255</v>
      </c>
      <c r="E19" s="11">
        <v>4</v>
      </c>
      <c r="F19" s="11"/>
      <c r="G19" s="11"/>
    </row>
    <row r="20" spans="1:7" x14ac:dyDescent="0.25">
      <c r="A20" s="13">
        <v>45968</v>
      </c>
      <c r="B20" s="11" t="s">
        <v>53</v>
      </c>
      <c r="C20" s="11" t="s">
        <v>120</v>
      </c>
      <c r="D20" s="11" t="s">
        <v>121</v>
      </c>
      <c r="E20" s="11">
        <v>8</v>
      </c>
      <c r="F20" s="11" t="s">
        <v>122</v>
      </c>
      <c r="G20" s="11"/>
    </row>
    <row r="21" spans="1:7" x14ac:dyDescent="0.25">
      <c r="A21" s="13">
        <v>45968</v>
      </c>
      <c r="B21" s="11" t="s">
        <v>56</v>
      </c>
      <c r="C21" s="11" t="s">
        <v>120</v>
      </c>
      <c r="D21" s="11" t="s">
        <v>100</v>
      </c>
      <c r="E21" s="11">
        <v>5.5</v>
      </c>
      <c r="F21" s="11" t="s">
        <v>103</v>
      </c>
      <c r="G21" s="11"/>
    </row>
    <row r="22" spans="1:7" x14ac:dyDescent="0.25">
      <c r="A22" s="13">
        <v>45969</v>
      </c>
      <c r="B22" s="11" t="s">
        <v>56</v>
      </c>
      <c r="C22" s="11" t="s">
        <v>120</v>
      </c>
      <c r="D22" s="11" t="s">
        <v>100</v>
      </c>
      <c r="E22" s="11">
        <v>5.5</v>
      </c>
      <c r="F22" s="11" t="s">
        <v>103</v>
      </c>
      <c r="G22" s="11"/>
    </row>
    <row r="23" spans="1:7" x14ac:dyDescent="0.25">
      <c r="A23" s="13">
        <v>45969</v>
      </c>
      <c r="B23" s="11" t="s">
        <v>56</v>
      </c>
      <c r="C23" s="11" t="s">
        <v>296</v>
      </c>
      <c r="D23" s="11" t="s">
        <v>107</v>
      </c>
      <c r="E23" s="11">
        <v>5</v>
      </c>
      <c r="F23" s="11"/>
      <c r="G23" s="11"/>
    </row>
    <row r="24" spans="1:7" x14ac:dyDescent="0.25">
      <c r="A24" s="13">
        <v>45970</v>
      </c>
      <c r="B24" s="11" t="s">
        <v>56</v>
      </c>
      <c r="C24" s="11" t="s">
        <v>120</v>
      </c>
      <c r="D24" s="11" t="s">
        <v>126</v>
      </c>
      <c r="E24" s="11">
        <v>5</v>
      </c>
      <c r="F24" s="11"/>
      <c r="G24" s="11"/>
    </row>
    <row r="25" spans="1:7" x14ac:dyDescent="0.25">
      <c r="A25" s="13">
        <v>45970</v>
      </c>
      <c r="B25" s="11" t="s">
        <v>58</v>
      </c>
      <c r="C25" s="11" t="s">
        <v>144</v>
      </c>
      <c r="D25" s="11" t="s">
        <v>118</v>
      </c>
      <c r="E25" s="11">
        <v>3.5</v>
      </c>
      <c r="F25" s="11"/>
      <c r="G25" s="11"/>
    </row>
    <row r="26" spans="1:7" x14ac:dyDescent="0.25">
      <c r="A26" s="13">
        <v>45970</v>
      </c>
      <c r="B26" s="11" t="s">
        <v>53</v>
      </c>
      <c r="C26" s="11" t="s">
        <v>155</v>
      </c>
      <c r="D26" s="11" t="s">
        <v>157</v>
      </c>
      <c r="E26" s="11">
        <v>6</v>
      </c>
      <c r="F26" s="11" t="s">
        <v>103</v>
      </c>
      <c r="G26" s="11"/>
    </row>
    <row r="27" spans="1:7" x14ac:dyDescent="0.25">
      <c r="A27" s="13">
        <v>45970</v>
      </c>
      <c r="B27" s="11" t="s">
        <v>48</v>
      </c>
      <c r="C27" s="11" t="s">
        <v>121</v>
      </c>
      <c r="D27" s="11" t="s">
        <v>306</v>
      </c>
      <c r="E27" s="11">
        <v>7.5</v>
      </c>
      <c r="F27" s="11" t="s">
        <v>122</v>
      </c>
      <c r="G27" s="11"/>
    </row>
    <row r="28" spans="1:7" x14ac:dyDescent="0.25">
      <c r="A28" s="13">
        <v>45970</v>
      </c>
      <c r="B28" s="11" t="s">
        <v>58</v>
      </c>
      <c r="C28" s="11" t="s">
        <v>100</v>
      </c>
      <c r="D28" s="11" t="s">
        <v>219</v>
      </c>
      <c r="E28" s="11">
        <v>4.5</v>
      </c>
      <c r="F28" s="11"/>
      <c r="G28" s="11"/>
    </row>
    <row r="29" spans="1:7" x14ac:dyDescent="0.25">
      <c r="A29" s="13">
        <v>45970</v>
      </c>
      <c r="B29" s="11" t="s">
        <v>53</v>
      </c>
      <c r="C29" s="11" t="s">
        <v>126</v>
      </c>
      <c r="D29" s="11" t="s">
        <v>155</v>
      </c>
      <c r="E29" s="11">
        <v>5.5</v>
      </c>
      <c r="F29" s="11" t="s">
        <v>103</v>
      </c>
      <c r="G29" s="11"/>
    </row>
    <row r="30" spans="1:7" x14ac:dyDescent="0.25">
      <c r="A30" s="13">
        <v>45970</v>
      </c>
      <c r="B30" s="11" t="s">
        <v>49</v>
      </c>
      <c r="C30" s="11" t="s">
        <v>99</v>
      </c>
      <c r="D30" s="11" t="s">
        <v>132</v>
      </c>
      <c r="E30" s="11">
        <v>3</v>
      </c>
      <c r="F30" s="11"/>
      <c r="G30" s="11"/>
    </row>
    <row r="31" spans="1:7" x14ac:dyDescent="0.25">
      <c r="A31" s="13">
        <v>45970</v>
      </c>
      <c r="B31" s="11" t="s">
        <v>46</v>
      </c>
      <c r="C31" s="11" t="s">
        <v>99</v>
      </c>
      <c r="D31" s="11" t="s">
        <v>181</v>
      </c>
      <c r="E31" s="11">
        <v>6</v>
      </c>
      <c r="F31" s="11" t="s">
        <v>103</v>
      </c>
      <c r="G31" s="11"/>
    </row>
    <row r="32" spans="1:7" x14ac:dyDescent="0.25">
      <c r="A32" s="13">
        <v>45970</v>
      </c>
      <c r="B32" s="11" t="s">
        <v>58</v>
      </c>
      <c r="C32" s="11" t="s">
        <v>188</v>
      </c>
      <c r="D32" s="11" t="s">
        <v>172</v>
      </c>
      <c r="E32" s="11">
        <v>4.5</v>
      </c>
      <c r="F32" s="11"/>
      <c r="G32" s="11"/>
    </row>
    <row r="33" spans="1:7" x14ac:dyDescent="0.25">
      <c r="A33" s="13">
        <v>45971</v>
      </c>
      <c r="B33" s="11" t="s">
        <v>53</v>
      </c>
      <c r="C33" s="11" t="s">
        <v>233</v>
      </c>
      <c r="D33" s="11" t="s">
        <v>219</v>
      </c>
      <c r="E33" s="11">
        <v>7.5</v>
      </c>
      <c r="F33" s="11" t="s">
        <v>122</v>
      </c>
      <c r="G33" s="11"/>
    </row>
    <row r="34" spans="1:7" x14ac:dyDescent="0.25">
      <c r="A34" s="13">
        <v>45971</v>
      </c>
      <c r="B34" s="11" t="s">
        <v>48</v>
      </c>
      <c r="C34" s="11" t="s">
        <v>157</v>
      </c>
      <c r="D34" s="11" t="s">
        <v>188</v>
      </c>
      <c r="E34" s="11">
        <v>5</v>
      </c>
      <c r="F34" s="11"/>
      <c r="G34" s="11"/>
    </row>
    <row r="35" spans="1:7" x14ac:dyDescent="0.25">
      <c r="A35" s="13">
        <v>45971</v>
      </c>
      <c r="B35" s="11" t="s">
        <v>58</v>
      </c>
      <c r="C35" s="11" t="s">
        <v>132</v>
      </c>
      <c r="D35" s="11" t="s">
        <v>219</v>
      </c>
      <c r="E35" s="11">
        <v>5.5</v>
      </c>
      <c r="F35" s="11" t="s">
        <v>103</v>
      </c>
      <c r="G35" s="11"/>
    </row>
    <row r="36" spans="1:7" x14ac:dyDescent="0.25">
      <c r="A36" s="13">
        <v>45972</v>
      </c>
      <c r="B36" s="11"/>
      <c r="C36" s="11"/>
      <c r="D36" s="11"/>
      <c r="E36" s="11"/>
      <c r="F36" s="11"/>
      <c r="G36" s="11"/>
    </row>
    <row r="37" spans="1:7" x14ac:dyDescent="0.25">
      <c r="A37" s="13">
        <v>45973</v>
      </c>
      <c r="B37" s="11" t="s">
        <v>56</v>
      </c>
      <c r="C37" s="11" t="s">
        <v>120</v>
      </c>
      <c r="D37" s="11" t="s">
        <v>100</v>
      </c>
      <c r="E37" s="11">
        <v>5.5</v>
      </c>
      <c r="F37" s="11" t="s">
        <v>103</v>
      </c>
      <c r="G37" s="11"/>
    </row>
    <row r="38" spans="1:7" x14ac:dyDescent="0.25">
      <c r="A38" s="13">
        <v>45973</v>
      </c>
      <c r="B38" s="11" t="s">
        <v>53</v>
      </c>
      <c r="C38" s="11" t="s">
        <v>142</v>
      </c>
      <c r="D38" s="11" t="s">
        <v>185</v>
      </c>
      <c r="E38" s="11">
        <v>3</v>
      </c>
      <c r="F38" s="11"/>
      <c r="G38" s="11"/>
    </row>
    <row r="39" spans="1:7" x14ac:dyDescent="0.25">
      <c r="A39" s="13">
        <v>45974</v>
      </c>
      <c r="B39" s="11" t="s">
        <v>49</v>
      </c>
      <c r="C39" s="11" t="s">
        <v>105</v>
      </c>
      <c r="D39" s="11" t="s">
        <v>107</v>
      </c>
      <c r="E39" s="11">
        <v>6</v>
      </c>
      <c r="F39" s="11" t="s">
        <v>103</v>
      </c>
      <c r="G39" s="11"/>
    </row>
    <row r="40" spans="1:7" x14ac:dyDescent="0.25">
      <c r="A40" s="13">
        <v>45974</v>
      </c>
      <c r="B40" s="11" t="s">
        <v>56</v>
      </c>
      <c r="C40" s="11" t="s">
        <v>120</v>
      </c>
      <c r="D40" s="11" t="s">
        <v>100</v>
      </c>
      <c r="E40" s="11">
        <v>5.5</v>
      </c>
      <c r="F40" s="11" t="s">
        <v>103</v>
      </c>
      <c r="G40" s="11"/>
    </row>
    <row r="41" spans="1:7" x14ac:dyDescent="0.25">
      <c r="A41" s="13">
        <v>45975</v>
      </c>
      <c r="B41" s="11" t="s">
        <v>51</v>
      </c>
      <c r="C41" s="11" t="s">
        <v>296</v>
      </c>
      <c r="D41" s="11" t="s">
        <v>111</v>
      </c>
      <c r="E41" s="11">
        <v>5</v>
      </c>
      <c r="F41" s="11" t="s">
        <v>103</v>
      </c>
      <c r="G41" s="11"/>
    </row>
    <row r="42" spans="1:7" x14ac:dyDescent="0.25">
      <c r="A42" s="13">
        <v>45975</v>
      </c>
      <c r="B42" s="11" t="s">
        <v>56</v>
      </c>
      <c r="C42" s="11" t="s">
        <v>121</v>
      </c>
      <c r="D42" s="11" t="s">
        <v>255</v>
      </c>
      <c r="E42" s="11">
        <v>5</v>
      </c>
      <c r="F42" s="11" t="s">
        <v>103</v>
      </c>
      <c r="G42" s="11"/>
    </row>
    <row r="43" spans="1:7" x14ac:dyDescent="0.25">
      <c r="A43" s="13">
        <v>45976</v>
      </c>
      <c r="B43" s="11" t="s">
        <v>53</v>
      </c>
      <c r="C43" s="11" t="s">
        <v>142</v>
      </c>
      <c r="D43" s="11" t="s">
        <v>107</v>
      </c>
      <c r="E43" s="11">
        <v>4</v>
      </c>
      <c r="F43" s="11"/>
      <c r="G43" s="11"/>
    </row>
    <row r="44" spans="1:7" x14ac:dyDescent="0.25">
      <c r="A44" s="13">
        <v>45976</v>
      </c>
      <c r="B44" s="11" t="s">
        <v>56</v>
      </c>
      <c r="C44" s="11" t="s">
        <v>120</v>
      </c>
      <c r="D44" s="11" t="s">
        <v>100</v>
      </c>
      <c r="E44" s="11">
        <v>5.5</v>
      </c>
      <c r="F44" s="11" t="s">
        <v>103</v>
      </c>
      <c r="G44" s="11"/>
    </row>
    <row r="45" spans="1:7" x14ac:dyDescent="0.25">
      <c r="A45" s="13">
        <v>45977</v>
      </c>
      <c r="B45" s="11" t="s">
        <v>56</v>
      </c>
      <c r="C45" s="11" t="s">
        <v>120</v>
      </c>
      <c r="D45" s="11" t="s">
        <v>126</v>
      </c>
      <c r="E45" s="11">
        <v>5</v>
      </c>
      <c r="F45" s="11"/>
      <c r="G45" s="11"/>
    </row>
    <row r="46" spans="1:7" x14ac:dyDescent="0.25">
      <c r="A46" s="13">
        <v>45977</v>
      </c>
      <c r="B46" s="11" t="s">
        <v>58</v>
      </c>
      <c r="C46" s="11" t="s">
        <v>144</v>
      </c>
      <c r="D46" s="11" t="s">
        <v>118</v>
      </c>
      <c r="E46" s="11">
        <v>3.5</v>
      </c>
      <c r="F46" s="11"/>
      <c r="G46" s="11"/>
    </row>
    <row r="47" spans="1:7" x14ac:dyDescent="0.25">
      <c r="A47" s="13">
        <v>45977</v>
      </c>
      <c r="B47" s="11" t="s">
        <v>47</v>
      </c>
      <c r="C47" s="11" t="s">
        <v>126</v>
      </c>
      <c r="D47" s="11" t="s">
        <v>188</v>
      </c>
      <c r="E47" s="11">
        <v>5</v>
      </c>
      <c r="F47" s="11" t="s">
        <v>103</v>
      </c>
      <c r="G47" s="11"/>
    </row>
    <row r="48" spans="1:7" x14ac:dyDescent="0.25">
      <c r="A48" s="13">
        <v>45977</v>
      </c>
      <c r="B48" s="11" t="s">
        <v>49</v>
      </c>
      <c r="C48" s="11" t="s">
        <v>99</v>
      </c>
      <c r="D48" s="11" t="s">
        <v>181</v>
      </c>
      <c r="E48" s="11">
        <v>6</v>
      </c>
      <c r="F48" s="11" t="s">
        <v>103</v>
      </c>
      <c r="G48" s="11"/>
    </row>
    <row r="49" spans="1:7" x14ac:dyDescent="0.25">
      <c r="A49" s="13">
        <v>45977</v>
      </c>
      <c r="B49" s="11" t="s">
        <v>58</v>
      </c>
      <c r="C49" s="11" t="s">
        <v>126</v>
      </c>
      <c r="D49" s="11" t="s">
        <v>166</v>
      </c>
      <c r="E49" s="11">
        <v>6.5</v>
      </c>
      <c r="F49" s="11" t="s">
        <v>103</v>
      </c>
      <c r="G49" s="11"/>
    </row>
    <row r="50" spans="1:7" x14ac:dyDescent="0.25">
      <c r="A50" s="13">
        <v>45978</v>
      </c>
      <c r="B50" s="11" t="s">
        <v>46</v>
      </c>
      <c r="C50" s="11" t="s">
        <v>233</v>
      </c>
      <c r="D50" s="11" t="s">
        <v>296</v>
      </c>
      <c r="E50" s="11">
        <v>6</v>
      </c>
      <c r="F50" s="11" t="s">
        <v>103</v>
      </c>
      <c r="G50" s="11"/>
    </row>
    <row r="51" spans="1:7" x14ac:dyDescent="0.25">
      <c r="A51" s="13">
        <v>45978</v>
      </c>
      <c r="B51" s="11" t="s">
        <v>58</v>
      </c>
      <c r="C51" s="11" t="s">
        <v>105</v>
      </c>
      <c r="D51" s="11" t="s">
        <v>183</v>
      </c>
      <c r="E51" s="11">
        <v>7.5</v>
      </c>
      <c r="F51" s="11" t="s">
        <v>122</v>
      </c>
      <c r="G51" s="11"/>
    </row>
    <row r="52" spans="1:7" x14ac:dyDescent="0.25">
      <c r="A52" s="13">
        <v>45978</v>
      </c>
      <c r="B52" s="11" t="s">
        <v>53</v>
      </c>
      <c r="C52" s="11" t="s">
        <v>121</v>
      </c>
      <c r="D52" s="11" t="s">
        <v>172</v>
      </c>
      <c r="E52" s="11">
        <v>5.5</v>
      </c>
      <c r="F52" s="11" t="s">
        <v>103</v>
      </c>
      <c r="G52" s="11"/>
    </row>
    <row r="53" spans="1:7" x14ac:dyDescent="0.25">
      <c r="A53" s="13">
        <v>45978</v>
      </c>
      <c r="B53" s="11" t="s">
        <v>53</v>
      </c>
      <c r="C53" s="11" t="s">
        <v>126</v>
      </c>
      <c r="D53" s="11" t="s">
        <v>121</v>
      </c>
      <c r="E53" s="11">
        <v>4</v>
      </c>
      <c r="F53" s="11"/>
      <c r="G53" s="11"/>
    </row>
    <row r="54" spans="1:7" x14ac:dyDescent="0.25">
      <c r="A54" s="13">
        <v>45979</v>
      </c>
      <c r="B54" s="11" t="s">
        <v>56</v>
      </c>
      <c r="C54" s="11" t="s">
        <v>120</v>
      </c>
      <c r="D54" s="11" t="s">
        <v>100</v>
      </c>
      <c r="E54" s="11">
        <v>5.5</v>
      </c>
      <c r="F54" s="11" t="s">
        <v>103</v>
      </c>
      <c r="G54" s="11"/>
    </row>
    <row r="55" spans="1:7" x14ac:dyDescent="0.25">
      <c r="A55" s="13">
        <v>45979</v>
      </c>
      <c r="B55" s="11" t="s">
        <v>49</v>
      </c>
      <c r="C55" s="11" t="s">
        <v>121</v>
      </c>
      <c r="D55" s="11" t="s">
        <v>111</v>
      </c>
      <c r="E55" s="11">
        <v>5</v>
      </c>
      <c r="F55" s="11"/>
      <c r="G55" s="11"/>
    </row>
    <row r="56" spans="1:7" x14ac:dyDescent="0.25">
      <c r="A56" s="13">
        <v>45980</v>
      </c>
      <c r="B56" s="11" t="s">
        <v>53</v>
      </c>
      <c r="C56" s="11" t="s">
        <v>142</v>
      </c>
      <c r="D56" s="11" t="s">
        <v>185</v>
      </c>
      <c r="E56" s="11">
        <v>3</v>
      </c>
      <c r="F56" s="11"/>
      <c r="G56" s="11"/>
    </row>
    <row r="57" spans="1:7" x14ac:dyDescent="0.25">
      <c r="A57" s="13">
        <v>45980</v>
      </c>
      <c r="B57" s="11" t="s">
        <v>56</v>
      </c>
      <c r="C57" s="11" t="s">
        <v>120</v>
      </c>
      <c r="D57" s="11" t="s">
        <v>100</v>
      </c>
      <c r="E57" s="11">
        <v>5.5</v>
      </c>
      <c r="F57" s="11" t="s">
        <v>103</v>
      </c>
      <c r="G57" s="11"/>
    </row>
    <row r="58" spans="1:7" x14ac:dyDescent="0.25">
      <c r="A58" s="13">
        <v>45981</v>
      </c>
      <c r="B58" s="11" t="s">
        <v>56</v>
      </c>
      <c r="C58" s="11" t="s">
        <v>120</v>
      </c>
      <c r="D58" s="11" t="s">
        <v>100</v>
      </c>
      <c r="E58" s="11">
        <v>5.5</v>
      </c>
      <c r="F58" s="11" t="s">
        <v>103</v>
      </c>
      <c r="G58" s="11"/>
    </row>
    <row r="59" spans="1:7" x14ac:dyDescent="0.25">
      <c r="A59" s="13">
        <v>45981</v>
      </c>
      <c r="B59" s="11" t="s">
        <v>49</v>
      </c>
      <c r="C59" s="11" t="s">
        <v>105</v>
      </c>
      <c r="D59" s="11" t="s">
        <v>107</v>
      </c>
      <c r="E59" s="11">
        <v>6</v>
      </c>
      <c r="F59" s="11" t="s">
        <v>103</v>
      </c>
      <c r="G59" s="11"/>
    </row>
    <row r="60" spans="1:7" x14ac:dyDescent="0.25">
      <c r="A60" s="13">
        <v>45982</v>
      </c>
      <c r="B60" s="11" t="s">
        <v>56</v>
      </c>
      <c r="C60" s="11" t="s">
        <v>120</v>
      </c>
      <c r="D60" s="11" t="s">
        <v>100</v>
      </c>
      <c r="E60" s="11">
        <v>5.5</v>
      </c>
      <c r="F60" s="11" t="s">
        <v>103</v>
      </c>
      <c r="G60" s="11"/>
    </row>
    <row r="61" spans="1:7" x14ac:dyDescent="0.25">
      <c r="A61" s="13">
        <v>45982</v>
      </c>
      <c r="B61" s="11" t="s">
        <v>56</v>
      </c>
      <c r="C61" s="11" t="s">
        <v>188</v>
      </c>
      <c r="D61" s="11" t="s">
        <v>111</v>
      </c>
      <c r="E61" s="11">
        <v>4</v>
      </c>
      <c r="F61" s="11"/>
      <c r="G61" s="11"/>
    </row>
    <row r="62" spans="1:7" x14ac:dyDescent="0.25">
      <c r="A62" s="13">
        <v>45983</v>
      </c>
      <c r="B62" s="11" t="s">
        <v>56</v>
      </c>
      <c r="C62" s="11" t="s">
        <v>166</v>
      </c>
      <c r="D62" s="11" t="s">
        <v>100</v>
      </c>
      <c r="E62" s="11">
        <v>5.5</v>
      </c>
      <c r="F62" s="11" t="s">
        <v>103</v>
      </c>
      <c r="G62" s="11"/>
    </row>
    <row r="63" spans="1:7" x14ac:dyDescent="0.25">
      <c r="A63" s="13">
        <v>45983</v>
      </c>
      <c r="B63" s="11" t="s">
        <v>56</v>
      </c>
      <c r="C63" s="11" t="s">
        <v>296</v>
      </c>
      <c r="D63" s="11" t="s">
        <v>188</v>
      </c>
      <c r="E63" s="11">
        <v>2</v>
      </c>
      <c r="F63" s="11"/>
      <c r="G63" s="11"/>
    </row>
    <row r="64" spans="1:7" x14ac:dyDescent="0.25">
      <c r="A64" s="13">
        <v>45984</v>
      </c>
      <c r="B64" s="11" t="s">
        <v>56</v>
      </c>
      <c r="C64" s="11" t="s">
        <v>120</v>
      </c>
      <c r="D64" s="11" t="s">
        <v>126</v>
      </c>
      <c r="E64" s="11">
        <v>5</v>
      </c>
      <c r="F64" s="11"/>
      <c r="G64" s="11"/>
    </row>
    <row r="65" spans="1:7" x14ac:dyDescent="0.25">
      <c r="A65" s="13">
        <v>45984</v>
      </c>
      <c r="B65" s="11" t="s">
        <v>58</v>
      </c>
      <c r="C65" s="11" t="s">
        <v>144</v>
      </c>
      <c r="D65" s="11" t="s">
        <v>118</v>
      </c>
      <c r="E65" s="11">
        <v>3.5</v>
      </c>
      <c r="F65" s="11"/>
      <c r="G65" s="11"/>
    </row>
    <row r="66" spans="1:7" x14ac:dyDescent="0.25">
      <c r="A66" s="13">
        <v>45984</v>
      </c>
      <c r="B66" s="11" t="s">
        <v>53</v>
      </c>
      <c r="C66" s="11" t="s">
        <v>155</v>
      </c>
      <c r="D66" s="11" t="s">
        <v>226</v>
      </c>
      <c r="E66" s="11">
        <v>5.5</v>
      </c>
      <c r="F66" s="11" t="s">
        <v>103</v>
      </c>
      <c r="G66" s="11"/>
    </row>
    <row r="67" spans="1:7" x14ac:dyDescent="0.25">
      <c r="A67" s="13">
        <v>45984</v>
      </c>
      <c r="B67" s="11" t="s">
        <v>48</v>
      </c>
      <c r="C67" s="11" t="s">
        <v>142</v>
      </c>
      <c r="D67" s="11" t="s">
        <v>111</v>
      </c>
      <c r="E67" s="11">
        <v>4.5</v>
      </c>
      <c r="F67" s="11"/>
      <c r="G67" s="11"/>
    </row>
    <row r="68" spans="1:7" x14ac:dyDescent="0.25">
      <c r="A68" s="13">
        <v>45984</v>
      </c>
      <c r="B68" s="11" t="s">
        <v>49</v>
      </c>
      <c r="C68" s="11" t="s">
        <v>120</v>
      </c>
      <c r="D68" s="11" t="s">
        <v>132</v>
      </c>
      <c r="E68" s="11">
        <v>4</v>
      </c>
      <c r="F68" s="11"/>
      <c r="G68" s="11"/>
    </row>
    <row r="69" spans="1:7" x14ac:dyDescent="0.25">
      <c r="A69" s="13">
        <v>45984</v>
      </c>
      <c r="B69" s="11" t="s">
        <v>47</v>
      </c>
      <c r="C69" s="11" t="s">
        <v>120</v>
      </c>
      <c r="D69" s="11" t="s">
        <v>126</v>
      </c>
      <c r="E69" s="11">
        <v>5</v>
      </c>
      <c r="F69" s="11"/>
      <c r="G69" s="11"/>
    </row>
    <row r="70" spans="1:7" x14ac:dyDescent="0.25">
      <c r="A70" s="13">
        <v>45984</v>
      </c>
      <c r="B70" s="11" t="s">
        <v>53</v>
      </c>
      <c r="C70" s="11" t="s">
        <v>157</v>
      </c>
      <c r="D70" s="11" t="s">
        <v>155</v>
      </c>
      <c r="E70" s="11">
        <v>5</v>
      </c>
      <c r="F70" s="11" t="s">
        <v>103</v>
      </c>
      <c r="G70" s="11"/>
    </row>
    <row r="71" spans="1:7" x14ac:dyDescent="0.25">
      <c r="A71" s="13">
        <v>45984</v>
      </c>
      <c r="B71" s="11" t="s">
        <v>47</v>
      </c>
      <c r="C71" s="11" t="s">
        <v>126</v>
      </c>
      <c r="D71" s="11" t="s">
        <v>142</v>
      </c>
      <c r="E71" s="11">
        <v>4.5</v>
      </c>
      <c r="F71" s="11"/>
      <c r="G71" s="11"/>
    </row>
    <row r="72" spans="1:7" x14ac:dyDescent="0.25">
      <c r="A72" s="13">
        <v>45985</v>
      </c>
      <c r="B72" s="11" t="s">
        <v>46</v>
      </c>
      <c r="C72" s="11" t="s">
        <v>233</v>
      </c>
      <c r="D72" s="11" t="s">
        <v>121</v>
      </c>
      <c r="E72" s="11">
        <v>6.5</v>
      </c>
      <c r="F72" s="11" t="s">
        <v>103</v>
      </c>
      <c r="G72" s="11"/>
    </row>
    <row r="73" spans="1:7" x14ac:dyDescent="0.25">
      <c r="A73" s="13">
        <v>45985</v>
      </c>
      <c r="B73" s="11" t="s">
        <v>53</v>
      </c>
      <c r="C73" s="11" t="s">
        <v>296</v>
      </c>
      <c r="D73" s="11" t="s">
        <v>183</v>
      </c>
      <c r="E73" s="11">
        <v>6.5</v>
      </c>
      <c r="F73" s="11" t="s">
        <v>103</v>
      </c>
      <c r="G73" s="11"/>
    </row>
    <row r="74" spans="1:7" x14ac:dyDescent="0.25">
      <c r="A74" s="13">
        <v>45985</v>
      </c>
      <c r="B74" s="11" t="s">
        <v>58</v>
      </c>
      <c r="C74" s="11" t="s">
        <v>233</v>
      </c>
      <c r="D74" s="11" t="s">
        <v>142</v>
      </c>
      <c r="E74" s="11">
        <v>7</v>
      </c>
      <c r="F74" s="11"/>
      <c r="G74" s="11"/>
    </row>
    <row r="75" spans="1:7" x14ac:dyDescent="0.25">
      <c r="A75" s="13">
        <v>45986</v>
      </c>
      <c r="B75" s="11" t="s">
        <v>56</v>
      </c>
      <c r="C75" s="11" t="s">
        <v>120</v>
      </c>
      <c r="D75" s="11" t="s">
        <v>100</v>
      </c>
      <c r="E75" s="11">
        <v>5.5</v>
      </c>
      <c r="F75" s="11"/>
      <c r="G75" s="11"/>
    </row>
    <row r="76" spans="1:7" x14ac:dyDescent="0.25">
      <c r="A76" s="13">
        <v>45987</v>
      </c>
      <c r="B76" s="11" t="s">
        <v>56</v>
      </c>
      <c r="C76" s="11" t="s">
        <v>120</v>
      </c>
      <c r="D76" s="11" t="s">
        <v>100</v>
      </c>
      <c r="E76" s="11">
        <v>5.5</v>
      </c>
      <c r="F76" s="11"/>
      <c r="G76" s="11"/>
    </row>
    <row r="77" spans="1:7" x14ac:dyDescent="0.25">
      <c r="A77" s="13">
        <v>45988</v>
      </c>
      <c r="B77" s="11" t="s">
        <v>56</v>
      </c>
      <c r="C77" s="11" t="s">
        <v>120</v>
      </c>
      <c r="D77" s="11" t="s">
        <v>100</v>
      </c>
      <c r="E77" s="11">
        <v>5.5</v>
      </c>
      <c r="F77" s="11"/>
      <c r="G77" s="11"/>
    </row>
    <row r="78" spans="1:7" x14ac:dyDescent="0.25">
      <c r="A78" s="13">
        <v>45988</v>
      </c>
      <c r="B78" s="11" t="s">
        <v>49</v>
      </c>
      <c r="C78" s="19" t="s">
        <v>223</v>
      </c>
      <c r="D78" s="19" t="s">
        <v>107</v>
      </c>
      <c r="E78" s="11">
        <v>6.5</v>
      </c>
      <c r="F78" s="11"/>
      <c r="G78" s="11"/>
    </row>
    <row r="79" spans="1:7" x14ac:dyDescent="0.25">
      <c r="A79" s="13">
        <v>45989</v>
      </c>
      <c r="B79" s="11"/>
      <c r="C79" s="11"/>
      <c r="D79" s="11"/>
      <c r="E79" s="11"/>
      <c r="F79" s="11"/>
      <c r="G79" s="11"/>
    </row>
    <row r="80" spans="1:7" x14ac:dyDescent="0.25">
      <c r="A80" s="13">
        <v>45990</v>
      </c>
      <c r="B80" s="11"/>
      <c r="C80" s="11"/>
      <c r="D80" s="11"/>
      <c r="E80" s="11"/>
      <c r="F80" s="11"/>
      <c r="G80" s="11"/>
    </row>
    <row r="81" spans="1:7" x14ac:dyDescent="0.25">
      <c r="A81" s="13">
        <v>45991</v>
      </c>
      <c r="B81" s="11" t="s">
        <v>56</v>
      </c>
      <c r="C81" s="11" t="s">
        <v>120</v>
      </c>
      <c r="D81" s="11" t="s">
        <v>126</v>
      </c>
      <c r="E81" s="11">
        <v>5</v>
      </c>
      <c r="F81" s="11"/>
      <c r="G81" s="11"/>
    </row>
    <row r="82" spans="1:7" x14ac:dyDescent="0.25">
      <c r="A82" s="13">
        <v>45991</v>
      </c>
      <c r="B82" s="11" t="s">
        <v>58</v>
      </c>
      <c r="C82" s="11" t="s">
        <v>100</v>
      </c>
      <c r="D82" s="11" t="s">
        <v>111</v>
      </c>
      <c r="E82" s="11">
        <v>7.5</v>
      </c>
      <c r="F82" s="11"/>
      <c r="G82" s="11"/>
    </row>
    <row r="83" spans="1:7" x14ac:dyDescent="0.25">
      <c r="A83" s="13">
        <v>45991</v>
      </c>
      <c r="B83" s="11" t="s">
        <v>53</v>
      </c>
      <c r="C83" s="11" t="s">
        <v>126</v>
      </c>
      <c r="D83" s="11" t="s">
        <v>269</v>
      </c>
      <c r="E83" s="11">
        <v>7.5</v>
      </c>
      <c r="F83" s="11"/>
      <c r="G83" s="11"/>
    </row>
    <row r="84" spans="1:7" x14ac:dyDescent="0.25">
      <c r="A84" s="13">
        <v>45962</v>
      </c>
      <c r="B84" s="11" t="s">
        <v>266</v>
      </c>
      <c r="C84" s="11" t="s">
        <v>188</v>
      </c>
      <c r="D84" s="11" t="s">
        <v>255</v>
      </c>
      <c r="E84" s="11">
        <v>4</v>
      </c>
      <c r="F84" s="11"/>
      <c r="G84" s="11"/>
    </row>
    <row r="85" spans="1:7" x14ac:dyDescent="0.25">
      <c r="A85" s="13">
        <v>45962</v>
      </c>
      <c r="B85" s="11" t="s">
        <v>266</v>
      </c>
      <c r="C85" s="11" t="s">
        <v>102</v>
      </c>
      <c r="D85" s="11" t="s">
        <v>269</v>
      </c>
      <c r="E85" s="11">
        <v>5</v>
      </c>
      <c r="F85" s="11"/>
      <c r="G85" s="11"/>
    </row>
    <row r="86" spans="1:7" x14ac:dyDescent="0.25">
      <c r="A86" s="13">
        <v>45962</v>
      </c>
      <c r="B86" s="11" t="s">
        <v>266</v>
      </c>
      <c r="C86" s="11" t="s">
        <v>102</v>
      </c>
      <c r="D86" s="11" t="s">
        <v>255</v>
      </c>
      <c r="E86" s="11">
        <v>6</v>
      </c>
      <c r="F86" s="11" t="s">
        <v>103</v>
      </c>
      <c r="G86" s="11"/>
    </row>
    <row r="87" spans="1:7" x14ac:dyDescent="0.25">
      <c r="A87" s="13">
        <v>45963</v>
      </c>
      <c r="B87" s="11" t="s">
        <v>270</v>
      </c>
      <c r="C87" s="11" t="s">
        <v>130</v>
      </c>
      <c r="D87" s="11" t="s">
        <v>100</v>
      </c>
      <c r="E87" s="11">
        <v>6.5</v>
      </c>
      <c r="F87" s="11" t="s">
        <v>103</v>
      </c>
      <c r="G87" s="11"/>
    </row>
    <row r="88" spans="1:7" x14ac:dyDescent="0.25">
      <c r="A88" s="13">
        <v>45963</v>
      </c>
      <c r="B88" s="11" t="s">
        <v>271</v>
      </c>
      <c r="C88" s="11" t="s">
        <v>130</v>
      </c>
      <c r="D88" s="11" t="s">
        <v>126</v>
      </c>
      <c r="E88" s="11">
        <v>5.5</v>
      </c>
      <c r="F88" s="11" t="s">
        <v>103</v>
      </c>
      <c r="G88" s="11"/>
    </row>
    <row r="89" spans="1:7" x14ac:dyDescent="0.25">
      <c r="A89" s="13">
        <v>45963</v>
      </c>
      <c r="B89" s="11" t="s">
        <v>272</v>
      </c>
      <c r="C89" s="11" t="s">
        <v>130</v>
      </c>
      <c r="D89" s="11" t="s">
        <v>100</v>
      </c>
      <c r="E89" s="11">
        <v>6.5</v>
      </c>
      <c r="F89" s="11" t="s">
        <v>103</v>
      </c>
      <c r="G89" s="11"/>
    </row>
    <row r="90" spans="1:7" x14ac:dyDescent="0.25">
      <c r="A90" s="13">
        <v>45963</v>
      </c>
      <c r="B90" s="11" t="s">
        <v>273</v>
      </c>
      <c r="C90" s="11" t="s">
        <v>120</v>
      </c>
      <c r="D90" s="11" t="s">
        <v>100</v>
      </c>
      <c r="E90" s="11">
        <v>5.5</v>
      </c>
      <c r="F90" s="11" t="s">
        <v>103</v>
      </c>
      <c r="G90" s="11"/>
    </row>
    <row r="91" spans="1:7" x14ac:dyDescent="0.25">
      <c r="A91" s="13">
        <v>45964</v>
      </c>
      <c r="B91" s="11" t="s">
        <v>274</v>
      </c>
      <c r="C91" s="11" t="s">
        <v>233</v>
      </c>
      <c r="D91" s="11" t="s">
        <v>100</v>
      </c>
      <c r="E91" s="11">
        <v>4</v>
      </c>
      <c r="F91" s="11"/>
      <c r="G91" s="11"/>
    </row>
    <row r="92" spans="1:7" x14ac:dyDescent="0.25">
      <c r="A92" s="13">
        <v>45964</v>
      </c>
      <c r="B92" s="11" t="s">
        <v>275</v>
      </c>
      <c r="C92" s="11" t="s">
        <v>233</v>
      </c>
      <c r="D92" s="11" t="s">
        <v>100</v>
      </c>
      <c r="E92" s="11">
        <v>4</v>
      </c>
      <c r="F92" s="11"/>
      <c r="G92" s="11"/>
    </row>
    <row r="93" spans="1:7" x14ac:dyDescent="0.25">
      <c r="A93" s="13">
        <v>45964</v>
      </c>
      <c r="B93" s="11" t="s">
        <v>276</v>
      </c>
      <c r="C93" s="11" t="s">
        <v>233</v>
      </c>
      <c r="D93" s="11" t="s">
        <v>100</v>
      </c>
      <c r="E93" s="11">
        <v>4</v>
      </c>
      <c r="F93" s="11"/>
      <c r="G93" s="11"/>
    </row>
    <row r="94" spans="1:7" x14ac:dyDescent="0.25">
      <c r="A94" s="13">
        <v>45966</v>
      </c>
      <c r="B94" s="11" t="s">
        <v>277</v>
      </c>
      <c r="C94" s="11" t="s">
        <v>181</v>
      </c>
      <c r="D94" s="11" t="s">
        <v>166</v>
      </c>
      <c r="E94" s="11">
        <v>4.5</v>
      </c>
      <c r="F94" s="11"/>
      <c r="G94" s="11"/>
    </row>
    <row r="95" spans="1:7" x14ac:dyDescent="0.25">
      <c r="A95" s="13">
        <v>45966</v>
      </c>
      <c r="B95" s="11" t="s">
        <v>278</v>
      </c>
      <c r="C95" s="11" t="s">
        <v>181</v>
      </c>
      <c r="D95" s="11" t="s">
        <v>166</v>
      </c>
      <c r="E95" s="11">
        <v>4.5</v>
      </c>
      <c r="F95" s="11"/>
      <c r="G95" s="11"/>
    </row>
    <row r="96" spans="1:7" x14ac:dyDescent="0.25">
      <c r="A96" s="13">
        <v>45972</v>
      </c>
      <c r="B96" s="11" t="s">
        <v>279</v>
      </c>
      <c r="C96" s="11" t="s">
        <v>130</v>
      </c>
      <c r="D96" s="11" t="s">
        <v>132</v>
      </c>
      <c r="E96" s="11">
        <v>5</v>
      </c>
      <c r="F96" s="11"/>
      <c r="G96" s="11"/>
    </row>
    <row r="97" spans="1:7" x14ac:dyDescent="0.25">
      <c r="A97" s="13">
        <v>45972</v>
      </c>
      <c r="B97" s="11" t="s">
        <v>280</v>
      </c>
      <c r="C97" s="11" t="s">
        <v>130</v>
      </c>
      <c r="D97" s="11" t="s">
        <v>132</v>
      </c>
      <c r="E97" s="11">
        <v>5</v>
      </c>
      <c r="F97" s="11"/>
      <c r="G97" s="11"/>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06B1-B990-4889-BC93-56CA0E991868}">
  <sheetPr>
    <tabColor theme="9" tint="0.39997558519241921"/>
  </sheetPr>
  <dimension ref="A1:G77"/>
  <sheetViews>
    <sheetView workbookViewId="0">
      <selection activeCell="A2" sqref="A1:B1048576"/>
    </sheetView>
  </sheetViews>
  <sheetFormatPr defaultRowHeight="15" x14ac:dyDescent="0.25"/>
  <cols>
    <col min="1" max="1" width="13" customWidth="1"/>
    <col min="2" max="2" width="79.85546875" customWidth="1"/>
    <col min="3" max="3" width="11.7109375" customWidth="1"/>
    <col min="4" max="4" width="12.140625" customWidth="1"/>
    <col min="5" max="5" width="15.28515625" customWidth="1"/>
    <col min="6" max="6" width="27.140625" customWidth="1"/>
    <col min="7" max="7" width="19.28515625" bestFit="1" customWidth="1"/>
  </cols>
  <sheetData>
    <row r="1" spans="1:7" x14ac:dyDescent="0.25">
      <c r="A1" s="9" t="s">
        <v>83</v>
      </c>
      <c r="B1" s="9" t="s">
        <v>84</v>
      </c>
      <c r="C1" s="9" t="s">
        <v>85</v>
      </c>
      <c r="D1" s="9" t="s">
        <v>86</v>
      </c>
      <c r="E1" s="9" t="s">
        <v>16</v>
      </c>
      <c r="F1" s="9" t="s">
        <v>87</v>
      </c>
      <c r="G1" s="9" t="s">
        <v>25</v>
      </c>
    </row>
    <row r="2" spans="1:7" x14ac:dyDescent="0.25">
      <c r="A2" s="13">
        <v>45992</v>
      </c>
      <c r="B2" s="11"/>
      <c r="C2" s="11"/>
      <c r="D2" s="11"/>
      <c r="E2" s="11"/>
      <c r="F2" s="11"/>
      <c r="G2" s="12">
        <f>SUM(E:E)</f>
        <v>378.5</v>
      </c>
    </row>
    <row r="3" spans="1:7" x14ac:dyDescent="0.25">
      <c r="A3" s="13">
        <v>45993</v>
      </c>
      <c r="B3" s="11" t="s">
        <v>56</v>
      </c>
      <c r="C3" s="11" t="s">
        <v>120</v>
      </c>
      <c r="D3" s="11" t="s">
        <v>100</v>
      </c>
      <c r="E3" s="11">
        <v>5.5</v>
      </c>
      <c r="F3" s="11"/>
      <c r="G3" s="11"/>
    </row>
    <row r="4" spans="1:7" x14ac:dyDescent="0.25">
      <c r="A4" s="13">
        <v>45993</v>
      </c>
      <c r="B4" s="11" t="s">
        <v>49</v>
      </c>
      <c r="C4" s="11" t="s">
        <v>121</v>
      </c>
      <c r="D4" s="11" t="s">
        <v>155</v>
      </c>
      <c r="E4" s="11">
        <v>2</v>
      </c>
      <c r="F4" s="11"/>
      <c r="G4" s="11"/>
    </row>
    <row r="5" spans="1:7" x14ac:dyDescent="0.25">
      <c r="A5" s="13">
        <v>45994</v>
      </c>
      <c r="B5" s="11" t="s">
        <v>53</v>
      </c>
      <c r="C5" s="11" t="s">
        <v>142</v>
      </c>
      <c r="D5" s="11" t="s">
        <v>185</v>
      </c>
      <c r="E5" s="11">
        <v>3</v>
      </c>
      <c r="F5" s="11"/>
      <c r="G5" s="11"/>
    </row>
    <row r="6" spans="1:7" x14ac:dyDescent="0.25">
      <c r="A6" s="13">
        <v>45994</v>
      </c>
      <c r="B6" s="11" t="s">
        <v>56</v>
      </c>
      <c r="C6" s="11" t="s">
        <v>120</v>
      </c>
      <c r="D6" s="11" t="s">
        <v>100</v>
      </c>
      <c r="E6" s="11">
        <v>5.5</v>
      </c>
      <c r="F6" s="11"/>
      <c r="G6" s="11"/>
    </row>
    <row r="7" spans="1:7" x14ac:dyDescent="0.25">
      <c r="A7" s="13">
        <v>45995</v>
      </c>
      <c r="B7" s="11" t="s">
        <v>56</v>
      </c>
      <c r="C7" s="11" t="s">
        <v>121</v>
      </c>
      <c r="D7" s="11" t="s">
        <v>111</v>
      </c>
      <c r="E7" s="11">
        <v>5</v>
      </c>
      <c r="F7" s="11"/>
      <c r="G7" s="11"/>
    </row>
    <row r="8" spans="1:7" x14ac:dyDescent="0.25">
      <c r="A8" s="13">
        <v>45995</v>
      </c>
      <c r="B8" s="11" t="s">
        <v>56</v>
      </c>
      <c r="C8" s="11" t="s">
        <v>120</v>
      </c>
      <c r="D8" s="11" t="s">
        <v>100</v>
      </c>
      <c r="E8" s="11">
        <v>5.5</v>
      </c>
      <c r="F8" s="11"/>
      <c r="G8" s="11"/>
    </row>
    <row r="9" spans="1:7" x14ac:dyDescent="0.25">
      <c r="A9" s="13">
        <v>45996</v>
      </c>
      <c r="B9" s="11" t="s">
        <v>56</v>
      </c>
      <c r="C9" s="11" t="s">
        <v>120</v>
      </c>
      <c r="D9" s="11" t="s">
        <v>100</v>
      </c>
      <c r="E9" s="11">
        <v>5.5</v>
      </c>
      <c r="F9" s="11"/>
      <c r="G9" s="11"/>
    </row>
    <row r="10" spans="1:7" x14ac:dyDescent="0.25">
      <c r="A10" s="13">
        <v>45996</v>
      </c>
      <c r="B10" s="11" t="s">
        <v>47</v>
      </c>
      <c r="C10" s="11" t="s">
        <v>188</v>
      </c>
      <c r="D10" s="11" t="s">
        <v>255</v>
      </c>
      <c r="E10" s="11">
        <v>4</v>
      </c>
      <c r="F10" s="11"/>
      <c r="G10" s="11"/>
    </row>
    <row r="11" spans="1:7" x14ac:dyDescent="0.25">
      <c r="A11" s="13">
        <v>45997</v>
      </c>
      <c r="B11" s="11" t="s">
        <v>53</v>
      </c>
      <c r="C11" s="11" t="s">
        <v>132</v>
      </c>
      <c r="D11" s="11" t="s">
        <v>102</v>
      </c>
      <c r="E11" s="11">
        <v>4</v>
      </c>
      <c r="F11" s="11"/>
      <c r="G11" s="11"/>
    </row>
    <row r="12" spans="1:7" x14ac:dyDescent="0.25">
      <c r="A12" s="13">
        <v>45997</v>
      </c>
      <c r="B12" s="11" t="s">
        <v>56</v>
      </c>
      <c r="C12" s="11" t="s">
        <v>120</v>
      </c>
      <c r="D12" s="11" t="s">
        <v>100</v>
      </c>
      <c r="E12" s="11">
        <v>5.5</v>
      </c>
      <c r="F12" s="11"/>
      <c r="G12" s="11"/>
    </row>
    <row r="13" spans="1:7" x14ac:dyDescent="0.25">
      <c r="A13" s="13">
        <v>45997</v>
      </c>
      <c r="B13" s="11" t="s">
        <v>53</v>
      </c>
      <c r="C13" s="11" t="s">
        <v>121</v>
      </c>
      <c r="D13" s="11" t="s">
        <v>255</v>
      </c>
      <c r="E13" s="11">
        <v>5</v>
      </c>
      <c r="F13" s="11"/>
      <c r="G13" s="11"/>
    </row>
    <row r="14" spans="1:7" x14ac:dyDescent="0.25">
      <c r="A14" s="13">
        <v>45998</v>
      </c>
      <c r="B14" s="11" t="s">
        <v>56</v>
      </c>
      <c r="C14" s="11" t="s">
        <v>120</v>
      </c>
      <c r="D14" s="11" t="s">
        <v>126</v>
      </c>
      <c r="E14" s="11">
        <v>5</v>
      </c>
      <c r="F14" s="11"/>
      <c r="G14" s="11"/>
    </row>
    <row r="15" spans="1:7" x14ac:dyDescent="0.25">
      <c r="A15" s="13">
        <v>45998</v>
      </c>
      <c r="B15" s="11" t="s">
        <v>48</v>
      </c>
      <c r="C15" s="11" t="s">
        <v>188</v>
      </c>
      <c r="D15" s="11" t="s">
        <v>172</v>
      </c>
      <c r="E15" s="11">
        <v>4.5</v>
      </c>
      <c r="F15" s="11"/>
      <c r="G15" s="11"/>
    </row>
    <row r="16" spans="1:7" x14ac:dyDescent="0.25">
      <c r="A16" s="13">
        <v>45998</v>
      </c>
      <c r="B16" s="11" t="s">
        <v>48</v>
      </c>
      <c r="C16" s="11" t="s">
        <v>105</v>
      </c>
      <c r="D16" s="11" t="s">
        <v>188</v>
      </c>
      <c r="E16" s="11">
        <v>3.5</v>
      </c>
      <c r="F16" s="11"/>
      <c r="G16" s="11"/>
    </row>
    <row r="17" spans="1:7" x14ac:dyDescent="0.25">
      <c r="A17" s="13">
        <v>45998</v>
      </c>
      <c r="B17" s="11" t="s">
        <v>56</v>
      </c>
      <c r="C17" s="11" t="s">
        <v>126</v>
      </c>
      <c r="D17" s="11" t="s">
        <v>219</v>
      </c>
      <c r="E17" s="11">
        <v>5</v>
      </c>
      <c r="F17" s="11"/>
      <c r="G17" s="11"/>
    </row>
    <row r="18" spans="1:7" x14ac:dyDescent="0.25">
      <c r="A18" s="13">
        <v>45998</v>
      </c>
      <c r="B18" s="11" t="s">
        <v>49</v>
      </c>
      <c r="C18" s="11" t="s">
        <v>99</v>
      </c>
      <c r="D18" s="11" t="s">
        <v>132</v>
      </c>
      <c r="E18" s="11">
        <v>3</v>
      </c>
      <c r="F18" s="11"/>
      <c r="G18" s="11"/>
    </row>
    <row r="19" spans="1:7" x14ac:dyDescent="0.25">
      <c r="A19" s="13">
        <v>45998</v>
      </c>
      <c r="B19" s="11" t="s">
        <v>47</v>
      </c>
      <c r="C19" s="11" t="s">
        <v>99</v>
      </c>
      <c r="D19" s="11" t="s">
        <v>100</v>
      </c>
      <c r="E19" s="11">
        <v>5</v>
      </c>
      <c r="F19" s="11"/>
      <c r="G19" s="11"/>
    </row>
    <row r="20" spans="1:7" x14ac:dyDescent="0.25">
      <c r="A20" s="13">
        <v>45999</v>
      </c>
      <c r="B20" s="11" t="s">
        <v>53</v>
      </c>
      <c r="C20" s="11" t="s">
        <v>120</v>
      </c>
      <c r="D20" s="11" t="s">
        <v>126</v>
      </c>
      <c r="E20" s="11">
        <v>5</v>
      </c>
      <c r="F20" s="11"/>
      <c r="G20" s="11"/>
    </row>
    <row r="21" spans="1:7" x14ac:dyDescent="0.25">
      <c r="A21" s="13">
        <v>45999</v>
      </c>
      <c r="B21" s="11" t="s">
        <v>58</v>
      </c>
      <c r="C21" s="11" t="s">
        <v>126</v>
      </c>
      <c r="D21" s="11" t="s">
        <v>188</v>
      </c>
      <c r="E21" s="11">
        <v>5</v>
      </c>
      <c r="F21" s="11"/>
      <c r="G21" s="11"/>
    </row>
    <row r="22" spans="1:7" x14ac:dyDescent="0.25">
      <c r="A22" s="13">
        <v>45999</v>
      </c>
      <c r="B22" s="11" t="s">
        <v>53</v>
      </c>
      <c r="C22" s="11" t="s">
        <v>126</v>
      </c>
      <c r="D22" s="11" t="s">
        <v>111</v>
      </c>
      <c r="E22" s="11">
        <v>8</v>
      </c>
      <c r="F22" s="11"/>
      <c r="G22" s="11"/>
    </row>
    <row r="23" spans="1:7" x14ac:dyDescent="0.25">
      <c r="A23" s="13">
        <v>46000</v>
      </c>
      <c r="B23" s="11" t="s">
        <v>56</v>
      </c>
      <c r="C23" s="11" t="s">
        <v>120</v>
      </c>
      <c r="D23" s="11" t="s">
        <v>100</v>
      </c>
      <c r="E23" s="11">
        <v>5.5</v>
      </c>
      <c r="F23" s="11"/>
      <c r="G23" s="11"/>
    </row>
    <row r="24" spans="1:7" x14ac:dyDescent="0.25">
      <c r="A24" s="13">
        <v>46000</v>
      </c>
      <c r="B24" s="11" t="s">
        <v>49</v>
      </c>
      <c r="C24" s="11" t="s">
        <v>121</v>
      </c>
      <c r="D24" s="11" t="s">
        <v>155</v>
      </c>
      <c r="E24" s="11">
        <v>2</v>
      </c>
      <c r="F24" s="11"/>
      <c r="G24" s="11"/>
    </row>
    <row r="25" spans="1:7" x14ac:dyDescent="0.25">
      <c r="A25" s="13">
        <v>46001</v>
      </c>
      <c r="B25" s="11" t="s">
        <v>56</v>
      </c>
      <c r="C25" s="11" t="s">
        <v>120</v>
      </c>
      <c r="D25" s="11" t="s">
        <v>223</v>
      </c>
      <c r="E25" s="11">
        <v>6</v>
      </c>
      <c r="F25" s="11"/>
      <c r="G25" s="11"/>
    </row>
    <row r="26" spans="1:7" x14ac:dyDescent="0.25">
      <c r="A26" s="13">
        <v>46001</v>
      </c>
      <c r="B26" s="11" t="s">
        <v>53</v>
      </c>
      <c r="C26" s="11" t="s">
        <v>142</v>
      </c>
      <c r="D26" s="11" t="s">
        <v>185</v>
      </c>
      <c r="E26" s="11">
        <v>3</v>
      </c>
      <c r="F26" s="11"/>
      <c r="G26" s="11"/>
    </row>
    <row r="27" spans="1:7" x14ac:dyDescent="0.25">
      <c r="A27" s="13">
        <v>46002</v>
      </c>
      <c r="B27" s="11" t="s">
        <v>49</v>
      </c>
      <c r="C27" s="11" t="s">
        <v>121</v>
      </c>
      <c r="D27" s="11" t="s">
        <v>107</v>
      </c>
      <c r="E27" s="11">
        <v>4.5</v>
      </c>
      <c r="F27" s="11"/>
      <c r="G27" s="11"/>
    </row>
    <row r="28" spans="1:7" x14ac:dyDescent="0.25">
      <c r="A28" s="13">
        <v>46002</v>
      </c>
      <c r="B28" s="11" t="s">
        <v>56</v>
      </c>
      <c r="C28" s="11" t="s">
        <v>120</v>
      </c>
      <c r="D28" s="11" t="s">
        <v>100</v>
      </c>
      <c r="E28" s="11">
        <v>5.5</v>
      </c>
      <c r="F28" s="11"/>
      <c r="G28" s="11"/>
    </row>
    <row r="29" spans="1:7" x14ac:dyDescent="0.25">
      <c r="A29" s="13">
        <v>46003</v>
      </c>
      <c r="B29" s="11" t="s">
        <v>56</v>
      </c>
      <c r="C29" s="11" t="s">
        <v>219</v>
      </c>
      <c r="D29" s="11" t="s">
        <v>172</v>
      </c>
      <c r="E29" s="11">
        <v>5</v>
      </c>
      <c r="F29" s="11"/>
      <c r="G29" s="11"/>
    </row>
    <row r="30" spans="1:7" x14ac:dyDescent="0.25">
      <c r="A30" s="13">
        <v>46003</v>
      </c>
      <c r="B30" s="11" t="s">
        <v>49</v>
      </c>
      <c r="C30" s="11" t="s">
        <v>132</v>
      </c>
      <c r="D30" s="11" t="s">
        <v>102</v>
      </c>
      <c r="E30" s="11">
        <v>4</v>
      </c>
      <c r="F30" s="11"/>
      <c r="G30" s="11"/>
    </row>
    <row r="31" spans="1:7" x14ac:dyDescent="0.25">
      <c r="A31" s="13">
        <v>46003</v>
      </c>
      <c r="B31" s="11" t="s">
        <v>56</v>
      </c>
      <c r="C31" s="11" t="s">
        <v>120</v>
      </c>
      <c r="D31" s="11" t="s">
        <v>100</v>
      </c>
      <c r="E31" s="11">
        <v>5.5</v>
      </c>
      <c r="F31" s="11"/>
      <c r="G31" s="11"/>
    </row>
    <row r="32" spans="1:7" x14ac:dyDescent="0.25">
      <c r="A32" s="13">
        <v>46004</v>
      </c>
      <c r="B32" s="11" t="s">
        <v>56</v>
      </c>
      <c r="C32" s="11" t="s">
        <v>181</v>
      </c>
      <c r="D32" s="11" t="s">
        <v>107</v>
      </c>
      <c r="E32" s="11">
        <v>5.5</v>
      </c>
      <c r="F32" s="11"/>
      <c r="G32" s="11"/>
    </row>
    <row r="33" spans="1:7" x14ac:dyDescent="0.25">
      <c r="A33" s="13">
        <v>46004</v>
      </c>
      <c r="B33" s="11" t="s">
        <v>53</v>
      </c>
      <c r="C33" s="11" t="s">
        <v>181</v>
      </c>
      <c r="D33" s="11" t="s">
        <v>111</v>
      </c>
      <c r="E33" s="11">
        <v>6</v>
      </c>
      <c r="F33" s="11"/>
      <c r="G33" s="11"/>
    </row>
    <row r="34" spans="1:7" x14ac:dyDescent="0.25">
      <c r="A34" s="13">
        <v>46004</v>
      </c>
      <c r="B34" s="11" t="s">
        <v>56</v>
      </c>
      <c r="C34" s="11" t="s">
        <v>120</v>
      </c>
      <c r="D34" s="11" t="s">
        <v>100</v>
      </c>
      <c r="E34" s="11">
        <v>5.5</v>
      </c>
      <c r="F34" s="11"/>
      <c r="G34" s="11"/>
    </row>
    <row r="35" spans="1:7" x14ac:dyDescent="0.25">
      <c r="A35" s="13">
        <v>46005</v>
      </c>
      <c r="B35" s="11" t="s">
        <v>47</v>
      </c>
      <c r="C35" s="11" t="s">
        <v>99</v>
      </c>
      <c r="D35" s="11" t="s">
        <v>100</v>
      </c>
      <c r="E35" s="11">
        <v>5</v>
      </c>
      <c r="F35" s="11"/>
      <c r="G35" s="11"/>
    </row>
    <row r="36" spans="1:7" x14ac:dyDescent="0.25">
      <c r="A36" s="13">
        <v>46005</v>
      </c>
      <c r="B36" s="11" t="s">
        <v>49</v>
      </c>
      <c r="C36" s="11" t="s">
        <v>99</v>
      </c>
      <c r="D36" s="11" t="s">
        <v>132</v>
      </c>
      <c r="E36" s="11">
        <v>3</v>
      </c>
      <c r="F36" s="11"/>
      <c r="G36" s="11"/>
    </row>
    <row r="37" spans="1:7" x14ac:dyDescent="0.25">
      <c r="A37" s="13">
        <v>46005</v>
      </c>
      <c r="B37" s="11" t="s">
        <v>53</v>
      </c>
      <c r="C37" s="11" t="s">
        <v>118</v>
      </c>
      <c r="D37" s="11" t="s">
        <v>102</v>
      </c>
      <c r="E37" s="11">
        <v>5.5</v>
      </c>
      <c r="F37" s="11"/>
      <c r="G37" s="11"/>
    </row>
    <row r="38" spans="1:7" x14ac:dyDescent="0.25">
      <c r="A38" s="13">
        <v>46005</v>
      </c>
      <c r="B38" s="11" t="s">
        <v>58</v>
      </c>
      <c r="C38" s="11" t="s">
        <v>100</v>
      </c>
      <c r="D38" s="11" t="s">
        <v>177</v>
      </c>
      <c r="E38" s="11">
        <v>5</v>
      </c>
      <c r="F38" s="11"/>
      <c r="G38" s="11"/>
    </row>
    <row r="39" spans="1:7" x14ac:dyDescent="0.25">
      <c r="A39" s="13">
        <v>46005</v>
      </c>
      <c r="B39" s="11" t="s">
        <v>58</v>
      </c>
      <c r="C39" s="11" t="s">
        <v>177</v>
      </c>
      <c r="D39" s="11" t="s">
        <v>226</v>
      </c>
      <c r="E39" s="11">
        <v>5</v>
      </c>
      <c r="F39" s="11"/>
      <c r="G39" s="11"/>
    </row>
    <row r="40" spans="1:7" x14ac:dyDescent="0.25">
      <c r="A40" s="13">
        <v>46005</v>
      </c>
      <c r="B40" s="11" t="s">
        <v>56</v>
      </c>
      <c r="C40" s="11" t="s">
        <v>120</v>
      </c>
      <c r="D40" s="11" t="s">
        <v>126</v>
      </c>
      <c r="E40" s="11">
        <v>5</v>
      </c>
      <c r="F40" s="11"/>
      <c r="G40" s="11"/>
    </row>
    <row r="41" spans="1:7" x14ac:dyDescent="0.25">
      <c r="A41" s="13">
        <v>46006</v>
      </c>
      <c r="B41" s="11" t="s">
        <v>48</v>
      </c>
      <c r="C41" s="11" t="s">
        <v>107</v>
      </c>
      <c r="D41" s="11" t="s">
        <v>223</v>
      </c>
      <c r="E41" s="11">
        <v>5</v>
      </c>
      <c r="F41" s="11"/>
      <c r="G41" s="11"/>
    </row>
    <row r="42" spans="1:7" x14ac:dyDescent="0.25">
      <c r="A42" s="13">
        <v>46006</v>
      </c>
      <c r="B42" s="11" t="s">
        <v>53</v>
      </c>
      <c r="C42" s="11" t="s">
        <v>99</v>
      </c>
      <c r="D42" s="11" t="s">
        <v>105</v>
      </c>
      <c r="E42" s="11">
        <v>5.5</v>
      </c>
      <c r="F42" s="11"/>
      <c r="G42" s="11"/>
    </row>
    <row r="43" spans="1:7" x14ac:dyDescent="0.25">
      <c r="A43" s="13">
        <v>46006</v>
      </c>
      <c r="B43" s="11" t="s">
        <v>53</v>
      </c>
      <c r="C43" s="11" t="s">
        <v>105</v>
      </c>
      <c r="D43" s="11" t="s">
        <v>111</v>
      </c>
      <c r="E43" s="11">
        <v>6.5</v>
      </c>
      <c r="F43" s="11"/>
      <c r="G43" s="11"/>
    </row>
    <row r="44" spans="1:7" x14ac:dyDescent="0.25">
      <c r="A44" s="13">
        <v>46006</v>
      </c>
      <c r="B44" s="11" t="s">
        <v>58</v>
      </c>
      <c r="C44" s="11" t="s">
        <v>104</v>
      </c>
      <c r="D44" s="11" t="s">
        <v>155</v>
      </c>
      <c r="E44" s="11">
        <v>7.5</v>
      </c>
      <c r="F44" s="11"/>
      <c r="G44" s="11"/>
    </row>
    <row r="45" spans="1:7" x14ac:dyDescent="0.25">
      <c r="A45" s="13">
        <v>46007</v>
      </c>
      <c r="B45" s="11" t="s">
        <v>49</v>
      </c>
      <c r="C45" s="11" t="s">
        <v>118</v>
      </c>
      <c r="D45" s="11" t="s">
        <v>102</v>
      </c>
      <c r="E45" s="11">
        <v>6</v>
      </c>
      <c r="F45" s="11"/>
      <c r="G45" s="11"/>
    </row>
    <row r="46" spans="1:7" x14ac:dyDescent="0.25">
      <c r="A46" s="13">
        <v>46007</v>
      </c>
      <c r="B46" s="11" t="s">
        <v>49</v>
      </c>
      <c r="C46" s="11" t="s">
        <v>121</v>
      </c>
      <c r="D46" s="11" t="s">
        <v>155</v>
      </c>
      <c r="E46" s="11">
        <v>2</v>
      </c>
      <c r="F46" s="11"/>
      <c r="G46" s="11"/>
    </row>
    <row r="47" spans="1:7" x14ac:dyDescent="0.25">
      <c r="A47" s="13">
        <v>46007</v>
      </c>
      <c r="B47" s="11" t="s">
        <v>56</v>
      </c>
      <c r="C47" s="11" t="s">
        <v>120</v>
      </c>
      <c r="D47" s="11" t="s">
        <v>100</v>
      </c>
      <c r="E47" s="11">
        <v>5.5</v>
      </c>
      <c r="F47" s="11"/>
      <c r="G47" s="11"/>
    </row>
    <row r="48" spans="1:7" x14ac:dyDescent="0.25">
      <c r="A48" s="13">
        <v>46008</v>
      </c>
      <c r="B48" s="11" t="s">
        <v>53</v>
      </c>
      <c r="C48" s="11" t="s">
        <v>142</v>
      </c>
      <c r="D48" s="11" t="s">
        <v>185</v>
      </c>
      <c r="E48" s="11">
        <v>3</v>
      </c>
      <c r="F48" s="11"/>
      <c r="G48" s="11"/>
    </row>
    <row r="49" spans="1:7" x14ac:dyDescent="0.25">
      <c r="A49" s="13">
        <v>46008</v>
      </c>
      <c r="B49" s="11" t="s">
        <v>56</v>
      </c>
      <c r="C49" s="11" t="s">
        <v>120</v>
      </c>
      <c r="D49" s="11" t="s">
        <v>100</v>
      </c>
      <c r="E49" s="11">
        <v>5.5</v>
      </c>
      <c r="F49" s="11"/>
      <c r="G49" s="11"/>
    </row>
    <row r="50" spans="1:7" x14ac:dyDescent="0.25">
      <c r="A50" s="13">
        <v>46009</v>
      </c>
      <c r="B50" s="11" t="s">
        <v>49</v>
      </c>
      <c r="C50" s="11" t="s">
        <v>121</v>
      </c>
      <c r="D50" s="11" t="s">
        <v>107</v>
      </c>
      <c r="E50" s="11">
        <v>4.5</v>
      </c>
      <c r="F50" s="11"/>
      <c r="G50" s="11"/>
    </row>
    <row r="51" spans="1:7" x14ac:dyDescent="0.25">
      <c r="A51" s="13">
        <v>46009</v>
      </c>
      <c r="B51" s="11" t="s">
        <v>56</v>
      </c>
      <c r="C51" s="11" t="s">
        <v>120</v>
      </c>
      <c r="D51" s="11" t="s">
        <v>100</v>
      </c>
      <c r="E51" s="11">
        <v>5.5</v>
      </c>
      <c r="F51" s="11"/>
      <c r="G51" s="11"/>
    </row>
    <row r="52" spans="1:7" x14ac:dyDescent="0.25">
      <c r="A52" s="13">
        <v>46010</v>
      </c>
      <c r="B52" s="11" t="s">
        <v>56</v>
      </c>
      <c r="C52" s="11" t="s">
        <v>155</v>
      </c>
      <c r="D52" s="11" t="s">
        <v>111</v>
      </c>
      <c r="E52" s="11">
        <v>3</v>
      </c>
      <c r="F52" s="11"/>
      <c r="G52" s="11"/>
    </row>
    <row r="53" spans="1:7" x14ac:dyDescent="0.25">
      <c r="A53" s="13">
        <v>46010</v>
      </c>
      <c r="B53" s="11" t="s">
        <v>56</v>
      </c>
      <c r="C53" s="11" t="s">
        <v>120</v>
      </c>
      <c r="D53" s="11" t="s">
        <v>100</v>
      </c>
      <c r="E53" s="11">
        <v>5.5</v>
      </c>
      <c r="F53" s="11"/>
      <c r="G53" s="11"/>
    </row>
    <row r="54" spans="1:7" x14ac:dyDescent="0.25">
      <c r="A54" s="13">
        <v>46011</v>
      </c>
      <c r="B54" s="11" t="s">
        <v>56</v>
      </c>
      <c r="C54" s="11" t="s">
        <v>120</v>
      </c>
      <c r="D54" s="11" t="s">
        <v>100</v>
      </c>
      <c r="E54" s="11">
        <v>5.5</v>
      </c>
      <c r="F54" s="11"/>
      <c r="G54" s="11"/>
    </row>
    <row r="55" spans="1:7" x14ac:dyDescent="0.25">
      <c r="A55" s="13">
        <v>46012</v>
      </c>
      <c r="B55" s="11" t="s">
        <v>58</v>
      </c>
      <c r="C55" s="11" t="s">
        <v>126</v>
      </c>
      <c r="D55" s="11" t="s">
        <v>166</v>
      </c>
      <c r="E55" s="11">
        <v>6.5</v>
      </c>
      <c r="F55" s="11"/>
      <c r="G55" s="11"/>
    </row>
    <row r="56" spans="1:7" x14ac:dyDescent="0.25">
      <c r="A56" s="13">
        <v>46012</v>
      </c>
      <c r="B56" s="11" t="s">
        <v>56</v>
      </c>
      <c r="C56" s="11" t="s">
        <v>120</v>
      </c>
      <c r="D56" s="11" t="s">
        <v>126</v>
      </c>
      <c r="E56" s="11">
        <v>5</v>
      </c>
      <c r="F56" s="11"/>
      <c r="G56" s="11"/>
    </row>
    <row r="57" spans="1:7" x14ac:dyDescent="0.25">
      <c r="A57" s="13">
        <v>45992</v>
      </c>
      <c r="B57" s="11" t="s">
        <v>281</v>
      </c>
      <c r="C57" s="11" t="s">
        <v>233</v>
      </c>
      <c r="D57" s="11" t="s">
        <v>102</v>
      </c>
      <c r="E57" s="11">
        <v>5.5</v>
      </c>
      <c r="F57" s="11"/>
      <c r="G57" s="11"/>
    </row>
    <row r="58" spans="1:7" x14ac:dyDescent="0.25">
      <c r="A58" s="13">
        <v>45992</v>
      </c>
      <c r="B58" s="11" t="s">
        <v>282</v>
      </c>
      <c r="C58" s="11" t="s">
        <v>233</v>
      </c>
      <c r="D58" s="11" t="s">
        <v>102</v>
      </c>
      <c r="E58" s="11">
        <v>5.5</v>
      </c>
      <c r="F58" s="11"/>
      <c r="G58" s="11"/>
    </row>
    <row r="59" spans="1:7" x14ac:dyDescent="0.25">
      <c r="A59" s="13">
        <v>45992</v>
      </c>
      <c r="B59" s="11" t="s">
        <v>283</v>
      </c>
      <c r="C59" s="11" t="s">
        <v>233</v>
      </c>
      <c r="D59" s="11" t="s">
        <v>102</v>
      </c>
      <c r="E59" s="11">
        <v>5.5</v>
      </c>
      <c r="F59" s="11"/>
      <c r="G59" s="11"/>
    </row>
    <row r="60" spans="1:7" x14ac:dyDescent="0.25">
      <c r="A60" s="13">
        <v>45994</v>
      </c>
      <c r="B60" s="11" t="s">
        <v>281</v>
      </c>
      <c r="C60" s="11" t="s">
        <v>233</v>
      </c>
      <c r="D60" s="11" t="s">
        <v>105</v>
      </c>
      <c r="E60" s="11">
        <v>5</v>
      </c>
      <c r="F60" s="11"/>
      <c r="G60" s="11"/>
    </row>
    <row r="61" spans="1:7" x14ac:dyDescent="0.25">
      <c r="A61" s="13">
        <v>45994</v>
      </c>
      <c r="B61" s="11" t="s">
        <v>282</v>
      </c>
      <c r="C61" s="11" t="s">
        <v>233</v>
      </c>
      <c r="D61" s="11" t="s">
        <v>105</v>
      </c>
      <c r="E61" s="11">
        <v>5</v>
      </c>
      <c r="F61" s="11"/>
      <c r="G61" s="11"/>
    </row>
    <row r="62" spans="1:7" x14ac:dyDescent="0.25">
      <c r="A62" s="13">
        <v>45995</v>
      </c>
      <c r="B62" s="11" t="s">
        <v>281</v>
      </c>
      <c r="C62" s="11" t="s">
        <v>233</v>
      </c>
      <c r="D62" s="11" t="s">
        <v>105</v>
      </c>
      <c r="E62" s="11">
        <v>5</v>
      </c>
      <c r="F62" s="11"/>
      <c r="G62" s="11"/>
    </row>
    <row r="63" spans="1:7" x14ac:dyDescent="0.25">
      <c r="A63" s="13">
        <v>45995</v>
      </c>
      <c r="B63" s="11" t="s">
        <v>282</v>
      </c>
      <c r="C63" s="11" t="s">
        <v>233</v>
      </c>
      <c r="D63" s="11" t="s">
        <v>105</v>
      </c>
      <c r="E63" s="11">
        <v>5</v>
      </c>
      <c r="F63" s="11"/>
      <c r="G63" s="11"/>
    </row>
    <row r="64" spans="1:7" x14ac:dyDescent="0.25">
      <c r="A64" s="13">
        <v>45995</v>
      </c>
      <c r="B64" s="11" t="s">
        <v>283</v>
      </c>
      <c r="C64" s="11" t="s">
        <v>132</v>
      </c>
      <c r="D64" s="11" t="s">
        <v>121</v>
      </c>
      <c r="E64" s="11">
        <v>5</v>
      </c>
      <c r="F64" s="11"/>
      <c r="G64" s="11"/>
    </row>
    <row r="65" spans="1:7" x14ac:dyDescent="0.25">
      <c r="A65" s="13">
        <v>45996</v>
      </c>
      <c r="B65" s="11" t="s">
        <v>284</v>
      </c>
      <c r="C65" s="11" t="s">
        <v>105</v>
      </c>
      <c r="D65" s="11" t="s">
        <v>183</v>
      </c>
      <c r="E65" s="11">
        <v>8</v>
      </c>
      <c r="F65" s="11"/>
      <c r="G65" s="11"/>
    </row>
    <row r="66" spans="1:7" x14ac:dyDescent="0.25">
      <c r="A66" s="13">
        <v>45996</v>
      </c>
      <c r="B66" s="11" t="s">
        <v>285</v>
      </c>
      <c r="C66" s="26" t="s">
        <v>105</v>
      </c>
      <c r="D66" s="26" t="s">
        <v>183</v>
      </c>
      <c r="E66" s="11">
        <v>8</v>
      </c>
      <c r="F66" s="11"/>
      <c r="G66" s="11"/>
    </row>
    <row r="67" spans="1:7" x14ac:dyDescent="0.25">
      <c r="A67" s="13">
        <v>45996</v>
      </c>
      <c r="B67" s="11" t="s">
        <v>286</v>
      </c>
      <c r="C67" s="26" t="s">
        <v>105</v>
      </c>
      <c r="D67" s="26" t="s">
        <v>183</v>
      </c>
      <c r="E67" s="11">
        <v>8</v>
      </c>
      <c r="F67" s="11"/>
      <c r="G67" s="11"/>
    </row>
    <row r="68" spans="1:7" x14ac:dyDescent="0.25">
      <c r="A68" s="13">
        <v>45996</v>
      </c>
      <c r="B68" s="11" t="s">
        <v>287</v>
      </c>
      <c r="C68" s="26" t="s">
        <v>105</v>
      </c>
      <c r="D68" s="26" t="s">
        <v>183</v>
      </c>
      <c r="E68" s="11">
        <v>8</v>
      </c>
      <c r="F68" s="11"/>
      <c r="G68" s="11"/>
    </row>
    <row r="69" spans="1:7" x14ac:dyDescent="0.25">
      <c r="A69" s="13">
        <v>45996</v>
      </c>
      <c r="B69" s="11" t="s">
        <v>288</v>
      </c>
      <c r="C69" s="26" t="s">
        <v>105</v>
      </c>
      <c r="D69" s="26" t="s">
        <v>183</v>
      </c>
      <c r="E69" s="11">
        <v>8</v>
      </c>
      <c r="F69" s="11"/>
      <c r="G69" s="11"/>
    </row>
    <row r="70" spans="1:7" x14ac:dyDescent="0.25">
      <c r="A70" s="13">
        <v>45996</v>
      </c>
      <c r="B70" s="11" t="s">
        <v>289</v>
      </c>
      <c r="C70" s="26" t="s">
        <v>177</v>
      </c>
      <c r="D70" s="26" t="s">
        <v>183</v>
      </c>
      <c r="E70" s="11">
        <v>4</v>
      </c>
      <c r="F70" s="11"/>
      <c r="G70" s="11"/>
    </row>
    <row r="71" spans="1:7" x14ac:dyDescent="0.25">
      <c r="A71" s="13">
        <v>45996</v>
      </c>
      <c r="B71" s="11" t="s">
        <v>290</v>
      </c>
      <c r="C71" s="26" t="s">
        <v>177</v>
      </c>
      <c r="D71" s="26" t="s">
        <v>183</v>
      </c>
      <c r="E71" s="11">
        <v>4</v>
      </c>
      <c r="F71" s="11"/>
      <c r="G71" s="11"/>
    </row>
    <row r="72" spans="1:7" x14ac:dyDescent="0.25">
      <c r="A72" s="13">
        <v>45997</v>
      </c>
      <c r="B72" s="11" t="s">
        <v>291</v>
      </c>
      <c r="C72" s="11" t="s">
        <v>233</v>
      </c>
      <c r="D72" s="11" t="s">
        <v>105</v>
      </c>
      <c r="E72" s="11">
        <v>5</v>
      </c>
      <c r="F72" s="11"/>
      <c r="G72" s="11"/>
    </row>
    <row r="73" spans="1:7" x14ac:dyDescent="0.25">
      <c r="A73" s="13">
        <v>45997</v>
      </c>
      <c r="B73" s="11" t="s">
        <v>292</v>
      </c>
      <c r="C73" s="11" t="s">
        <v>233</v>
      </c>
      <c r="D73" s="11" t="s">
        <v>105</v>
      </c>
      <c r="E73" s="11">
        <v>5</v>
      </c>
      <c r="F73" s="11"/>
      <c r="G73" s="11"/>
    </row>
    <row r="74" spans="1:7" x14ac:dyDescent="0.25">
      <c r="A74" s="13">
        <v>46001</v>
      </c>
      <c r="B74" s="11" t="s">
        <v>293</v>
      </c>
      <c r="C74" s="11" t="s">
        <v>181</v>
      </c>
      <c r="D74" s="11" t="s">
        <v>177</v>
      </c>
      <c r="E74" s="11">
        <v>4</v>
      </c>
      <c r="F74" s="11"/>
      <c r="G74" s="11"/>
    </row>
    <row r="75" spans="1:7" x14ac:dyDescent="0.25">
      <c r="A75" s="13">
        <v>46002</v>
      </c>
      <c r="B75" s="26" t="s">
        <v>291</v>
      </c>
      <c r="C75" s="11" t="s">
        <v>233</v>
      </c>
      <c r="D75" s="11" t="s">
        <v>100</v>
      </c>
      <c r="E75" s="11">
        <v>4</v>
      </c>
      <c r="F75" s="11"/>
      <c r="G75" s="11"/>
    </row>
    <row r="76" spans="1:7" x14ac:dyDescent="0.25">
      <c r="A76" s="13">
        <v>46002</v>
      </c>
      <c r="B76" s="26" t="s">
        <v>292</v>
      </c>
      <c r="C76" s="11" t="s">
        <v>233</v>
      </c>
      <c r="D76" s="11" t="s">
        <v>100</v>
      </c>
      <c r="E76" s="11">
        <v>4</v>
      </c>
      <c r="F76" s="11"/>
      <c r="G76" s="11"/>
    </row>
    <row r="77" spans="1:7" x14ac:dyDescent="0.25">
      <c r="A77" s="13">
        <v>46002</v>
      </c>
      <c r="B77" s="26" t="s">
        <v>294</v>
      </c>
      <c r="C77" s="11" t="s">
        <v>233</v>
      </c>
      <c r="D77" s="11" t="s">
        <v>100</v>
      </c>
      <c r="E77" s="11">
        <v>4</v>
      </c>
      <c r="F77" s="11"/>
      <c r="G77" s="11"/>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2FCE1-18C4-4556-89AC-226841120955}">
  <sheetPr>
    <tabColor theme="3" tint="0.59999389629810485"/>
  </sheetPr>
  <dimension ref="B2:Q40"/>
  <sheetViews>
    <sheetView zoomScale="85" zoomScaleNormal="85" workbookViewId="0">
      <selection activeCell="A2" sqref="A1:B1048576"/>
    </sheetView>
  </sheetViews>
  <sheetFormatPr defaultRowHeight="15" x14ac:dyDescent="0.25"/>
  <cols>
    <col min="1" max="1" width="15.5703125" customWidth="1"/>
    <col min="2" max="2" width="28" bestFit="1" customWidth="1"/>
    <col min="3" max="3" width="16.7109375" customWidth="1"/>
    <col min="4" max="4" width="13.85546875" bestFit="1" customWidth="1"/>
    <col min="5" max="5" width="16.42578125" customWidth="1"/>
    <col min="6" max="6" width="16.85546875" customWidth="1"/>
    <col min="7" max="7" width="16.5703125" customWidth="1"/>
    <col min="8" max="8" width="19.140625" bestFit="1" customWidth="1"/>
    <col min="9" max="9" width="12.85546875" bestFit="1" customWidth="1"/>
    <col min="10" max="10" width="11" customWidth="1"/>
    <col min="11" max="11" width="12.5703125" bestFit="1" customWidth="1"/>
    <col min="12" max="14" width="14.7109375" customWidth="1"/>
    <col min="15" max="15" width="20" bestFit="1" customWidth="1"/>
    <col min="16" max="17" width="14.7109375" customWidth="1"/>
    <col min="18" max="18" width="11.7109375" bestFit="1" customWidth="1"/>
    <col min="19" max="28" width="6.5703125" bestFit="1" customWidth="1"/>
    <col min="29" max="37" width="6" bestFit="1" customWidth="1"/>
    <col min="38" max="57" width="7" bestFit="1" customWidth="1"/>
    <col min="58" max="66" width="6.28515625" bestFit="1" customWidth="1"/>
    <col min="67" max="87" width="7.28515625" bestFit="1" customWidth="1"/>
    <col min="88" max="95" width="5.85546875" bestFit="1" customWidth="1"/>
    <col min="96" max="115" width="6.85546875" bestFit="1" customWidth="1"/>
    <col min="116" max="123" width="6.5703125" bestFit="1" customWidth="1"/>
    <col min="124" max="145" width="7.5703125" bestFit="1" customWidth="1"/>
    <col min="146" max="154" width="5.7109375" bestFit="1" customWidth="1"/>
    <col min="155" max="174" width="6.7109375" bestFit="1" customWidth="1"/>
    <col min="175" max="177" width="5.5703125" bestFit="1" customWidth="1"/>
    <col min="178" max="178" width="6.5703125" bestFit="1" customWidth="1"/>
    <col min="179" max="180" width="5.5703125" bestFit="1" customWidth="1"/>
    <col min="181" max="181" width="5.140625" bestFit="1" customWidth="1"/>
    <col min="182" max="182" width="5.5703125" bestFit="1" customWidth="1"/>
    <col min="183" max="183" width="5.140625" bestFit="1" customWidth="1"/>
    <col min="184" max="214" width="6.140625" bestFit="1" customWidth="1"/>
    <col min="215" max="235" width="7.140625" bestFit="1" customWidth="1"/>
    <col min="236" max="242" width="6" bestFit="1" customWidth="1"/>
    <col min="243" max="263" width="7" bestFit="1" customWidth="1"/>
    <col min="264" max="272" width="5.7109375" bestFit="1" customWidth="1"/>
    <col min="273" max="294" width="6.7109375" bestFit="1" customWidth="1"/>
    <col min="295" max="303" width="6.28515625" bestFit="1" customWidth="1"/>
    <col min="304" max="322" width="7.28515625" bestFit="1" customWidth="1"/>
    <col min="323" max="331" width="6" bestFit="1" customWidth="1"/>
    <col min="332" max="343" width="7" bestFit="1" customWidth="1"/>
    <col min="344" max="344" width="11.28515625" bestFit="1" customWidth="1"/>
  </cols>
  <sheetData>
    <row r="2" spans="2:17" ht="15.75" x14ac:dyDescent="0.25">
      <c r="B2" s="185" t="s">
        <v>354</v>
      </c>
      <c r="C2" s="185"/>
      <c r="G2" s="182" t="s">
        <v>354</v>
      </c>
      <c r="H2" s="184"/>
      <c r="L2" s="185" t="s">
        <v>364</v>
      </c>
      <c r="M2" s="185"/>
      <c r="N2" s="185"/>
      <c r="O2" s="185"/>
      <c r="P2" s="185"/>
      <c r="Q2" s="185"/>
    </row>
    <row r="3" spans="2:17" x14ac:dyDescent="0.25">
      <c r="B3" s="84" t="s">
        <v>355</v>
      </c>
      <c r="C3" s="90" t="s">
        <v>319</v>
      </c>
      <c r="G3" s="84" t="s">
        <v>356</v>
      </c>
      <c r="H3" s="90">
        <v>33.36</v>
      </c>
      <c r="L3" s="91"/>
      <c r="M3" s="90" t="s">
        <v>359</v>
      </c>
      <c r="N3" s="84" t="s">
        <v>360</v>
      </c>
      <c r="O3" s="84" t="s">
        <v>361</v>
      </c>
      <c r="P3" s="84" t="s">
        <v>363</v>
      </c>
      <c r="Q3" s="84" t="s">
        <v>362</v>
      </c>
    </row>
    <row r="4" spans="2:17" ht="15.75" x14ac:dyDescent="0.25">
      <c r="B4" s="52" t="s">
        <v>320</v>
      </c>
      <c r="C4" s="51">
        <v>239.5</v>
      </c>
      <c r="L4" s="86" t="s">
        <v>17</v>
      </c>
      <c r="M4" s="85">
        <v>23.5</v>
      </c>
      <c r="N4" s="51">
        <v>123</v>
      </c>
      <c r="O4" s="51">
        <v>433.25</v>
      </c>
      <c r="P4" s="51">
        <v>1933</v>
      </c>
      <c r="Q4" s="51">
        <v>3.9999999999999991</v>
      </c>
    </row>
    <row r="5" spans="2:17" ht="15.75" x14ac:dyDescent="0.25">
      <c r="B5" s="52" t="s">
        <v>350</v>
      </c>
      <c r="C5" s="51">
        <v>152</v>
      </c>
      <c r="L5" s="86" t="s">
        <v>18</v>
      </c>
      <c r="M5" s="85">
        <v>242</v>
      </c>
      <c r="N5" s="51">
        <v>138.5</v>
      </c>
      <c r="O5" s="51">
        <v>653.5</v>
      </c>
      <c r="P5" s="51">
        <v>637.25</v>
      </c>
      <c r="Q5" s="51">
        <v>4</v>
      </c>
    </row>
    <row r="6" spans="2:17" ht="15.75" x14ac:dyDescent="0.25">
      <c r="B6" s="52" t="s">
        <v>341</v>
      </c>
      <c r="C6" s="51">
        <v>111.5</v>
      </c>
      <c r="L6" s="86" t="s">
        <v>20</v>
      </c>
      <c r="M6" s="85">
        <v>7.5</v>
      </c>
      <c r="N6" s="51"/>
      <c r="O6" s="51">
        <v>53</v>
      </c>
      <c r="P6" s="51">
        <v>4</v>
      </c>
      <c r="Q6" s="51"/>
    </row>
    <row r="7" spans="2:17" x14ac:dyDescent="0.25">
      <c r="B7" s="52" t="s">
        <v>332</v>
      </c>
      <c r="C7" s="51">
        <v>92.5</v>
      </c>
    </row>
    <row r="8" spans="2:17" x14ac:dyDescent="0.25">
      <c r="B8" s="52" t="s">
        <v>328</v>
      </c>
      <c r="C8" s="51">
        <v>66.5</v>
      </c>
    </row>
    <row r="9" spans="2:17" x14ac:dyDescent="0.25">
      <c r="B9" s="52" t="s">
        <v>336</v>
      </c>
      <c r="C9" s="51">
        <v>57</v>
      </c>
    </row>
    <row r="10" spans="2:17" x14ac:dyDescent="0.25">
      <c r="B10" s="52" t="s">
        <v>327</v>
      </c>
      <c r="C10" s="51">
        <v>43</v>
      </c>
    </row>
    <row r="11" spans="2:17" x14ac:dyDescent="0.25">
      <c r="B11" s="52" t="s">
        <v>266</v>
      </c>
      <c r="C11" s="51">
        <v>41</v>
      </c>
    </row>
    <row r="12" spans="2:17" x14ac:dyDescent="0.25">
      <c r="B12" s="52" t="s">
        <v>337</v>
      </c>
      <c r="C12" s="51">
        <v>40</v>
      </c>
    </row>
    <row r="13" spans="2:17" x14ac:dyDescent="0.25">
      <c r="B13" s="52" t="s">
        <v>331</v>
      </c>
      <c r="C13" s="51">
        <v>39.5</v>
      </c>
    </row>
    <row r="14" spans="2:17" x14ac:dyDescent="0.25">
      <c r="B14" s="52" t="s">
        <v>326</v>
      </c>
      <c r="C14" s="51">
        <v>34</v>
      </c>
    </row>
    <row r="15" spans="2:17" x14ac:dyDescent="0.25">
      <c r="B15" s="52" t="s">
        <v>347</v>
      </c>
      <c r="C15" s="51">
        <v>32.5</v>
      </c>
    </row>
    <row r="16" spans="2:17" x14ac:dyDescent="0.25">
      <c r="B16" s="52" t="s">
        <v>329</v>
      </c>
      <c r="C16" s="51">
        <v>29</v>
      </c>
    </row>
    <row r="17" spans="2:3" x14ac:dyDescent="0.25">
      <c r="B17" s="52" t="s">
        <v>321</v>
      </c>
      <c r="C17" s="51">
        <v>26</v>
      </c>
    </row>
    <row r="18" spans="2:3" x14ac:dyDescent="0.25">
      <c r="B18" s="52" t="s">
        <v>340</v>
      </c>
      <c r="C18" s="51">
        <v>25</v>
      </c>
    </row>
    <row r="19" spans="2:3" x14ac:dyDescent="0.25">
      <c r="B19" s="52" t="s">
        <v>323</v>
      </c>
      <c r="C19" s="51">
        <v>24</v>
      </c>
    </row>
    <row r="20" spans="2:3" x14ac:dyDescent="0.25">
      <c r="B20" s="52" t="s">
        <v>351</v>
      </c>
      <c r="C20" s="51">
        <v>16.5</v>
      </c>
    </row>
    <row r="21" spans="2:3" x14ac:dyDescent="0.25">
      <c r="B21" s="52" t="s">
        <v>333</v>
      </c>
      <c r="C21" s="51">
        <v>14.5</v>
      </c>
    </row>
    <row r="22" spans="2:3" x14ac:dyDescent="0.25">
      <c r="B22" s="52" t="s">
        <v>346</v>
      </c>
      <c r="C22" s="51">
        <v>14</v>
      </c>
    </row>
    <row r="23" spans="2:3" x14ac:dyDescent="0.25">
      <c r="B23" s="52" t="s">
        <v>325</v>
      </c>
      <c r="C23" s="51">
        <v>13.5</v>
      </c>
    </row>
    <row r="24" spans="2:3" x14ac:dyDescent="0.25">
      <c r="B24" s="52" t="s">
        <v>334</v>
      </c>
      <c r="C24" s="51">
        <v>13</v>
      </c>
    </row>
    <row r="25" spans="2:3" x14ac:dyDescent="0.25">
      <c r="B25" s="52" t="s">
        <v>338</v>
      </c>
      <c r="C25" s="51">
        <v>12</v>
      </c>
    </row>
    <row r="26" spans="2:3" x14ac:dyDescent="0.25">
      <c r="B26" s="52" t="s">
        <v>339</v>
      </c>
      <c r="C26" s="51">
        <v>11</v>
      </c>
    </row>
    <row r="27" spans="2:3" x14ac:dyDescent="0.25">
      <c r="B27" s="52" t="s">
        <v>342</v>
      </c>
      <c r="C27" s="51">
        <v>10</v>
      </c>
    </row>
    <row r="28" spans="2:3" x14ac:dyDescent="0.25">
      <c r="B28" s="52" t="s">
        <v>343</v>
      </c>
      <c r="C28" s="51">
        <v>10</v>
      </c>
    </row>
    <row r="29" spans="2:3" x14ac:dyDescent="0.25">
      <c r="B29" s="52" t="s">
        <v>330</v>
      </c>
      <c r="C29" s="51">
        <v>9</v>
      </c>
    </row>
    <row r="30" spans="2:3" x14ac:dyDescent="0.25">
      <c r="B30" s="52" t="s">
        <v>324</v>
      </c>
      <c r="C30" s="51">
        <v>9</v>
      </c>
    </row>
    <row r="31" spans="2:3" x14ac:dyDescent="0.25">
      <c r="B31" s="52" t="s">
        <v>119</v>
      </c>
      <c r="C31" s="51">
        <v>8</v>
      </c>
    </row>
    <row r="32" spans="2:3" x14ac:dyDescent="0.25">
      <c r="B32" s="52" t="s">
        <v>344</v>
      </c>
      <c r="C32" s="51">
        <v>8</v>
      </c>
    </row>
    <row r="33" spans="2:3" x14ac:dyDescent="0.25">
      <c r="B33" s="52" t="s">
        <v>141</v>
      </c>
      <c r="C33" s="51">
        <v>6</v>
      </c>
    </row>
    <row r="34" spans="2:3" x14ac:dyDescent="0.25">
      <c r="B34" s="52" t="s">
        <v>146</v>
      </c>
      <c r="C34" s="51">
        <v>5.5</v>
      </c>
    </row>
    <row r="35" spans="2:3" x14ac:dyDescent="0.25">
      <c r="B35" s="52" t="s">
        <v>147</v>
      </c>
      <c r="C35" s="51">
        <v>4</v>
      </c>
    </row>
    <row r="36" spans="2:3" x14ac:dyDescent="0.25">
      <c r="B36" s="52" t="s">
        <v>345</v>
      </c>
      <c r="C36" s="51">
        <v>4</v>
      </c>
    </row>
    <row r="37" spans="2:3" x14ac:dyDescent="0.25">
      <c r="B37" s="52" t="s">
        <v>293</v>
      </c>
      <c r="C37" s="51">
        <v>4</v>
      </c>
    </row>
    <row r="38" spans="2:3" x14ac:dyDescent="0.25">
      <c r="B38" s="52" t="s">
        <v>176</v>
      </c>
      <c r="C38" s="51">
        <v>3.5</v>
      </c>
    </row>
    <row r="39" spans="2:3" x14ac:dyDescent="0.25">
      <c r="B39" s="52" t="s">
        <v>335</v>
      </c>
      <c r="C39" s="51">
        <v>3</v>
      </c>
    </row>
    <row r="40" spans="2:3" x14ac:dyDescent="0.25">
      <c r="B40" s="52" t="s">
        <v>158</v>
      </c>
      <c r="C40" s="51">
        <v>3</v>
      </c>
    </row>
  </sheetData>
  <mergeCells count="3">
    <mergeCell ref="B2:C2"/>
    <mergeCell ref="G2:H2"/>
    <mergeCell ref="L2:Q2"/>
  </mergeCells>
  <conditionalFormatting sqref="C4:C40">
    <cfRule type="aboveAverage" dxfId="1" priority="1" aboveAverage="0"/>
    <cfRule type="aboveAverage" dxfId="0" priority="2"/>
    <cfRule type="aboveAverage" priority="3"/>
  </conditionalFormatting>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0E970-838E-4435-A7C9-5E1EAF98DB14}">
  <dimension ref="A3:B43"/>
  <sheetViews>
    <sheetView workbookViewId="0">
      <selection activeCell="A2" sqref="A1:B1048576"/>
    </sheetView>
  </sheetViews>
  <sheetFormatPr defaultRowHeight="15" x14ac:dyDescent="0.25"/>
  <cols>
    <col min="1" max="1" width="28" bestFit="1" customWidth="1"/>
    <col min="2" max="2" width="12.7109375" bestFit="1" customWidth="1"/>
  </cols>
  <sheetData>
    <row r="3" spans="1:2" x14ac:dyDescent="0.25">
      <c r="A3" s="87" t="s">
        <v>0</v>
      </c>
      <c r="B3" t="s">
        <v>322</v>
      </c>
    </row>
    <row r="4" spans="1:2" x14ac:dyDescent="0.25">
      <c r="A4" s="88" t="s">
        <v>320</v>
      </c>
      <c r="B4">
        <v>239.5</v>
      </c>
    </row>
    <row r="5" spans="1:2" x14ac:dyDescent="0.25">
      <c r="A5" s="88" t="s">
        <v>321</v>
      </c>
      <c r="B5">
        <v>26</v>
      </c>
    </row>
    <row r="6" spans="1:2" x14ac:dyDescent="0.25">
      <c r="A6" s="88" t="s">
        <v>147</v>
      </c>
      <c r="B6">
        <v>4</v>
      </c>
    </row>
    <row r="7" spans="1:2" x14ac:dyDescent="0.25">
      <c r="A7" s="88" t="s">
        <v>146</v>
      </c>
      <c r="B7">
        <v>5.5</v>
      </c>
    </row>
    <row r="8" spans="1:2" x14ac:dyDescent="0.25">
      <c r="A8" s="88" t="s">
        <v>323</v>
      </c>
      <c r="B8">
        <v>24</v>
      </c>
    </row>
    <row r="9" spans="1:2" x14ac:dyDescent="0.25">
      <c r="A9" s="88" t="s">
        <v>325</v>
      </c>
      <c r="B9">
        <v>13.5</v>
      </c>
    </row>
    <row r="10" spans="1:2" x14ac:dyDescent="0.25">
      <c r="A10" s="88" t="s">
        <v>326</v>
      </c>
      <c r="B10">
        <v>34</v>
      </c>
    </row>
    <row r="11" spans="1:2" x14ac:dyDescent="0.25">
      <c r="A11" s="88" t="s">
        <v>327</v>
      </c>
      <c r="B11">
        <v>43</v>
      </c>
    </row>
    <row r="12" spans="1:2" x14ac:dyDescent="0.25">
      <c r="A12" s="88" t="s">
        <v>345</v>
      </c>
      <c r="B12">
        <v>4</v>
      </c>
    </row>
    <row r="13" spans="1:2" x14ac:dyDescent="0.25">
      <c r="A13" s="88" t="s">
        <v>328</v>
      </c>
      <c r="B13">
        <v>66.5</v>
      </c>
    </row>
    <row r="14" spans="1:2" x14ac:dyDescent="0.25">
      <c r="A14" s="88" t="s">
        <v>266</v>
      </c>
      <c r="B14">
        <v>41</v>
      </c>
    </row>
    <row r="15" spans="1:2" x14ac:dyDescent="0.25">
      <c r="A15" s="88" t="s">
        <v>176</v>
      </c>
      <c r="B15">
        <v>3.5</v>
      </c>
    </row>
    <row r="16" spans="1:2" x14ac:dyDescent="0.25">
      <c r="A16" s="88" t="s">
        <v>329</v>
      </c>
      <c r="B16">
        <v>29</v>
      </c>
    </row>
    <row r="17" spans="1:2" x14ac:dyDescent="0.25">
      <c r="A17" s="88" t="s">
        <v>330</v>
      </c>
      <c r="B17">
        <v>9</v>
      </c>
    </row>
    <row r="18" spans="1:2" x14ac:dyDescent="0.25">
      <c r="A18" s="88" t="s">
        <v>346</v>
      </c>
      <c r="B18">
        <v>14</v>
      </c>
    </row>
    <row r="19" spans="1:2" x14ac:dyDescent="0.25">
      <c r="A19" s="88" t="s">
        <v>331</v>
      </c>
      <c r="B19">
        <v>39.5</v>
      </c>
    </row>
    <row r="20" spans="1:2" x14ac:dyDescent="0.25">
      <c r="A20" s="88" t="s">
        <v>332</v>
      </c>
      <c r="B20">
        <v>92.5</v>
      </c>
    </row>
    <row r="21" spans="1:2" x14ac:dyDescent="0.25">
      <c r="A21" s="88" t="s">
        <v>347</v>
      </c>
      <c r="B21">
        <v>32.5</v>
      </c>
    </row>
    <row r="22" spans="1:2" x14ac:dyDescent="0.25">
      <c r="A22" s="88" t="s">
        <v>333</v>
      </c>
      <c r="B22">
        <v>14.5</v>
      </c>
    </row>
    <row r="23" spans="1:2" x14ac:dyDescent="0.25">
      <c r="A23" s="88" t="s">
        <v>334</v>
      </c>
      <c r="B23">
        <v>13</v>
      </c>
    </row>
    <row r="24" spans="1:2" x14ac:dyDescent="0.25">
      <c r="A24" s="88" t="s">
        <v>335</v>
      </c>
      <c r="B24">
        <v>3</v>
      </c>
    </row>
    <row r="25" spans="1:2" x14ac:dyDescent="0.25">
      <c r="A25" s="88" t="s">
        <v>336</v>
      </c>
      <c r="B25">
        <v>57</v>
      </c>
    </row>
    <row r="26" spans="1:2" x14ac:dyDescent="0.25">
      <c r="A26" s="88" t="s">
        <v>324</v>
      </c>
      <c r="B26">
        <v>9</v>
      </c>
    </row>
    <row r="27" spans="1:2" x14ac:dyDescent="0.25">
      <c r="A27" s="88" t="s">
        <v>337</v>
      </c>
      <c r="B27">
        <v>40</v>
      </c>
    </row>
    <row r="28" spans="1:2" x14ac:dyDescent="0.25">
      <c r="A28" s="88" t="s">
        <v>348</v>
      </c>
      <c r="B28">
        <v>5</v>
      </c>
    </row>
    <row r="29" spans="1:2" x14ac:dyDescent="0.25">
      <c r="A29" s="88" t="s">
        <v>349</v>
      </c>
      <c r="B29">
        <v>80.5</v>
      </c>
    </row>
    <row r="30" spans="1:2" x14ac:dyDescent="0.25">
      <c r="A30" s="88" t="s">
        <v>338</v>
      </c>
      <c r="B30">
        <v>12</v>
      </c>
    </row>
    <row r="31" spans="1:2" x14ac:dyDescent="0.25">
      <c r="A31" s="88" t="s">
        <v>119</v>
      </c>
      <c r="B31">
        <v>8</v>
      </c>
    </row>
    <row r="32" spans="1:2" x14ac:dyDescent="0.25">
      <c r="A32" s="88" t="s">
        <v>350</v>
      </c>
      <c r="B32">
        <v>66.5</v>
      </c>
    </row>
    <row r="33" spans="1:2" x14ac:dyDescent="0.25">
      <c r="A33" s="88" t="s">
        <v>339</v>
      </c>
      <c r="B33">
        <v>11</v>
      </c>
    </row>
    <row r="34" spans="1:2" x14ac:dyDescent="0.25">
      <c r="A34" s="88" t="s">
        <v>340</v>
      </c>
      <c r="B34">
        <v>25</v>
      </c>
    </row>
    <row r="35" spans="1:2" x14ac:dyDescent="0.25">
      <c r="A35" s="88" t="s">
        <v>351</v>
      </c>
      <c r="B35">
        <v>16.5</v>
      </c>
    </row>
    <row r="36" spans="1:2" x14ac:dyDescent="0.25">
      <c r="A36" s="88" t="s">
        <v>341</v>
      </c>
      <c r="B36">
        <v>111.5</v>
      </c>
    </row>
    <row r="37" spans="1:2" x14ac:dyDescent="0.25">
      <c r="A37" s="88" t="s">
        <v>342</v>
      </c>
      <c r="B37">
        <v>10</v>
      </c>
    </row>
    <row r="38" spans="1:2" x14ac:dyDescent="0.25">
      <c r="A38" s="88" t="s">
        <v>158</v>
      </c>
      <c r="B38">
        <v>3</v>
      </c>
    </row>
    <row r="39" spans="1:2" x14ac:dyDescent="0.25">
      <c r="A39" s="88" t="s">
        <v>343</v>
      </c>
      <c r="B39">
        <v>10</v>
      </c>
    </row>
    <row r="40" spans="1:2" x14ac:dyDescent="0.25">
      <c r="A40" s="88" t="s">
        <v>141</v>
      </c>
      <c r="B40">
        <v>6</v>
      </c>
    </row>
    <row r="41" spans="1:2" x14ac:dyDescent="0.25">
      <c r="A41" s="88" t="s">
        <v>344</v>
      </c>
      <c r="B41">
        <v>8</v>
      </c>
    </row>
    <row r="42" spans="1:2" x14ac:dyDescent="0.25">
      <c r="A42" s="88" t="s">
        <v>293</v>
      </c>
      <c r="B42">
        <v>4</v>
      </c>
    </row>
    <row r="43" spans="1:2" x14ac:dyDescent="0.25">
      <c r="A43" s="88" t="s">
        <v>14</v>
      </c>
      <c r="B43">
        <v>1234.5</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6FA32-56AE-4921-A1B9-B436AD4A63D8}">
  <dimension ref="A3:E37"/>
  <sheetViews>
    <sheetView workbookViewId="0">
      <selection activeCell="A2" sqref="A1:B1048576"/>
    </sheetView>
  </sheetViews>
  <sheetFormatPr defaultRowHeight="15" x14ac:dyDescent="0.25"/>
  <cols>
    <col min="1" max="1" width="28" bestFit="1" customWidth="1"/>
    <col min="2" max="2" width="12.7109375" bestFit="1" customWidth="1"/>
    <col min="4" max="4" width="28" bestFit="1" customWidth="1"/>
  </cols>
  <sheetData>
    <row r="3" spans="1:5" x14ac:dyDescent="0.25">
      <c r="A3" s="87" t="s">
        <v>0</v>
      </c>
      <c r="B3" t="s">
        <v>322</v>
      </c>
    </row>
    <row r="4" spans="1:5" x14ac:dyDescent="0.25">
      <c r="A4" s="88" t="s">
        <v>320</v>
      </c>
      <c r="B4">
        <v>239.5</v>
      </c>
      <c r="D4" t="s">
        <v>320</v>
      </c>
      <c r="E4">
        <v>239.5</v>
      </c>
    </row>
    <row r="5" spans="1:5" x14ac:dyDescent="0.25">
      <c r="A5" s="88" t="s">
        <v>321</v>
      </c>
      <c r="B5">
        <v>26</v>
      </c>
      <c r="D5" t="s">
        <v>321</v>
      </c>
      <c r="E5">
        <v>26</v>
      </c>
    </row>
    <row r="6" spans="1:5" x14ac:dyDescent="0.25">
      <c r="A6" s="88" t="s">
        <v>147</v>
      </c>
      <c r="B6">
        <v>4</v>
      </c>
      <c r="D6" t="s">
        <v>147</v>
      </c>
      <c r="E6">
        <v>4</v>
      </c>
    </row>
    <row r="7" spans="1:5" x14ac:dyDescent="0.25">
      <c r="A7" s="88" t="s">
        <v>146</v>
      </c>
      <c r="B7">
        <v>5.5</v>
      </c>
      <c r="D7" t="s">
        <v>146</v>
      </c>
      <c r="E7">
        <v>5.5</v>
      </c>
    </row>
    <row r="8" spans="1:5" x14ac:dyDescent="0.25">
      <c r="A8" s="88" t="s">
        <v>323</v>
      </c>
      <c r="B8">
        <v>24</v>
      </c>
      <c r="D8" t="s">
        <v>323</v>
      </c>
      <c r="E8">
        <v>24</v>
      </c>
    </row>
    <row r="9" spans="1:5" x14ac:dyDescent="0.25">
      <c r="A9" s="88" t="s">
        <v>325</v>
      </c>
      <c r="B9">
        <v>13.5</v>
      </c>
      <c r="D9" t="s">
        <v>325</v>
      </c>
      <c r="E9">
        <v>13.5</v>
      </c>
    </row>
    <row r="10" spans="1:5" x14ac:dyDescent="0.25">
      <c r="A10" s="88" t="s">
        <v>326</v>
      </c>
      <c r="B10">
        <v>34</v>
      </c>
      <c r="D10" t="s">
        <v>326</v>
      </c>
      <c r="E10">
        <v>34</v>
      </c>
    </row>
    <row r="11" spans="1:5" x14ac:dyDescent="0.25">
      <c r="A11" s="88" t="s">
        <v>327</v>
      </c>
      <c r="B11">
        <v>43</v>
      </c>
      <c r="D11" t="s">
        <v>327</v>
      </c>
      <c r="E11">
        <v>43</v>
      </c>
    </row>
    <row r="12" spans="1:5" x14ac:dyDescent="0.25">
      <c r="A12" s="88" t="s">
        <v>345</v>
      </c>
      <c r="B12">
        <v>4</v>
      </c>
      <c r="D12" t="s">
        <v>345</v>
      </c>
      <c r="E12">
        <v>4</v>
      </c>
    </row>
    <row r="13" spans="1:5" x14ac:dyDescent="0.25">
      <c r="A13" s="88" t="s">
        <v>328</v>
      </c>
      <c r="B13">
        <v>66.5</v>
      </c>
      <c r="D13" t="s">
        <v>328</v>
      </c>
      <c r="E13">
        <v>66.5</v>
      </c>
    </row>
    <row r="14" spans="1:5" x14ac:dyDescent="0.25">
      <c r="A14" s="88" t="s">
        <v>266</v>
      </c>
      <c r="B14">
        <v>41</v>
      </c>
      <c r="D14" t="s">
        <v>266</v>
      </c>
      <c r="E14">
        <v>41</v>
      </c>
    </row>
    <row r="15" spans="1:5" x14ac:dyDescent="0.25">
      <c r="A15" s="88" t="s">
        <v>176</v>
      </c>
      <c r="B15">
        <v>3.5</v>
      </c>
      <c r="D15" t="s">
        <v>176</v>
      </c>
      <c r="E15">
        <v>3.5</v>
      </c>
    </row>
    <row r="16" spans="1:5" x14ac:dyDescent="0.25">
      <c r="A16" s="88" t="s">
        <v>329</v>
      </c>
      <c r="B16">
        <v>29</v>
      </c>
      <c r="D16" t="s">
        <v>329</v>
      </c>
      <c r="E16">
        <v>29</v>
      </c>
    </row>
    <row r="17" spans="1:5" x14ac:dyDescent="0.25">
      <c r="A17" s="88" t="s">
        <v>330</v>
      </c>
      <c r="B17">
        <v>9</v>
      </c>
      <c r="D17" t="s">
        <v>330</v>
      </c>
      <c r="E17">
        <v>9</v>
      </c>
    </row>
    <row r="18" spans="1:5" x14ac:dyDescent="0.25">
      <c r="A18" s="88" t="s">
        <v>331</v>
      </c>
      <c r="B18">
        <v>53.5</v>
      </c>
      <c r="D18" t="s">
        <v>331</v>
      </c>
      <c r="E18">
        <v>53.5</v>
      </c>
    </row>
    <row r="19" spans="1:5" x14ac:dyDescent="0.25">
      <c r="A19" s="88" t="s">
        <v>332</v>
      </c>
      <c r="B19">
        <v>92.5</v>
      </c>
      <c r="D19" t="s">
        <v>332</v>
      </c>
      <c r="E19">
        <v>92.5</v>
      </c>
    </row>
    <row r="20" spans="1:5" x14ac:dyDescent="0.25">
      <c r="A20" s="88" t="s">
        <v>347</v>
      </c>
      <c r="B20">
        <v>32.5</v>
      </c>
      <c r="D20" t="s">
        <v>347</v>
      </c>
      <c r="E20">
        <v>32.5</v>
      </c>
    </row>
    <row r="21" spans="1:5" x14ac:dyDescent="0.25">
      <c r="A21" s="88" t="s">
        <v>333</v>
      </c>
      <c r="B21">
        <v>14.5</v>
      </c>
      <c r="D21" t="s">
        <v>333</v>
      </c>
      <c r="E21">
        <v>14.5</v>
      </c>
    </row>
    <row r="22" spans="1:5" x14ac:dyDescent="0.25">
      <c r="A22" s="88" t="s">
        <v>334</v>
      </c>
      <c r="B22">
        <v>16</v>
      </c>
      <c r="D22" t="s">
        <v>334</v>
      </c>
      <c r="E22">
        <v>16</v>
      </c>
    </row>
    <row r="23" spans="1:5" x14ac:dyDescent="0.25">
      <c r="A23" s="88" t="s">
        <v>336</v>
      </c>
      <c r="B23">
        <v>57</v>
      </c>
      <c r="D23" t="s">
        <v>336</v>
      </c>
      <c r="E23">
        <v>57</v>
      </c>
    </row>
    <row r="24" spans="1:5" x14ac:dyDescent="0.25">
      <c r="A24" s="88" t="s">
        <v>324</v>
      </c>
      <c r="B24">
        <v>9</v>
      </c>
      <c r="D24" t="s">
        <v>324</v>
      </c>
      <c r="E24">
        <v>9</v>
      </c>
    </row>
    <row r="25" spans="1:5" x14ac:dyDescent="0.25">
      <c r="A25" s="88" t="s">
        <v>337</v>
      </c>
      <c r="B25">
        <v>40</v>
      </c>
      <c r="D25" t="s">
        <v>337</v>
      </c>
      <c r="E25">
        <v>40</v>
      </c>
    </row>
    <row r="26" spans="1:5" x14ac:dyDescent="0.25">
      <c r="A26" s="88" t="s">
        <v>338</v>
      </c>
      <c r="B26">
        <v>12</v>
      </c>
      <c r="D26" t="s">
        <v>338</v>
      </c>
      <c r="E26">
        <v>12</v>
      </c>
    </row>
    <row r="27" spans="1:5" x14ac:dyDescent="0.25">
      <c r="A27" s="88" t="s">
        <v>119</v>
      </c>
      <c r="B27">
        <v>8</v>
      </c>
      <c r="D27" t="s">
        <v>119</v>
      </c>
      <c r="E27">
        <v>8</v>
      </c>
    </row>
    <row r="28" spans="1:5" x14ac:dyDescent="0.25">
      <c r="A28" s="88" t="s">
        <v>352</v>
      </c>
      <c r="B28">
        <v>152</v>
      </c>
      <c r="D28" t="s">
        <v>352</v>
      </c>
      <c r="E28">
        <v>152</v>
      </c>
    </row>
    <row r="29" spans="1:5" x14ac:dyDescent="0.25">
      <c r="A29" s="88" t="s">
        <v>339</v>
      </c>
      <c r="B29">
        <v>11</v>
      </c>
      <c r="D29" t="s">
        <v>339</v>
      </c>
      <c r="E29">
        <v>11</v>
      </c>
    </row>
    <row r="30" spans="1:5" x14ac:dyDescent="0.25">
      <c r="A30" s="88" t="s">
        <v>340</v>
      </c>
      <c r="B30">
        <v>25</v>
      </c>
      <c r="D30" t="s">
        <v>340</v>
      </c>
      <c r="E30">
        <v>25</v>
      </c>
    </row>
    <row r="31" spans="1:5" x14ac:dyDescent="0.25">
      <c r="A31" s="88" t="s">
        <v>351</v>
      </c>
      <c r="B31">
        <v>16.5</v>
      </c>
      <c r="D31" t="s">
        <v>351</v>
      </c>
      <c r="E31">
        <v>16.5</v>
      </c>
    </row>
    <row r="32" spans="1:5" x14ac:dyDescent="0.25">
      <c r="A32" s="88" t="s">
        <v>341</v>
      </c>
      <c r="B32">
        <v>111.5</v>
      </c>
      <c r="D32" t="s">
        <v>341</v>
      </c>
      <c r="E32">
        <v>111.5</v>
      </c>
    </row>
    <row r="33" spans="1:5" x14ac:dyDescent="0.25">
      <c r="A33" s="88" t="s">
        <v>342</v>
      </c>
      <c r="B33">
        <v>23</v>
      </c>
      <c r="D33" t="s">
        <v>342</v>
      </c>
      <c r="E33">
        <v>23</v>
      </c>
    </row>
    <row r="34" spans="1:5" x14ac:dyDescent="0.25">
      <c r="A34" s="88" t="s">
        <v>141</v>
      </c>
      <c r="B34">
        <v>6</v>
      </c>
      <c r="D34" t="s">
        <v>141</v>
      </c>
      <c r="E34">
        <v>6</v>
      </c>
    </row>
    <row r="35" spans="1:5" x14ac:dyDescent="0.25">
      <c r="A35" s="88" t="s">
        <v>344</v>
      </c>
      <c r="B35">
        <v>8</v>
      </c>
      <c r="D35" t="s">
        <v>344</v>
      </c>
      <c r="E35">
        <v>8</v>
      </c>
    </row>
    <row r="36" spans="1:5" x14ac:dyDescent="0.25">
      <c r="A36" s="88" t="s">
        <v>293</v>
      </c>
      <c r="B36">
        <v>4</v>
      </c>
      <c r="D36" t="s">
        <v>293</v>
      </c>
      <c r="E36">
        <v>4</v>
      </c>
    </row>
    <row r="37" spans="1:5" x14ac:dyDescent="0.25">
      <c r="A37" s="88" t="s">
        <v>14</v>
      </c>
      <c r="B37">
        <v>1234.5</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4A068-9E1B-400A-999E-141C40559F4C}">
  <dimension ref="A1:E163"/>
  <sheetViews>
    <sheetView workbookViewId="0">
      <selection activeCell="A2" sqref="A1:B1048576"/>
    </sheetView>
  </sheetViews>
  <sheetFormatPr defaultRowHeight="15" x14ac:dyDescent="0.25"/>
  <cols>
    <col min="1" max="1" width="28" bestFit="1" customWidth="1"/>
  </cols>
  <sheetData>
    <row r="1" spans="1:5" x14ac:dyDescent="0.25">
      <c r="A1" t="s">
        <v>19</v>
      </c>
      <c r="B1" s="89" t="s">
        <v>319</v>
      </c>
      <c r="D1" t="s">
        <v>19</v>
      </c>
      <c r="E1" s="89" t="s">
        <v>319</v>
      </c>
    </row>
    <row r="2" spans="1:5" x14ac:dyDescent="0.25">
      <c r="A2" t="s">
        <v>323</v>
      </c>
      <c r="B2">
        <v>5.5</v>
      </c>
      <c r="D2" t="s">
        <v>323</v>
      </c>
      <c r="E2">
        <v>5.5</v>
      </c>
    </row>
    <row r="3" spans="1:5" x14ac:dyDescent="0.25">
      <c r="A3" t="s">
        <v>324</v>
      </c>
      <c r="B3">
        <v>4.5</v>
      </c>
      <c r="D3" t="s">
        <v>324</v>
      </c>
      <c r="E3">
        <v>4.5</v>
      </c>
    </row>
    <row r="4" spans="1:5" x14ac:dyDescent="0.25">
      <c r="A4" t="s">
        <v>320</v>
      </c>
      <c r="B4">
        <v>11</v>
      </c>
      <c r="D4" t="s">
        <v>320</v>
      </c>
      <c r="E4">
        <v>11</v>
      </c>
    </row>
    <row r="5" spans="1:5" x14ac:dyDescent="0.25">
      <c r="A5" t="s">
        <v>320</v>
      </c>
      <c r="B5">
        <v>15</v>
      </c>
      <c r="D5" t="s">
        <v>320</v>
      </c>
      <c r="E5">
        <v>15</v>
      </c>
    </row>
    <row r="6" spans="1:5" x14ac:dyDescent="0.25">
      <c r="A6" t="s">
        <v>320</v>
      </c>
      <c r="B6">
        <v>15</v>
      </c>
      <c r="D6" t="s">
        <v>320</v>
      </c>
      <c r="E6">
        <v>15</v>
      </c>
    </row>
    <row r="7" spans="1:5" x14ac:dyDescent="0.25">
      <c r="A7" t="s">
        <v>320</v>
      </c>
      <c r="B7">
        <v>15</v>
      </c>
      <c r="D7" t="s">
        <v>320</v>
      </c>
      <c r="E7">
        <v>15</v>
      </c>
    </row>
    <row r="8" spans="1:5" x14ac:dyDescent="0.25">
      <c r="A8" t="s">
        <v>320</v>
      </c>
      <c r="B8">
        <v>15</v>
      </c>
      <c r="D8" t="s">
        <v>320</v>
      </c>
      <c r="E8">
        <v>15</v>
      </c>
    </row>
    <row r="9" spans="1:5" x14ac:dyDescent="0.25">
      <c r="A9" t="s">
        <v>320</v>
      </c>
      <c r="B9">
        <v>7.5</v>
      </c>
      <c r="D9" t="s">
        <v>320</v>
      </c>
      <c r="E9">
        <v>7.5</v>
      </c>
    </row>
    <row r="10" spans="1:5" x14ac:dyDescent="0.25">
      <c r="A10" t="s">
        <v>320</v>
      </c>
      <c r="B10">
        <v>15</v>
      </c>
      <c r="D10" t="s">
        <v>320</v>
      </c>
      <c r="E10">
        <v>15</v>
      </c>
    </row>
    <row r="11" spans="1:5" x14ac:dyDescent="0.25">
      <c r="A11" t="s">
        <v>320</v>
      </c>
      <c r="B11">
        <v>15</v>
      </c>
      <c r="D11" t="s">
        <v>320</v>
      </c>
      <c r="E11">
        <v>15</v>
      </c>
    </row>
    <row r="12" spans="1:5" x14ac:dyDescent="0.25">
      <c r="A12" t="s">
        <v>320</v>
      </c>
      <c r="B12">
        <v>15</v>
      </c>
      <c r="D12" t="s">
        <v>320</v>
      </c>
      <c r="E12">
        <v>15</v>
      </c>
    </row>
    <row r="13" spans="1:5" x14ac:dyDescent="0.25">
      <c r="A13" t="s">
        <v>320</v>
      </c>
      <c r="B13">
        <v>15</v>
      </c>
      <c r="D13" t="s">
        <v>320</v>
      </c>
      <c r="E13">
        <v>15</v>
      </c>
    </row>
    <row r="14" spans="1:5" x14ac:dyDescent="0.25">
      <c r="A14" t="s">
        <v>320</v>
      </c>
      <c r="B14">
        <v>15</v>
      </c>
      <c r="D14" t="s">
        <v>320</v>
      </c>
      <c r="E14">
        <v>15</v>
      </c>
    </row>
    <row r="15" spans="1:5" x14ac:dyDescent="0.25">
      <c r="A15" t="s">
        <v>320</v>
      </c>
      <c r="B15">
        <v>15</v>
      </c>
      <c r="D15" t="s">
        <v>320</v>
      </c>
      <c r="E15">
        <v>15</v>
      </c>
    </row>
    <row r="16" spans="1:5" x14ac:dyDescent="0.25">
      <c r="A16" t="s">
        <v>320</v>
      </c>
      <c r="B16">
        <v>15</v>
      </c>
      <c r="D16" t="s">
        <v>320</v>
      </c>
      <c r="E16">
        <v>15</v>
      </c>
    </row>
    <row r="17" spans="1:5" x14ac:dyDescent="0.25">
      <c r="A17" t="s">
        <v>320</v>
      </c>
      <c r="B17">
        <v>5.5</v>
      </c>
      <c r="D17" t="s">
        <v>320</v>
      </c>
      <c r="E17">
        <v>5.5</v>
      </c>
    </row>
    <row r="18" spans="1:5" x14ac:dyDescent="0.25">
      <c r="A18" t="s">
        <v>320</v>
      </c>
      <c r="B18">
        <v>4</v>
      </c>
      <c r="D18" t="s">
        <v>320</v>
      </c>
      <c r="E18">
        <v>4</v>
      </c>
    </row>
    <row r="19" spans="1:5" x14ac:dyDescent="0.25">
      <c r="A19" t="s">
        <v>320</v>
      </c>
      <c r="B19">
        <v>4</v>
      </c>
      <c r="D19" t="s">
        <v>320</v>
      </c>
      <c r="E19">
        <v>4</v>
      </c>
    </row>
    <row r="20" spans="1:5" x14ac:dyDescent="0.25">
      <c r="A20" t="s">
        <v>320</v>
      </c>
      <c r="B20">
        <v>16.5</v>
      </c>
      <c r="D20" t="s">
        <v>320</v>
      </c>
      <c r="E20">
        <v>16.5</v>
      </c>
    </row>
    <row r="21" spans="1:5" x14ac:dyDescent="0.25">
      <c r="A21" t="s">
        <v>320</v>
      </c>
      <c r="B21">
        <v>16.5</v>
      </c>
      <c r="D21" t="s">
        <v>320</v>
      </c>
      <c r="E21">
        <v>16.5</v>
      </c>
    </row>
    <row r="22" spans="1:5" x14ac:dyDescent="0.25">
      <c r="A22" t="s">
        <v>320</v>
      </c>
      <c r="B22">
        <v>5.5</v>
      </c>
      <c r="D22" t="s">
        <v>320</v>
      </c>
      <c r="E22">
        <v>5.5</v>
      </c>
    </row>
    <row r="23" spans="1:5" x14ac:dyDescent="0.25">
      <c r="A23" t="s">
        <v>320</v>
      </c>
      <c r="B23">
        <v>4</v>
      </c>
      <c r="D23" t="s">
        <v>320</v>
      </c>
      <c r="E23">
        <v>4</v>
      </c>
    </row>
    <row r="24" spans="1:5" x14ac:dyDescent="0.25">
      <c r="A24" t="s">
        <v>321</v>
      </c>
      <c r="B24">
        <v>6.5</v>
      </c>
      <c r="D24" t="s">
        <v>321</v>
      </c>
      <c r="E24">
        <v>6.5</v>
      </c>
    </row>
    <row r="25" spans="1:5" x14ac:dyDescent="0.25">
      <c r="A25" t="s">
        <v>321</v>
      </c>
      <c r="B25">
        <v>6.5</v>
      </c>
      <c r="D25" t="s">
        <v>321</v>
      </c>
      <c r="E25">
        <v>6.5</v>
      </c>
    </row>
    <row r="26" spans="1:5" x14ac:dyDescent="0.25">
      <c r="A26" t="s">
        <v>321</v>
      </c>
      <c r="B26">
        <v>6.5</v>
      </c>
      <c r="D26" t="s">
        <v>321</v>
      </c>
      <c r="E26">
        <v>6.5</v>
      </c>
    </row>
    <row r="27" spans="1:5" x14ac:dyDescent="0.25">
      <c r="A27" t="s">
        <v>321</v>
      </c>
      <c r="B27">
        <v>6.5</v>
      </c>
      <c r="D27" t="s">
        <v>321</v>
      </c>
      <c r="E27">
        <v>6.5</v>
      </c>
    </row>
    <row r="28" spans="1:5" x14ac:dyDescent="0.25">
      <c r="A28" t="s">
        <v>147</v>
      </c>
      <c r="B28">
        <v>4</v>
      </c>
      <c r="D28" t="s">
        <v>147</v>
      </c>
      <c r="E28">
        <v>4</v>
      </c>
    </row>
    <row r="29" spans="1:5" x14ac:dyDescent="0.25">
      <c r="A29" t="s">
        <v>146</v>
      </c>
      <c r="B29">
        <v>5.5</v>
      </c>
      <c r="D29" t="s">
        <v>146</v>
      </c>
      <c r="E29">
        <v>5.5</v>
      </c>
    </row>
    <row r="30" spans="1:5" x14ac:dyDescent="0.25">
      <c r="A30" t="s">
        <v>323</v>
      </c>
      <c r="B30">
        <v>6.5</v>
      </c>
      <c r="D30" t="s">
        <v>323</v>
      </c>
      <c r="E30">
        <v>6.5</v>
      </c>
    </row>
    <row r="31" spans="1:5" x14ac:dyDescent="0.25">
      <c r="A31" t="s">
        <v>323</v>
      </c>
      <c r="B31">
        <v>6.5</v>
      </c>
      <c r="D31" t="s">
        <v>323</v>
      </c>
      <c r="E31">
        <v>6.5</v>
      </c>
    </row>
    <row r="32" spans="1:5" x14ac:dyDescent="0.25">
      <c r="A32" t="s">
        <v>323</v>
      </c>
      <c r="B32">
        <v>5.5</v>
      </c>
      <c r="D32" t="s">
        <v>323</v>
      </c>
      <c r="E32">
        <v>5.5</v>
      </c>
    </row>
    <row r="33" spans="1:5" x14ac:dyDescent="0.25">
      <c r="A33" t="s">
        <v>325</v>
      </c>
      <c r="B33">
        <v>7</v>
      </c>
      <c r="D33" t="s">
        <v>325</v>
      </c>
      <c r="E33">
        <v>7</v>
      </c>
    </row>
    <row r="34" spans="1:5" x14ac:dyDescent="0.25">
      <c r="A34" t="s">
        <v>325</v>
      </c>
      <c r="B34">
        <v>6.5</v>
      </c>
      <c r="D34" t="s">
        <v>325</v>
      </c>
      <c r="E34">
        <v>6.5</v>
      </c>
    </row>
    <row r="35" spans="1:5" x14ac:dyDescent="0.25">
      <c r="A35" t="s">
        <v>326</v>
      </c>
      <c r="B35">
        <v>4</v>
      </c>
      <c r="D35" t="s">
        <v>326</v>
      </c>
      <c r="E35">
        <v>4</v>
      </c>
    </row>
    <row r="36" spans="1:5" x14ac:dyDescent="0.25">
      <c r="A36" t="s">
        <v>326</v>
      </c>
      <c r="B36">
        <v>4</v>
      </c>
      <c r="D36" t="s">
        <v>326</v>
      </c>
      <c r="E36">
        <v>4</v>
      </c>
    </row>
    <row r="37" spans="1:5" x14ac:dyDescent="0.25">
      <c r="A37" t="s">
        <v>326</v>
      </c>
      <c r="B37">
        <v>6.5</v>
      </c>
      <c r="D37" t="s">
        <v>326</v>
      </c>
      <c r="E37">
        <v>6.5</v>
      </c>
    </row>
    <row r="38" spans="1:5" x14ac:dyDescent="0.25">
      <c r="A38" t="s">
        <v>326</v>
      </c>
      <c r="B38">
        <v>6.5</v>
      </c>
      <c r="D38" t="s">
        <v>326</v>
      </c>
      <c r="E38">
        <v>6.5</v>
      </c>
    </row>
    <row r="39" spans="1:5" x14ac:dyDescent="0.25">
      <c r="A39" t="s">
        <v>326</v>
      </c>
      <c r="B39">
        <v>6.5</v>
      </c>
      <c r="D39" t="s">
        <v>326</v>
      </c>
      <c r="E39">
        <v>6.5</v>
      </c>
    </row>
    <row r="40" spans="1:5" x14ac:dyDescent="0.25">
      <c r="A40" t="s">
        <v>326</v>
      </c>
      <c r="B40">
        <v>6.5</v>
      </c>
      <c r="D40" t="s">
        <v>326</v>
      </c>
      <c r="E40">
        <v>6.5</v>
      </c>
    </row>
    <row r="41" spans="1:5" x14ac:dyDescent="0.25">
      <c r="A41" t="s">
        <v>327</v>
      </c>
      <c r="B41">
        <v>5</v>
      </c>
      <c r="D41" t="s">
        <v>327</v>
      </c>
      <c r="E41">
        <v>5</v>
      </c>
    </row>
    <row r="42" spans="1:5" x14ac:dyDescent="0.25">
      <c r="A42" t="s">
        <v>327</v>
      </c>
      <c r="B42">
        <v>5</v>
      </c>
      <c r="D42" t="s">
        <v>327</v>
      </c>
      <c r="E42">
        <v>5</v>
      </c>
    </row>
    <row r="43" spans="1:5" x14ac:dyDescent="0.25">
      <c r="A43" t="s">
        <v>327</v>
      </c>
      <c r="B43">
        <v>3</v>
      </c>
      <c r="D43" t="s">
        <v>327</v>
      </c>
      <c r="E43">
        <v>3</v>
      </c>
    </row>
    <row r="44" spans="1:5" x14ac:dyDescent="0.25">
      <c r="A44" t="s">
        <v>327</v>
      </c>
      <c r="B44">
        <v>3</v>
      </c>
      <c r="D44" t="s">
        <v>327</v>
      </c>
      <c r="E44">
        <v>3</v>
      </c>
    </row>
    <row r="45" spans="1:5" x14ac:dyDescent="0.25">
      <c r="A45" t="s">
        <v>327</v>
      </c>
      <c r="B45">
        <v>5</v>
      </c>
      <c r="D45" t="s">
        <v>327</v>
      </c>
      <c r="E45">
        <v>5</v>
      </c>
    </row>
    <row r="46" spans="1:5" x14ac:dyDescent="0.25">
      <c r="A46" t="s">
        <v>327</v>
      </c>
      <c r="B46">
        <v>5</v>
      </c>
      <c r="D46" t="s">
        <v>327</v>
      </c>
      <c r="E46">
        <v>5</v>
      </c>
    </row>
    <row r="47" spans="1:5" x14ac:dyDescent="0.25">
      <c r="A47" t="s">
        <v>327</v>
      </c>
      <c r="B47">
        <v>5</v>
      </c>
      <c r="D47" t="s">
        <v>327</v>
      </c>
      <c r="E47">
        <v>5</v>
      </c>
    </row>
    <row r="48" spans="1:5" x14ac:dyDescent="0.25">
      <c r="A48" t="s">
        <v>327</v>
      </c>
      <c r="B48">
        <v>4</v>
      </c>
      <c r="D48" t="s">
        <v>327</v>
      </c>
      <c r="E48">
        <v>4</v>
      </c>
    </row>
    <row r="49" spans="1:5" x14ac:dyDescent="0.25">
      <c r="A49" t="s">
        <v>327</v>
      </c>
      <c r="B49">
        <v>4</v>
      </c>
      <c r="D49" t="s">
        <v>327</v>
      </c>
      <c r="E49">
        <v>4</v>
      </c>
    </row>
    <row r="50" spans="1:5" x14ac:dyDescent="0.25">
      <c r="A50" t="s">
        <v>327</v>
      </c>
      <c r="B50">
        <v>4</v>
      </c>
      <c r="D50" t="s">
        <v>327</v>
      </c>
      <c r="E50">
        <v>4</v>
      </c>
    </row>
    <row r="51" spans="1:5" x14ac:dyDescent="0.25">
      <c r="A51" t="s">
        <v>345</v>
      </c>
      <c r="B51">
        <v>4</v>
      </c>
      <c r="D51" t="s">
        <v>345</v>
      </c>
      <c r="E51">
        <v>4</v>
      </c>
    </row>
    <row r="52" spans="1:5" x14ac:dyDescent="0.25">
      <c r="A52" t="s">
        <v>328</v>
      </c>
      <c r="B52">
        <v>8.5</v>
      </c>
      <c r="D52" t="s">
        <v>328</v>
      </c>
      <c r="E52">
        <v>8.5</v>
      </c>
    </row>
    <row r="53" spans="1:5" x14ac:dyDescent="0.25">
      <c r="A53" t="s">
        <v>328</v>
      </c>
      <c r="B53">
        <v>25</v>
      </c>
      <c r="D53" t="s">
        <v>328</v>
      </c>
      <c r="E53">
        <v>25</v>
      </c>
    </row>
    <row r="54" spans="1:5" x14ac:dyDescent="0.25">
      <c r="A54" t="s">
        <v>328</v>
      </c>
      <c r="B54">
        <v>19</v>
      </c>
      <c r="D54" t="s">
        <v>328</v>
      </c>
      <c r="E54">
        <v>19</v>
      </c>
    </row>
    <row r="55" spans="1:5" x14ac:dyDescent="0.25">
      <c r="A55" t="s">
        <v>328</v>
      </c>
      <c r="B55">
        <v>14</v>
      </c>
      <c r="D55" t="s">
        <v>328</v>
      </c>
      <c r="E55">
        <v>14</v>
      </c>
    </row>
    <row r="56" spans="1:5" x14ac:dyDescent="0.25">
      <c r="A56" t="s">
        <v>266</v>
      </c>
      <c r="B56">
        <v>23</v>
      </c>
      <c r="D56" t="s">
        <v>266</v>
      </c>
      <c r="E56">
        <v>23</v>
      </c>
    </row>
    <row r="57" spans="1:5" x14ac:dyDescent="0.25">
      <c r="A57" t="s">
        <v>266</v>
      </c>
      <c r="B57">
        <v>9</v>
      </c>
      <c r="D57" t="s">
        <v>266</v>
      </c>
      <c r="E57">
        <v>9</v>
      </c>
    </row>
    <row r="58" spans="1:5" x14ac:dyDescent="0.25">
      <c r="A58" t="s">
        <v>266</v>
      </c>
      <c r="B58">
        <v>9</v>
      </c>
      <c r="D58" t="s">
        <v>266</v>
      </c>
      <c r="E58">
        <v>9</v>
      </c>
    </row>
    <row r="59" spans="1:5" x14ac:dyDescent="0.25">
      <c r="A59" t="s">
        <v>176</v>
      </c>
      <c r="B59">
        <v>3.5</v>
      </c>
      <c r="D59" t="s">
        <v>176</v>
      </c>
      <c r="E59">
        <v>3.5</v>
      </c>
    </row>
    <row r="60" spans="1:5" x14ac:dyDescent="0.25">
      <c r="A60" t="s">
        <v>329</v>
      </c>
      <c r="B60">
        <v>8</v>
      </c>
      <c r="D60" t="s">
        <v>329</v>
      </c>
      <c r="E60">
        <v>8</v>
      </c>
    </row>
    <row r="61" spans="1:5" x14ac:dyDescent="0.25">
      <c r="A61" t="s">
        <v>329</v>
      </c>
      <c r="B61">
        <v>5</v>
      </c>
      <c r="D61" t="s">
        <v>329</v>
      </c>
      <c r="E61">
        <v>5</v>
      </c>
    </row>
    <row r="62" spans="1:5" x14ac:dyDescent="0.25">
      <c r="A62" t="s">
        <v>329</v>
      </c>
      <c r="B62">
        <v>5</v>
      </c>
      <c r="D62" t="s">
        <v>329</v>
      </c>
      <c r="E62">
        <v>5</v>
      </c>
    </row>
    <row r="63" spans="1:5" x14ac:dyDescent="0.25">
      <c r="A63" t="s">
        <v>329</v>
      </c>
      <c r="B63">
        <v>3</v>
      </c>
      <c r="D63" t="s">
        <v>329</v>
      </c>
      <c r="E63">
        <v>3</v>
      </c>
    </row>
    <row r="64" spans="1:5" x14ac:dyDescent="0.25">
      <c r="A64" t="s">
        <v>329</v>
      </c>
      <c r="B64">
        <v>4</v>
      </c>
      <c r="D64" t="s">
        <v>329</v>
      </c>
      <c r="E64">
        <v>4</v>
      </c>
    </row>
    <row r="65" spans="1:5" x14ac:dyDescent="0.25">
      <c r="A65" t="s">
        <v>329</v>
      </c>
      <c r="B65">
        <v>4</v>
      </c>
      <c r="D65" t="s">
        <v>329</v>
      </c>
      <c r="E65">
        <v>4</v>
      </c>
    </row>
    <row r="66" spans="1:5" x14ac:dyDescent="0.25">
      <c r="A66" t="s">
        <v>330</v>
      </c>
      <c r="B66">
        <v>5.5</v>
      </c>
      <c r="D66" t="s">
        <v>330</v>
      </c>
      <c r="E66">
        <v>5.5</v>
      </c>
    </row>
    <row r="67" spans="1:5" x14ac:dyDescent="0.25">
      <c r="A67" t="s">
        <v>330</v>
      </c>
      <c r="B67">
        <v>3.5</v>
      </c>
      <c r="D67" t="s">
        <v>330</v>
      </c>
      <c r="E67">
        <v>3.5</v>
      </c>
    </row>
    <row r="68" spans="1:5" x14ac:dyDescent="0.25">
      <c r="A68" t="s">
        <v>331</v>
      </c>
      <c r="B68">
        <v>7.5</v>
      </c>
      <c r="D68" t="s">
        <v>331</v>
      </c>
      <c r="E68">
        <v>7.5</v>
      </c>
    </row>
    <row r="69" spans="1:5" x14ac:dyDescent="0.25">
      <c r="A69" t="s">
        <v>331</v>
      </c>
      <c r="B69">
        <v>7.5</v>
      </c>
      <c r="D69" t="s">
        <v>331</v>
      </c>
      <c r="E69">
        <v>7.5</v>
      </c>
    </row>
    <row r="70" spans="1:5" x14ac:dyDescent="0.25">
      <c r="A70" t="s">
        <v>331</v>
      </c>
      <c r="B70">
        <v>7.5</v>
      </c>
      <c r="D70" t="s">
        <v>331</v>
      </c>
      <c r="E70">
        <v>7.5</v>
      </c>
    </row>
    <row r="71" spans="1:5" x14ac:dyDescent="0.25">
      <c r="A71" t="s">
        <v>331</v>
      </c>
      <c r="B71">
        <v>7.5</v>
      </c>
      <c r="D71" t="s">
        <v>331</v>
      </c>
      <c r="E71">
        <v>7.5</v>
      </c>
    </row>
    <row r="72" spans="1:5" x14ac:dyDescent="0.25">
      <c r="A72" t="s">
        <v>331</v>
      </c>
      <c r="B72">
        <v>7.5</v>
      </c>
      <c r="D72" t="s">
        <v>331</v>
      </c>
      <c r="E72">
        <v>7.5</v>
      </c>
    </row>
    <row r="73" spans="1:5" x14ac:dyDescent="0.25">
      <c r="A73" t="s">
        <v>331</v>
      </c>
      <c r="B73">
        <v>2</v>
      </c>
      <c r="D73" t="s">
        <v>331</v>
      </c>
      <c r="E73">
        <v>2</v>
      </c>
    </row>
    <row r="74" spans="1:5" x14ac:dyDescent="0.25">
      <c r="A74" t="s">
        <v>331</v>
      </c>
      <c r="B74">
        <v>4</v>
      </c>
      <c r="D74" t="s">
        <v>331</v>
      </c>
      <c r="E74">
        <v>4</v>
      </c>
    </row>
    <row r="75" spans="1:5" x14ac:dyDescent="0.25">
      <c r="A75" t="s">
        <v>331</v>
      </c>
      <c r="B75">
        <v>5</v>
      </c>
      <c r="D75" t="s">
        <v>331</v>
      </c>
      <c r="E75">
        <v>5</v>
      </c>
    </row>
    <row r="76" spans="1:5" x14ac:dyDescent="0.25">
      <c r="A76" t="s">
        <v>331</v>
      </c>
      <c r="B76">
        <v>5</v>
      </c>
      <c r="D76" t="s">
        <v>331</v>
      </c>
      <c r="E76">
        <v>5</v>
      </c>
    </row>
    <row r="77" spans="1:5" x14ac:dyDescent="0.25">
      <c r="A77" t="s">
        <v>332</v>
      </c>
      <c r="B77">
        <v>7.5</v>
      </c>
      <c r="D77" t="s">
        <v>332</v>
      </c>
      <c r="E77">
        <v>7.5</v>
      </c>
    </row>
    <row r="78" spans="1:5" x14ac:dyDescent="0.25">
      <c r="A78" t="s">
        <v>332</v>
      </c>
      <c r="B78">
        <v>7.5</v>
      </c>
      <c r="D78" t="s">
        <v>332</v>
      </c>
      <c r="E78">
        <v>7.5</v>
      </c>
    </row>
    <row r="79" spans="1:5" x14ac:dyDescent="0.25">
      <c r="A79" t="s">
        <v>332</v>
      </c>
      <c r="B79">
        <v>7.5</v>
      </c>
      <c r="D79" t="s">
        <v>332</v>
      </c>
      <c r="E79">
        <v>7.5</v>
      </c>
    </row>
    <row r="80" spans="1:5" x14ac:dyDescent="0.25">
      <c r="A80" t="s">
        <v>332</v>
      </c>
      <c r="B80">
        <v>7.5</v>
      </c>
      <c r="D80" t="s">
        <v>332</v>
      </c>
      <c r="E80">
        <v>7.5</v>
      </c>
    </row>
    <row r="81" spans="1:5" x14ac:dyDescent="0.25">
      <c r="A81" t="s">
        <v>332</v>
      </c>
      <c r="B81">
        <v>7.5</v>
      </c>
      <c r="D81" t="s">
        <v>332</v>
      </c>
      <c r="E81">
        <v>7.5</v>
      </c>
    </row>
    <row r="82" spans="1:5" x14ac:dyDescent="0.25">
      <c r="A82" t="s">
        <v>332</v>
      </c>
      <c r="B82">
        <v>7.5</v>
      </c>
      <c r="D82" t="s">
        <v>332</v>
      </c>
      <c r="E82">
        <v>7.5</v>
      </c>
    </row>
    <row r="83" spans="1:5" x14ac:dyDescent="0.25">
      <c r="A83" t="s">
        <v>332</v>
      </c>
      <c r="B83">
        <v>11</v>
      </c>
      <c r="D83" t="s">
        <v>332</v>
      </c>
      <c r="E83">
        <v>11</v>
      </c>
    </row>
    <row r="84" spans="1:5" x14ac:dyDescent="0.25">
      <c r="A84" t="s">
        <v>332</v>
      </c>
      <c r="B84">
        <v>5.5</v>
      </c>
      <c r="D84" t="s">
        <v>332</v>
      </c>
      <c r="E84">
        <v>5.5</v>
      </c>
    </row>
    <row r="85" spans="1:5" x14ac:dyDescent="0.25">
      <c r="A85" t="s">
        <v>332</v>
      </c>
      <c r="B85">
        <v>15.5</v>
      </c>
      <c r="D85" t="s">
        <v>332</v>
      </c>
      <c r="E85">
        <v>15.5</v>
      </c>
    </row>
    <row r="86" spans="1:5" x14ac:dyDescent="0.25">
      <c r="A86" t="s">
        <v>332</v>
      </c>
      <c r="B86">
        <v>15.5</v>
      </c>
      <c r="D86" t="s">
        <v>332</v>
      </c>
      <c r="E86">
        <v>15.5</v>
      </c>
    </row>
    <row r="87" spans="1:5" x14ac:dyDescent="0.25">
      <c r="A87" t="s">
        <v>347</v>
      </c>
      <c r="B87">
        <v>6.5</v>
      </c>
      <c r="D87" t="s">
        <v>347</v>
      </c>
      <c r="E87">
        <v>6.5</v>
      </c>
    </row>
    <row r="88" spans="1:5" x14ac:dyDescent="0.25">
      <c r="A88" t="s">
        <v>347</v>
      </c>
      <c r="B88">
        <v>6.5</v>
      </c>
      <c r="D88" t="s">
        <v>347</v>
      </c>
      <c r="E88">
        <v>6.5</v>
      </c>
    </row>
    <row r="89" spans="1:5" x14ac:dyDescent="0.25">
      <c r="A89" t="s">
        <v>347</v>
      </c>
      <c r="B89">
        <v>6.5</v>
      </c>
      <c r="D89" t="s">
        <v>347</v>
      </c>
      <c r="E89">
        <v>6.5</v>
      </c>
    </row>
    <row r="90" spans="1:5" x14ac:dyDescent="0.25">
      <c r="A90" t="s">
        <v>347</v>
      </c>
      <c r="B90">
        <v>6.5</v>
      </c>
      <c r="D90" t="s">
        <v>347</v>
      </c>
      <c r="E90">
        <v>6.5</v>
      </c>
    </row>
    <row r="91" spans="1:5" x14ac:dyDescent="0.25">
      <c r="A91" t="s">
        <v>347</v>
      </c>
      <c r="B91">
        <v>6.5</v>
      </c>
      <c r="D91" t="s">
        <v>347</v>
      </c>
      <c r="E91">
        <v>6.5</v>
      </c>
    </row>
    <row r="92" spans="1:5" x14ac:dyDescent="0.25">
      <c r="A92" t="s">
        <v>333</v>
      </c>
      <c r="B92">
        <v>4.5</v>
      </c>
      <c r="D92" t="s">
        <v>333</v>
      </c>
      <c r="E92">
        <v>4.5</v>
      </c>
    </row>
    <row r="93" spans="1:5" x14ac:dyDescent="0.25">
      <c r="A93" t="s">
        <v>333</v>
      </c>
      <c r="B93">
        <v>4.5</v>
      </c>
      <c r="D93" t="s">
        <v>333</v>
      </c>
      <c r="E93">
        <v>4.5</v>
      </c>
    </row>
    <row r="94" spans="1:5" x14ac:dyDescent="0.25">
      <c r="A94" t="s">
        <v>333</v>
      </c>
      <c r="B94">
        <v>5.5</v>
      </c>
      <c r="D94" t="s">
        <v>333</v>
      </c>
      <c r="E94">
        <v>5.5</v>
      </c>
    </row>
    <row r="95" spans="1:5" x14ac:dyDescent="0.25">
      <c r="A95" t="s">
        <v>334</v>
      </c>
      <c r="B95">
        <v>6.5</v>
      </c>
      <c r="D95" t="s">
        <v>334</v>
      </c>
      <c r="E95">
        <v>6.5</v>
      </c>
    </row>
    <row r="96" spans="1:5" x14ac:dyDescent="0.25">
      <c r="A96" t="s">
        <v>334</v>
      </c>
      <c r="B96">
        <v>6.5</v>
      </c>
      <c r="D96" t="s">
        <v>334</v>
      </c>
      <c r="E96">
        <v>6.5</v>
      </c>
    </row>
    <row r="97" spans="1:5" x14ac:dyDescent="0.25">
      <c r="A97" t="s">
        <v>334</v>
      </c>
      <c r="B97">
        <v>3</v>
      </c>
      <c r="D97" t="s">
        <v>334</v>
      </c>
      <c r="E97">
        <v>3</v>
      </c>
    </row>
    <row r="98" spans="1:5" x14ac:dyDescent="0.25">
      <c r="A98" t="s">
        <v>336</v>
      </c>
      <c r="B98">
        <v>23</v>
      </c>
      <c r="D98" t="s">
        <v>336</v>
      </c>
      <c r="E98">
        <v>23</v>
      </c>
    </row>
    <row r="99" spans="1:5" x14ac:dyDescent="0.25">
      <c r="A99" t="s">
        <v>336</v>
      </c>
      <c r="B99">
        <v>17.5</v>
      </c>
      <c r="D99" t="s">
        <v>336</v>
      </c>
      <c r="E99">
        <v>17.5</v>
      </c>
    </row>
    <row r="100" spans="1:5" x14ac:dyDescent="0.25">
      <c r="A100" t="s">
        <v>336</v>
      </c>
      <c r="B100">
        <v>11</v>
      </c>
      <c r="D100" t="s">
        <v>336</v>
      </c>
      <c r="E100">
        <v>11</v>
      </c>
    </row>
    <row r="101" spans="1:5" x14ac:dyDescent="0.25">
      <c r="A101" t="s">
        <v>336</v>
      </c>
      <c r="B101">
        <v>5.5</v>
      </c>
      <c r="D101" t="s">
        <v>336</v>
      </c>
      <c r="E101">
        <v>5.5</v>
      </c>
    </row>
    <row r="102" spans="1:5" x14ac:dyDescent="0.25">
      <c r="A102" t="s">
        <v>324</v>
      </c>
      <c r="B102">
        <v>4.5</v>
      </c>
      <c r="D102" t="s">
        <v>324</v>
      </c>
      <c r="E102">
        <v>4.5</v>
      </c>
    </row>
    <row r="103" spans="1:5" x14ac:dyDescent="0.25">
      <c r="A103" t="s">
        <v>337</v>
      </c>
      <c r="B103">
        <v>8</v>
      </c>
      <c r="D103" t="s">
        <v>337</v>
      </c>
      <c r="E103">
        <v>8</v>
      </c>
    </row>
    <row r="104" spans="1:5" x14ac:dyDescent="0.25">
      <c r="A104" t="s">
        <v>337</v>
      </c>
      <c r="B104">
        <v>8</v>
      </c>
      <c r="D104" t="s">
        <v>337</v>
      </c>
      <c r="E104">
        <v>8</v>
      </c>
    </row>
    <row r="105" spans="1:5" x14ac:dyDescent="0.25">
      <c r="A105" t="s">
        <v>337</v>
      </c>
      <c r="B105">
        <v>8</v>
      </c>
      <c r="D105" t="s">
        <v>337</v>
      </c>
      <c r="E105">
        <v>8</v>
      </c>
    </row>
    <row r="106" spans="1:5" x14ac:dyDescent="0.25">
      <c r="A106" t="s">
        <v>337</v>
      </c>
      <c r="B106">
        <v>8</v>
      </c>
      <c r="D106" t="s">
        <v>337</v>
      </c>
      <c r="E106">
        <v>8</v>
      </c>
    </row>
    <row r="107" spans="1:5" x14ac:dyDescent="0.25">
      <c r="A107" t="s">
        <v>337</v>
      </c>
      <c r="B107">
        <v>8</v>
      </c>
      <c r="D107" t="s">
        <v>337</v>
      </c>
      <c r="E107">
        <v>8</v>
      </c>
    </row>
    <row r="108" spans="1:5" x14ac:dyDescent="0.25">
      <c r="A108" t="s">
        <v>352</v>
      </c>
      <c r="B108">
        <v>5</v>
      </c>
      <c r="D108" t="s">
        <v>352</v>
      </c>
      <c r="E108">
        <v>5</v>
      </c>
    </row>
    <row r="109" spans="1:5" x14ac:dyDescent="0.25">
      <c r="A109" t="s">
        <v>352</v>
      </c>
      <c r="B109">
        <v>5</v>
      </c>
      <c r="D109" t="s">
        <v>352</v>
      </c>
      <c r="E109">
        <v>5</v>
      </c>
    </row>
    <row r="110" spans="1:5" x14ac:dyDescent="0.25">
      <c r="A110" t="s">
        <v>352</v>
      </c>
      <c r="B110">
        <v>11</v>
      </c>
      <c r="D110" t="s">
        <v>352</v>
      </c>
      <c r="E110">
        <v>11</v>
      </c>
    </row>
    <row r="111" spans="1:5" x14ac:dyDescent="0.25">
      <c r="A111" t="s">
        <v>352</v>
      </c>
      <c r="B111">
        <v>5.5</v>
      </c>
      <c r="D111" t="s">
        <v>352</v>
      </c>
      <c r="E111">
        <v>5.5</v>
      </c>
    </row>
    <row r="112" spans="1:5" x14ac:dyDescent="0.25">
      <c r="A112" t="s">
        <v>352</v>
      </c>
      <c r="B112">
        <v>5.5</v>
      </c>
      <c r="D112" t="s">
        <v>352</v>
      </c>
      <c r="E112">
        <v>5.5</v>
      </c>
    </row>
    <row r="113" spans="1:5" x14ac:dyDescent="0.25">
      <c r="A113" t="s">
        <v>352</v>
      </c>
      <c r="B113">
        <v>11</v>
      </c>
      <c r="D113" t="s">
        <v>352</v>
      </c>
      <c r="E113">
        <v>11</v>
      </c>
    </row>
    <row r="114" spans="1:5" x14ac:dyDescent="0.25">
      <c r="A114" t="s">
        <v>352</v>
      </c>
      <c r="B114">
        <v>10.5</v>
      </c>
      <c r="D114" t="s">
        <v>352</v>
      </c>
      <c r="E114">
        <v>10.5</v>
      </c>
    </row>
    <row r="115" spans="1:5" x14ac:dyDescent="0.25">
      <c r="A115" t="s">
        <v>352</v>
      </c>
      <c r="B115">
        <v>10.5</v>
      </c>
      <c r="D115" t="s">
        <v>352</v>
      </c>
      <c r="E115">
        <v>10.5</v>
      </c>
    </row>
    <row r="116" spans="1:5" x14ac:dyDescent="0.25">
      <c r="A116" t="s">
        <v>352</v>
      </c>
      <c r="B116">
        <v>10.5</v>
      </c>
      <c r="D116" t="s">
        <v>352</v>
      </c>
      <c r="E116">
        <v>10.5</v>
      </c>
    </row>
    <row r="117" spans="1:5" x14ac:dyDescent="0.25">
      <c r="A117" t="s">
        <v>352</v>
      </c>
      <c r="B117">
        <v>5.5</v>
      </c>
      <c r="D117" t="s">
        <v>352</v>
      </c>
      <c r="E117">
        <v>5.5</v>
      </c>
    </row>
    <row r="118" spans="1:5" x14ac:dyDescent="0.25">
      <c r="A118" t="s">
        <v>352</v>
      </c>
      <c r="B118">
        <v>5.5</v>
      </c>
      <c r="D118" t="s">
        <v>352</v>
      </c>
      <c r="E118">
        <v>5.5</v>
      </c>
    </row>
    <row r="119" spans="1:5" x14ac:dyDescent="0.25">
      <c r="A119" t="s">
        <v>338</v>
      </c>
      <c r="B119">
        <v>4</v>
      </c>
      <c r="D119" t="s">
        <v>338</v>
      </c>
      <c r="E119">
        <v>4</v>
      </c>
    </row>
    <row r="120" spans="1:5" x14ac:dyDescent="0.25">
      <c r="A120" t="s">
        <v>338</v>
      </c>
      <c r="B120">
        <v>4</v>
      </c>
      <c r="D120" t="s">
        <v>338</v>
      </c>
      <c r="E120">
        <v>4</v>
      </c>
    </row>
    <row r="121" spans="1:5" x14ac:dyDescent="0.25">
      <c r="A121" t="s">
        <v>338</v>
      </c>
      <c r="B121">
        <v>4</v>
      </c>
      <c r="D121" t="s">
        <v>338</v>
      </c>
      <c r="E121">
        <v>4</v>
      </c>
    </row>
    <row r="122" spans="1:5" x14ac:dyDescent="0.25">
      <c r="A122" t="s">
        <v>119</v>
      </c>
      <c r="B122">
        <v>8</v>
      </c>
      <c r="D122" t="s">
        <v>119</v>
      </c>
      <c r="E122">
        <v>8</v>
      </c>
    </row>
    <row r="123" spans="1:5" x14ac:dyDescent="0.25">
      <c r="A123" t="s">
        <v>352</v>
      </c>
      <c r="B123">
        <v>14</v>
      </c>
      <c r="D123" t="s">
        <v>352</v>
      </c>
      <c r="E123">
        <v>14</v>
      </c>
    </row>
    <row r="124" spans="1:5" x14ac:dyDescent="0.25">
      <c r="A124" t="s">
        <v>352</v>
      </c>
      <c r="B124">
        <v>14</v>
      </c>
      <c r="D124" t="s">
        <v>352</v>
      </c>
      <c r="E124">
        <v>14</v>
      </c>
    </row>
    <row r="125" spans="1:5" x14ac:dyDescent="0.25">
      <c r="A125" t="s">
        <v>352</v>
      </c>
      <c r="B125">
        <v>8</v>
      </c>
      <c r="D125" t="s">
        <v>352</v>
      </c>
      <c r="E125">
        <v>8</v>
      </c>
    </row>
    <row r="126" spans="1:5" x14ac:dyDescent="0.25">
      <c r="A126" t="s">
        <v>352</v>
      </c>
      <c r="B126">
        <v>5.5</v>
      </c>
      <c r="D126" t="s">
        <v>352</v>
      </c>
      <c r="E126">
        <v>5.5</v>
      </c>
    </row>
    <row r="127" spans="1:5" x14ac:dyDescent="0.25">
      <c r="A127" t="s">
        <v>352</v>
      </c>
      <c r="B127">
        <v>5.5</v>
      </c>
      <c r="D127" t="s">
        <v>352</v>
      </c>
      <c r="E127">
        <v>5.5</v>
      </c>
    </row>
    <row r="128" spans="1:5" x14ac:dyDescent="0.25">
      <c r="A128" t="s">
        <v>352</v>
      </c>
      <c r="B128">
        <v>5.5</v>
      </c>
      <c r="D128" t="s">
        <v>352</v>
      </c>
      <c r="E128">
        <v>5.5</v>
      </c>
    </row>
    <row r="129" spans="1:5" x14ac:dyDescent="0.25">
      <c r="A129" t="s">
        <v>352</v>
      </c>
      <c r="B129">
        <v>5.5</v>
      </c>
      <c r="D129" t="s">
        <v>352</v>
      </c>
      <c r="E129">
        <v>5.5</v>
      </c>
    </row>
    <row r="130" spans="1:5" x14ac:dyDescent="0.25">
      <c r="A130" t="s">
        <v>352</v>
      </c>
      <c r="B130">
        <v>5.5</v>
      </c>
      <c r="D130" t="s">
        <v>352</v>
      </c>
      <c r="E130">
        <v>5.5</v>
      </c>
    </row>
    <row r="131" spans="1:5" x14ac:dyDescent="0.25">
      <c r="A131" t="s">
        <v>352</v>
      </c>
      <c r="B131">
        <v>3</v>
      </c>
      <c r="D131" t="s">
        <v>352</v>
      </c>
      <c r="E131">
        <v>3</v>
      </c>
    </row>
    <row r="132" spans="1:5" x14ac:dyDescent="0.25">
      <c r="A132" t="s">
        <v>339</v>
      </c>
      <c r="B132">
        <v>5.5</v>
      </c>
      <c r="D132" t="s">
        <v>339</v>
      </c>
      <c r="E132">
        <v>5.5</v>
      </c>
    </row>
    <row r="133" spans="1:5" x14ac:dyDescent="0.25">
      <c r="A133" t="s">
        <v>339</v>
      </c>
      <c r="B133">
        <v>5.5</v>
      </c>
      <c r="D133" t="s">
        <v>339</v>
      </c>
      <c r="E133">
        <v>5.5</v>
      </c>
    </row>
    <row r="134" spans="1:5" x14ac:dyDescent="0.25">
      <c r="A134" t="s">
        <v>340</v>
      </c>
      <c r="B134">
        <v>6</v>
      </c>
      <c r="D134" t="s">
        <v>340</v>
      </c>
      <c r="E134">
        <v>6</v>
      </c>
    </row>
    <row r="135" spans="1:5" x14ac:dyDescent="0.25">
      <c r="A135" t="s">
        <v>340</v>
      </c>
      <c r="B135">
        <v>4</v>
      </c>
      <c r="D135" t="s">
        <v>340</v>
      </c>
      <c r="E135">
        <v>4</v>
      </c>
    </row>
    <row r="136" spans="1:5" x14ac:dyDescent="0.25">
      <c r="A136" t="s">
        <v>340</v>
      </c>
      <c r="B136">
        <v>5.5</v>
      </c>
      <c r="D136" t="s">
        <v>340</v>
      </c>
      <c r="E136">
        <v>5.5</v>
      </c>
    </row>
    <row r="137" spans="1:5" x14ac:dyDescent="0.25">
      <c r="A137" t="s">
        <v>340</v>
      </c>
      <c r="B137">
        <v>5.5</v>
      </c>
      <c r="D137" t="s">
        <v>340</v>
      </c>
      <c r="E137">
        <v>5.5</v>
      </c>
    </row>
    <row r="138" spans="1:5" x14ac:dyDescent="0.25">
      <c r="A138" t="s">
        <v>340</v>
      </c>
      <c r="B138">
        <v>4</v>
      </c>
      <c r="D138" t="s">
        <v>340</v>
      </c>
      <c r="E138">
        <v>4</v>
      </c>
    </row>
    <row r="139" spans="1:5" x14ac:dyDescent="0.25">
      <c r="A139" t="s">
        <v>351</v>
      </c>
      <c r="B139">
        <v>5.5</v>
      </c>
      <c r="D139" t="s">
        <v>351</v>
      </c>
      <c r="E139">
        <v>5.5</v>
      </c>
    </row>
    <row r="140" spans="1:5" x14ac:dyDescent="0.25">
      <c r="A140" t="s">
        <v>351</v>
      </c>
      <c r="B140">
        <v>5.5</v>
      </c>
      <c r="D140" t="s">
        <v>351</v>
      </c>
      <c r="E140">
        <v>5.5</v>
      </c>
    </row>
    <row r="141" spans="1:5" x14ac:dyDescent="0.25">
      <c r="A141" t="s">
        <v>351</v>
      </c>
      <c r="B141">
        <v>5.5</v>
      </c>
      <c r="D141" t="s">
        <v>351</v>
      </c>
      <c r="E141">
        <v>5.5</v>
      </c>
    </row>
    <row r="142" spans="1:5" x14ac:dyDescent="0.25">
      <c r="A142" t="s">
        <v>341</v>
      </c>
      <c r="B142">
        <v>8</v>
      </c>
      <c r="D142" t="s">
        <v>341</v>
      </c>
      <c r="E142">
        <v>8</v>
      </c>
    </row>
    <row r="143" spans="1:5" x14ac:dyDescent="0.25">
      <c r="A143" t="s">
        <v>341</v>
      </c>
      <c r="B143">
        <v>8</v>
      </c>
      <c r="D143" t="s">
        <v>341</v>
      </c>
      <c r="E143">
        <v>8</v>
      </c>
    </row>
    <row r="144" spans="1:5" x14ac:dyDescent="0.25">
      <c r="A144" t="s">
        <v>341</v>
      </c>
      <c r="B144">
        <v>8</v>
      </c>
      <c r="D144" t="s">
        <v>341</v>
      </c>
      <c r="E144">
        <v>8</v>
      </c>
    </row>
    <row r="145" spans="1:5" x14ac:dyDescent="0.25">
      <c r="A145" t="s">
        <v>341</v>
      </c>
      <c r="B145">
        <v>8</v>
      </c>
      <c r="D145" t="s">
        <v>341</v>
      </c>
      <c r="E145">
        <v>8</v>
      </c>
    </row>
    <row r="146" spans="1:5" x14ac:dyDescent="0.25">
      <c r="A146" t="s">
        <v>341</v>
      </c>
      <c r="B146">
        <v>8</v>
      </c>
      <c r="D146" t="s">
        <v>341</v>
      </c>
      <c r="E146">
        <v>8</v>
      </c>
    </row>
    <row r="147" spans="1:5" x14ac:dyDescent="0.25">
      <c r="A147" t="s">
        <v>341</v>
      </c>
      <c r="B147">
        <v>4</v>
      </c>
      <c r="D147" t="s">
        <v>341</v>
      </c>
      <c r="E147">
        <v>4</v>
      </c>
    </row>
    <row r="148" spans="1:5" x14ac:dyDescent="0.25">
      <c r="A148" t="s">
        <v>341</v>
      </c>
      <c r="B148">
        <v>4</v>
      </c>
      <c r="D148" t="s">
        <v>341</v>
      </c>
      <c r="E148">
        <v>4</v>
      </c>
    </row>
    <row r="149" spans="1:5" x14ac:dyDescent="0.25">
      <c r="A149" t="s">
        <v>341</v>
      </c>
      <c r="B149">
        <v>9</v>
      </c>
      <c r="D149" t="s">
        <v>341</v>
      </c>
      <c r="E149">
        <v>9</v>
      </c>
    </row>
    <row r="150" spans="1:5" x14ac:dyDescent="0.25">
      <c r="A150" t="s">
        <v>341</v>
      </c>
      <c r="B150">
        <v>9</v>
      </c>
      <c r="D150" t="s">
        <v>341</v>
      </c>
      <c r="E150">
        <v>9</v>
      </c>
    </row>
    <row r="151" spans="1:5" x14ac:dyDescent="0.25">
      <c r="A151" t="s">
        <v>341</v>
      </c>
      <c r="B151">
        <v>4</v>
      </c>
      <c r="D151" t="s">
        <v>341</v>
      </c>
      <c r="E151">
        <v>4</v>
      </c>
    </row>
    <row r="152" spans="1:5" x14ac:dyDescent="0.25">
      <c r="A152" t="s">
        <v>341</v>
      </c>
      <c r="B152">
        <v>15.5</v>
      </c>
      <c r="D152" t="s">
        <v>341</v>
      </c>
      <c r="E152">
        <v>15.5</v>
      </c>
    </row>
    <row r="153" spans="1:5" x14ac:dyDescent="0.25">
      <c r="A153" t="s">
        <v>341</v>
      </c>
      <c r="B153">
        <v>15.5</v>
      </c>
      <c r="D153" t="s">
        <v>341</v>
      </c>
      <c r="E153">
        <v>15.5</v>
      </c>
    </row>
    <row r="154" spans="1:5" x14ac:dyDescent="0.25">
      <c r="A154" t="s">
        <v>341</v>
      </c>
      <c r="B154">
        <v>10.5</v>
      </c>
      <c r="D154" t="s">
        <v>341</v>
      </c>
      <c r="E154">
        <v>10.5</v>
      </c>
    </row>
    <row r="155" spans="1:5" x14ac:dyDescent="0.25">
      <c r="A155" t="s">
        <v>342</v>
      </c>
      <c r="B155">
        <v>5</v>
      </c>
      <c r="D155" t="s">
        <v>342</v>
      </c>
      <c r="E155">
        <v>5</v>
      </c>
    </row>
    <row r="156" spans="1:5" x14ac:dyDescent="0.25">
      <c r="A156" t="s">
        <v>342</v>
      </c>
      <c r="B156">
        <v>5</v>
      </c>
      <c r="D156" t="s">
        <v>342</v>
      </c>
      <c r="E156">
        <v>5</v>
      </c>
    </row>
    <row r="157" spans="1:5" x14ac:dyDescent="0.25">
      <c r="A157" t="s">
        <v>342</v>
      </c>
      <c r="B157">
        <v>3</v>
      </c>
      <c r="D157" t="s">
        <v>342</v>
      </c>
      <c r="E157">
        <v>3</v>
      </c>
    </row>
    <row r="158" spans="1:5" x14ac:dyDescent="0.25">
      <c r="A158" t="s">
        <v>342</v>
      </c>
      <c r="B158">
        <v>5</v>
      </c>
      <c r="D158" t="s">
        <v>342</v>
      </c>
      <c r="E158">
        <v>5</v>
      </c>
    </row>
    <row r="159" spans="1:5" x14ac:dyDescent="0.25">
      <c r="A159" t="s">
        <v>342</v>
      </c>
      <c r="B159">
        <v>5</v>
      </c>
      <c r="D159" t="s">
        <v>342</v>
      </c>
      <c r="E159">
        <v>5</v>
      </c>
    </row>
    <row r="160" spans="1:5" x14ac:dyDescent="0.25">
      <c r="A160" t="s">
        <v>141</v>
      </c>
      <c r="B160">
        <v>6</v>
      </c>
      <c r="D160" t="s">
        <v>141</v>
      </c>
      <c r="E160">
        <v>6</v>
      </c>
    </row>
    <row r="161" spans="1:5" x14ac:dyDescent="0.25">
      <c r="A161" t="s">
        <v>344</v>
      </c>
      <c r="B161">
        <v>4</v>
      </c>
      <c r="D161" t="s">
        <v>344</v>
      </c>
      <c r="E161">
        <v>4</v>
      </c>
    </row>
    <row r="162" spans="1:5" x14ac:dyDescent="0.25">
      <c r="A162" t="s">
        <v>344</v>
      </c>
      <c r="B162">
        <v>4</v>
      </c>
      <c r="D162" t="s">
        <v>344</v>
      </c>
      <c r="E162">
        <v>4</v>
      </c>
    </row>
    <row r="163" spans="1:5" x14ac:dyDescent="0.25">
      <c r="A163" t="s">
        <v>293</v>
      </c>
      <c r="B163">
        <v>4</v>
      </c>
      <c r="D163" t="s">
        <v>293</v>
      </c>
      <c r="E163">
        <v>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01ef473-1889-4a76-a52f-bae518819328" xsi:nil="true"/>
    <lcf76f155ced4ddcb4097134ff3c332f xmlns="324a10c2-c73c-4087-8828-d2ba41895d1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074B6DB322BA4C863A848EEC6D214A" ma:contentTypeVersion="13" ma:contentTypeDescription="Create a new document." ma:contentTypeScope="" ma:versionID="2f55b8574c7d72f537aeb5b64c535454">
  <xsd:schema xmlns:xsd="http://www.w3.org/2001/XMLSchema" xmlns:xs="http://www.w3.org/2001/XMLSchema" xmlns:p="http://schemas.microsoft.com/office/2006/metadata/properties" xmlns:ns2="324a10c2-c73c-4087-8828-d2ba41895d1c" xmlns:ns3="b01ef473-1889-4a76-a52f-bae518819328" targetNamespace="http://schemas.microsoft.com/office/2006/metadata/properties" ma:root="true" ma:fieldsID="460d6df687e64f9bf45e0849aa510f51" ns2:_="" ns3:_="">
    <xsd:import namespace="324a10c2-c73c-4087-8828-d2ba41895d1c"/>
    <xsd:import namespace="b01ef473-1889-4a76-a52f-bae51881932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4a10c2-c73c-4087-8828-d2ba41895d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b5912fd-79f6-45d2-8c80-745565f067fa"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1ef473-1889-4a76-a52f-bae51881932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d829c54-b450-4924-b75b-355cc7346881}" ma:internalName="TaxCatchAll" ma:showField="CatchAllData" ma:web="b01ef473-1889-4a76-a52f-bae5188193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962266-A03C-4641-B6E6-8A0C120687AA}">
  <ds:schemaRefs>
    <ds:schemaRef ds:uri="http://schemas.microsoft.com/office/2006/metadata/properties"/>
    <ds:schemaRef ds:uri="http://schemas.microsoft.com/office/infopath/2007/PartnerControls"/>
    <ds:schemaRef ds:uri="b01ef473-1889-4a76-a52f-bae518819328"/>
    <ds:schemaRef ds:uri="324a10c2-c73c-4087-8828-d2ba41895d1c"/>
  </ds:schemaRefs>
</ds:datastoreItem>
</file>

<file path=customXml/itemProps2.xml><?xml version="1.0" encoding="utf-8"?>
<ds:datastoreItem xmlns:ds="http://schemas.openxmlformats.org/officeDocument/2006/customXml" ds:itemID="{A5A5DB1D-0EBE-47E0-98BC-A4F7FF71401A}">
  <ds:schemaRefs>
    <ds:schemaRef ds:uri="http://schemas.microsoft.com/sharepoint/v3/contenttype/forms"/>
  </ds:schemaRefs>
</ds:datastoreItem>
</file>

<file path=customXml/itemProps3.xml><?xml version="1.0" encoding="utf-8"?>
<ds:datastoreItem xmlns:ds="http://schemas.openxmlformats.org/officeDocument/2006/customXml" ds:itemID="{8265D44C-0D8C-4D52-8904-3A5F162C5D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4a10c2-c73c-4087-8828-d2ba41895d1c"/>
    <ds:schemaRef ds:uri="b01ef473-1889-4a76-a52f-bae5188193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2024 Dashboard</vt:lpstr>
      <vt:lpstr>2025 Projected Dashboard</vt:lpstr>
      <vt:lpstr>Sheet1</vt:lpstr>
      <vt:lpstr>PivotTable</vt:lpstr>
      <vt:lpstr>Dashboard Drafts</vt:lpstr>
      <vt:lpstr>2025 Projected</vt:lpstr>
      <vt:lpstr>Added Hours 2024 - SE</vt:lpstr>
      <vt:lpstr>Dashboard - Monthly</vt:lpstr>
      <vt:lpstr>notes</vt:lpstr>
      <vt:lpstr>Pivot Table</vt:lpstr>
      <vt:lpstr>Projected Hours</vt:lpstr>
      <vt:lpstr>Total Hours 2024 - SE</vt:lpstr>
      <vt:lpstr>Total Hours 2024</vt:lpstr>
      <vt:lpstr>Special Events</vt:lpstr>
      <vt:lpstr>January</vt:lpstr>
      <vt:lpstr>February</vt:lpstr>
      <vt:lpstr>March</vt:lpstr>
      <vt:lpstr>April</vt:lpstr>
      <vt:lpstr>May</vt:lpstr>
      <vt:lpstr>June</vt:lpstr>
      <vt:lpstr>July</vt:lpstr>
      <vt:lpstr>August</vt:lpstr>
      <vt:lpstr>September</vt:lpstr>
      <vt:lpstr>October</vt:lpstr>
      <vt:lpstr>November</vt:lpstr>
      <vt:lpstr>December</vt:lpstr>
      <vt:lpstr>January Special Events</vt:lpstr>
      <vt:lpstr>February Special Events</vt:lpstr>
      <vt:lpstr>March Special Events</vt:lpstr>
      <vt:lpstr>April Special Events</vt:lpstr>
      <vt:lpstr>May Special Events</vt:lpstr>
      <vt:lpstr>June Special Events</vt:lpstr>
      <vt:lpstr>July Special Events</vt:lpstr>
      <vt:lpstr>August Special Events</vt:lpstr>
      <vt:lpstr>October Special Events</vt:lpstr>
      <vt:lpstr>November Special Events</vt:lpstr>
      <vt:lpstr>December Special Events</vt:lpstr>
      <vt:lpstr>Dashboard - ShiftTypeBreakdown</vt:lpstr>
      <vt:lpstr>Sheet9</vt:lpstr>
      <vt:lpstr>Sheet10</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Jomar Reyes</dc:creator>
  <cp:keywords/>
  <dc:description/>
  <cp:lastModifiedBy>Jomar Reyes</cp:lastModifiedBy>
  <cp:revision/>
  <cp:lastPrinted>2025-05-14T19:33:11Z</cp:lastPrinted>
  <dcterms:created xsi:type="dcterms:W3CDTF">2025-04-24T16:24:59Z</dcterms:created>
  <dcterms:modified xsi:type="dcterms:W3CDTF">2025-05-20T21:30:49Z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0x01010001074B6DB322BA4C863A848EEC6D214A</vt:lpwstr>
  </property>
</Properties>
</file>